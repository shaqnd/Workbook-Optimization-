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1.xml" ContentType="application/vnd.openxmlformats-officedocument.spreadsheetml.comments+xml"/>
  <Override PartName="/xl/worksheets/sheet26.xml" ContentType="application/vnd.openxmlformats-officedocument.spreadsheetml.worksheet+xml"/>
  <Override PartName="/xl/comments/comment2.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tables/table1.xml" ContentType="application/vnd.openxmlformats-officedocument.spreadsheetml.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5" yWindow="480" windowWidth="27150" windowHeight="14400" tabRatio="851" firstSheet="0" activeTab="0" autoFilterDateGrouping="1"/>
  </bookViews>
  <sheets>
    <sheet name="Property Info" sheetId="1" state="visible" r:id="rId1"/>
    <sheet name="FE" sheetId="2" state="visible" r:id="rId2"/>
    <sheet name="Market Neighborhood" sheetId="3" state="hidden" r:id="rId3"/>
    <sheet name="Site Information" sheetId="4" state="hidden" r:id="rId4"/>
    <sheet name="Improvements" sheetId="5" state="hidden" r:id="rId5"/>
    <sheet name="H&amp;BU" sheetId="6" state="hidden" r:id="rId6"/>
    <sheet name="Final Value" sheetId="7" state="visible" r:id="rId7"/>
    <sheet name="Land Sales" sheetId="8" state="hidden" r:id="rId8"/>
    <sheet name="M&amp;S Inputs" sheetId="9" state="visible" r:id="rId9"/>
    <sheet name="Cost Approach" sheetId="10" state="hidden" r:id="rId10"/>
    <sheet name="Construction Costs" sheetId="11" state="hidden" r:id="rId11"/>
    <sheet name="Export030823" sheetId="12" state="visible" r:id="rId12"/>
    <sheet name="Basic Sales Grid" sheetId="13" state="visible" r:id="rId13"/>
    <sheet name="Detailed Sales Grid" sheetId="14" state="hidden" r:id="rId14"/>
    <sheet name="LA" sheetId="15" state="hidden" r:id="rId15"/>
    <sheet name="LAG Percent" sheetId="16" state="hidden" r:id="rId16"/>
    <sheet name="IS Summary" sheetId="17" state="hidden" r:id="rId17"/>
    <sheet name="HOA" sheetId="18" state="hidden" r:id="rId18"/>
    <sheet name="CED" sheetId="19" state="hidden" r:id="rId19"/>
    <sheet name="OECC" sheetId="20" state="hidden" r:id="rId20"/>
    <sheet name="PF" sheetId="21" state="hidden" r:id="rId21"/>
    <sheet name="Cap Rate Lease-Up" sheetId="22" state="hidden" r:id="rId22"/>
    <sheet name="IA Values" sheetId="23" state="hidden" r:id="rId23"/>
    <sheet name="Income Approach" sheetId="24" state="visible" r:id="rId24"/>
    <sheet name="Property Registry" sheetId="25" state="visible" r:id="rId25"/>
    <sheet name="Expense Database" sheetId="26" state="visible" r:id="rId26"/>
    <sheet name="PSF Summary" sheetId="27" state="visible" r:id="rId27"/>
    <sheet name="Adams County Resources" sheetId="28" state="visible"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Fill" hidden="1">'[1]Key Assumptions'!#REF!</definedName>
    <definedName name="_Order1" hidden="1">255</definedName>
    <definedName name="AccessCode" hidden="1">""""</definedName>
    <definedName name="Accrued_Physical">[2]ImpAnalysis!$I$26</definedName>
    <definedName name="Actual_Age">[2]Inputs!$C$159</definedName>
    <definedName name="Actual_Taxes">[2]Tax!$G$21</definedName>
    <definedName name="Adj_Pro_Assessed_Val">[2]Tax!$K$12</definedName>
    <definedName name="AdjCatNo">'[2]IS Grid'!$A$81</definedName>
    <definedName name="Ambient_Area">[2]Inputs!$C$96</definedName>
    <definedName name="AmtBdgt">[3]OpActuals!$I:$I</definedName>
    <definedName name="AMTY1">[3]OpActuals!$C:$C</definedName>
    <definedName name="AMTY2">[3]OpActuals!$D:$D</definedName>
    <definedName name="AMTY3">[3]OpActuals!$E:$E</definedName>
    <definedName name="AMTY4">[3]OpActuals!$F:$F</definedName>
    <definedName name="AMTY5">[3]OpActuals!$H:$H</definedName>
    <definedName name="AnalysisType">[4]Assumptions!$C$2:$C$3</definedName>
    <definedName name="Anchor_1_Name">[2]Inputs!$C$119</definedName>
    <definedName name="Anchor_1_SF">[2]Inputs!$C$120</definedName>
    <definedName name="Anchor_2_Name">[2]Inputs!$C$121</definedName>
    <definedName name="Anchor_2_SF">[2]Inputs!$C$122</definedName>
    <definedName name="Anchor_3_Name">[2]Inputs!$C$123</definedName>
    <definedName name="Anchor_3_SF">[2]Inputs!$C$124</definedName>
    <definedName name="Anchor_4_Name">[2]Inputs!$C$125</definedName>
    <definedName name="Anchor_4_SF">[2]Inputs!$C$126</definedName>
    <definedName name="Anchor_5_Name">[2]Inputs!$C$127</definedName>
    <definedName name="Anchor_5_SF">[2]Inputs!$C$128</definedName>
    <definedName name="Anchor_6_Name">[2]Inputs!$C$129</definedName>
    <definedName name="Anchor_6_SF">[2]Inputs!$C$130</definedName>
    <definedName name="Annual_Mkt_Rent">'[2]Mkt Rent'!$BE$85</definedName>
    <definedName name="Appraisal_Fee">[2]Inputs!$C$58</definedName>
    <definedName name="Appraiser">[2]Inputs!$C$9</definedName>
    <definedName name="Apt.Concessions">'[2]Dir Cap'!$H$8</definedName>
    <definedName name="Apt.Concessions.Percent">'[2]Dir Cap'!$E$8</definedName>
    <definedName name="Apt.LosstoLease">'[2]Dir Cap'!$H$7</definedName>
    <definedName name="Apt.LosstoLease.Percent">'[2]Dir Cap'!$E$7</definedName>
    <definedName name="Apt_Row_Cost">[2]Cost!#REF!</definedName>
    <definedName name="ARC.Homesites">'[1]ARC Financials'!$F$240</definedName>
    <definedName name="ARC.No">[1]Instructions!$B$3</definedName>
    <definedName name="ARC.PropAddress">'[1]ARC Property List'!$D$9:$D$67</definedName>
    <definedName name="ARC.PropCity">'[1]ARC Property List'!$E$9:$E$67</definedName>
    <definedName name="ARC.PropCode">'[1]ARC Property List'!$B$9:$B$67</definedName>
    <definedName name="ARC.PropName">'[1]ARC Property List'!$C$9:$C$67</definedName>
    <definedName name="ARC.PropState">'[1]ARC Property List'!$F$9:$F$67</definedName>
    <definedName name="ARC.PropZip">'[1]ARC Property List'!$G$9:$G$67</definedName>
    <definedName name="ARI">'[2]Dir Cap'!$H$9</definedName>
    <definedName name="ArrTot">[6]Assumptions!$F$9:$G$21</definedName>
    <definedName name="ArrTotal">[4]Assumptions!$F$9:$G$21</definedName>
    <definedName name="As_Is_Value">[2]Values!$M$21</definedName>
    <definedName name="bbDateOfValueEffectiveDate">'[7]Valuation Scenarios'!$D$85</definedName>
    <definedName name="bbDateReport">[7]Assignment!$B$44</definedName>
    <definedName name="bbMarketValues">'[7]Valuation Scenarios'!$D$76</definedName>
    <definedName name="bbPropertyOwner">[7]Assignment!$B$27</definedName>
    <definedName name="bbValuationType">'[7]Valuation Scenarios'!$D$79</definedName>
    <definedName name="bbValueConditionScen1">'[3]Valuation Scenarios'!$B$8</definedName>
    <definedName name="bbValueDateScen1">'[3]Valuation Scenarios'!$B$5</definedName>
    <definedName name="bbValueInterestScen1">'[3]Valuation Scenarios'!$B$7</definedName>
    <definedName name="bbValueNameScen1">'[3]Valuation Scenarios'!$B$4</definedName>
    <definedName name="Building_Area">[2]Inputs!$C$146</definedName>
    <definedName name="Building_Class_List">[2]InputsRangeNames!$J$4:$J$8</definedName>
    <definedName name="Building_Class_Value">[2]InputsRangeNames!$J$2</definedName>
    <definedName name="Building_Class_Value_List">[2]InputsRangeNames!$I$4:$I$8</definedName>
    <definedName name="caDeferredMaint">[3]Cost!$F$44</definedName>
    <definedName name="caLandValueRND">[3]LSaleAdj!$E$48</definedName>
    <definedName name="caLandValueRNDPresent">#REF!</definedName>
    <definedName name="Cap_Rate">'[2]Dir Cap'!$H$48</definedName>
    <definedName name="Category">[3]OpActuals!$A:$A</definedName>
    <definedName name="caValueRND">[9]Cost!$G$58</definedName>
    <definedName name="caValueRNDPresent">'[10]Value Indications'!$C$5</definedName>
    <definedName name="clCompanyAddressCity">[7]Assignment!$B$17</definedName>
    <definedName name="clCompanyAddressState">[7]Assignment!$B$18</definedName>
    <definedName name="clCompanyAddressStreet1">[7]Assignment!$B$15</definedName>
    <definedName name="clCompanyAddressStreet2">[7]Assignment!$B$16</definedName>
    <definedName name="clCompanyAddressZip">[7]Assignment!$B$19</definedName>
    <definedName name="Clear_Height">[2]Inputs!$C$102</definedName>
    <definedName name="Client.Ref.No">[2]Inputs!$C$57</definedName>
    <definedName name="Client_City">[2]Inputs!$C$25</definedName>
    <definedName name="Client_Company">[2]Inputs!$C$21</definedName>
    <definedName name="Client_EMail">[2]Inputs!$C$20</definedName>
    <definedName name="Client_Fax">[2]Inputs!$C$19</definedName>
    <definedName name="Client_Phone">[2]Inputs!$C$18</definedName>
    <definedName name="Client_State">[2]Inputs!$C$26</definedName>
    <definedName name="Client_Street">[2]Inputs!$C$24</definedName>
    <definedName name="Client_Zip">[2]Inputs!$C$27</definedName>
    <definedName name="clInspectionContactName">[7]Assignment!$B$22</definedName>
    <definedName name="Cmp1Rents">#REF!</definedName>
    <definedName name="Cmp2Rents">#REF!</definedName>
    <definedName name="Cmp3Rents">#REF!</definedName>
    <definedName name="Cmp4Rents">#REF!</definedName>
    <definedName name="Cmp5Rents">#REF!</definedName>
    <definedName name="Cmp6Rents">#REF!</definedName>
    <definedName name="Cmp7Rents">#REF!</definedName>
    <definedName name="CmpArea_0">#REF!</definedName>
    <definedName name="CmpArea_1">#REF!</definedName>
    <definedName name="CmpArea_2">#REF!</definedName>
    <definedName name="CmpArea_3">#REF!</definedName>
    <definedName name="CmpEff">#REF!</definedName>
    <definedName name="CmpFooter">#REF!</definedName>
    <definedName name="CmpOne">#REF!</definedName>
    <definedName name="CmpRef">#REF!</definedName>
    <definedName name="CmpThree">#REF!</definedName>
    <definedName name="CmpTwo">#REF!</definedName>
    <definedName name="Cold_Storage_Area">[2]Inputs!$C$99</definedName>
    <definedName name="Communities">#REF!</definedName>
    <definedName name="Comparison_No.">'[2]Dir Cap'!$K$2:$K$5</definedName>
    <definedName name="Comparison_Totals">'[2]Dir Cap'!$M$2:$M$5</definedName>
    <definedName name="Comparison_Type">'[2]Dir Cap'!$L$2:$L$5</definedName>
    <definedName name="Condition">[2]Inputs!$C$158</definedName>
    <definedName name="Condition_List">[2]InputsRangeNames!$X$4:$X$8</definedName>
    <definedName name="Condition_Value">[2]InputsRangeNames!$X$2</definedName>
    <definedName name="Construction_Period">[2]Inputs!$C$37</definedName>
    <definedName name="Cooler_Area">[2]Inputs!$C$97</definedName>
    <definedName name="Cost.Basis.Value">[2]Cost!$K$11</definedName>
    <definedName name="Cost.Component.Value">[2]Cost!$K$12</definedName>
    <definedName name="Cost_Value">[2]Cost!$H$89</definedName>
    <definedName name="CostEstimates">[11]Sheet2!$B$4:$B$5</definedName>
    <definedName name="Cover_Ratio">[2]Improv!$F$47</definedName>
    <definedName name="Current_As_Complete_Value">[2]Values!$N$21</definedName>
    <definedName name="Current_As_Stabilized_Value">[2]Values!$O$21</definedName>
    <definedName name="Current_Assessment">[2]Tax!$G$12</definedName>
    <definedName name="Current_Occ_SF">[2]Inputs!#REF!</definedName>
    <definedName name="Current_Occ_Units">[2]Inputs!$C$93</definedName>
    <definedName name="Current_Occupancy">[2]Inputs!$C$149</definedName>
    <definedName name="Current_Zoning">[2]Zoning!$D$4</definedName>
    <definedName name="Date_of_Insp">[2]Inputs!$C$31</definedName>
    <definedName name="Date_of_Report">[2]Inputs!$C$32</definedName>
    <definedName name="Date_of_Value">[2]Inputs!$C$43</definedName>
    <definedName name="DCF_Apt_Value">'[2]APT DCF'!$AB$99</definedName>
    <definedName name="DCF_Value">[2]Values!$E$8</definedName>
    <definedName name="Deferred_Maint">[2]ImpAnalysis!$D$15</definedName>
    <definedName name="Demos_Begin">[2]Demos!$K$10</definedName>
    <definedName name="Depr_Repl_Cost">[2]Cost!$H$82</definedName>
    <definedName name="Diff.">[2]Inputs!#REF!</definedName>
    <definedName name="Dir_Cap_Unit_Values">'[2]Dir Cap'!$G$6,'[2]Dir Cap'!$G$14,'[2]Dir Cap'!$G$22,'[2]Dir Cap'!$G$25,'[2]Dir Cap'!$G$45,'[2]Dir Cap'!$G$9,'[2]Dir Cap'!$G$47</definedName>
    <definedName name="Dir_Cap_Unit_Values_2">'[2]Dir Cap'!$G$10:$G$13,'[2]Dir Cap'!$G$16:$G$21,'[2]Dir Cap'!$G$26:$G$44</definedName>
    <definedName name="Dir_Cap_Value">'[2]Dir Cap'!$H$54</definedName>
    <definedName name="DirCap2Premise">[2]Inputs!$E$52</definedName>
    <definedName name="Disc_Rate">'[2]DCF Assum'!$D$46</definedName>
    <definedName name="Draft_Value">[2]Inputs!#REF!</definedName>
    <definedName name="Due_Date">[2]Inputs!$C$30</definedName>
    <definedName name="ECh_Cat_1">'[2]Exp Charts'!$D:$D,'[2]Exp Charts'!$I:$I</definedName>
    <definedName name="ECh_Cat_2">'[2]Exp Charts'!$F:$F,'[2]Exp Charts'!$K:$K</definedName>
    <definedName name="ECh_Cat_3">'[2]Exp Charts'!$G:$G,'[2]Exp Charts'!$M:$M</definedName>
    <definedName name="ECh_Yr_1">'[2]Exp Charts'!$8:$8+'[2]Exp Charts'!$8:$8,'[2]Exp Charts'!$17:$17,'[2]Exp Charts'!$26:$26,'[2]Exp Charts'!$35:$35,'[2]Exp Charts'!$44:$44,'[2]Exp Charts'!$58:$58</definedName>
    <definedName name="ECh_Yr_2">'[2]Exp Charts'!$7:$7,'[2]Exp Charts'!$16:$16,'[2]Exp Charts'!$25:$25,'[2]Exp Charts'!$34:$34,'[2]Exp Charts'!$43:$43,'[2]Exp Charts'!$57:$57</definedName>
    <definedName name="ECh_Yr_3">'[2]Exp Charts'!$6:$6,'[2]Exp Charts'!$15:$15,'[2]Exp Charts'!$24:$24,'[2]Exp Charts'!$33:$33,'[2]Exp Charts'!$42:$42,'[2]Exp Charts'!$56:$56</definedName>
    <definedName name="Economic_Life">[2]Inputs!$C$161</definedName>
    <definedName name="Effective_Age">[2]Inputs!$C$160</definedName>
    <definedName name="EGI">'[2]Dir Cap'!$H$22</definedName>
    <definedName name="Est._Exposure_Time">[2]Exposure!$I$21</definedName>
    <definedName name="Est._Marketing_Time">[2]Exposure!$I$21</definedName>
    <definedName name="Ex_L_amounts">[2]InputsRangeNames!$Q$4:$Q$6</definedName>
    <definedName name="Exc_Land_IS">'[2]IS Concl'!#REF!</definedName>
    <definedName name="Excess_Land__ac.">[2]Inputs!$C$81</definedName>
    <definedName name="Excess_Land__allowable_units">[2]Inputs!$C$80</definedName>
    <definedName name="Excess_Land__sf">[2]Inputs!$C$82</definedName>
    <definedName name="Excess_Land_Value">'[2]L Grid (2)'!$T$67</definedName>
    <definedName name="Exp_Cat_8">'[2]Dir Cap'!#REF!</definedName>
    <definedName name="Exp_Cat_9">'[2]Dir Cap'!#REF!</definedName>
    <definedName name="Exp_Comp_1">'[2]Exp Comps'!$E$5</definedName>
    <definedName name="Exp_Comp_2">'[2]Exp Comps'!$I$5</definedName>
    <definedName name="Exp_Comp_3">'[2]Exp Comps'!$Q$5</definedName>
    <definedName name="Exp_Comp_4">'[2]Exp Comps'!$R$5</definedName>
    <definedName name="Exp_Comp_5">'[2]Exp Comps'!$S$5</definedName>
    <definedName name="Exp_Comp_6">'[2]Exp Comps'!$M$5</definedName>
    <definedName name="Exp_Comps">'[2]Exp Comps'!$C$5:$S$35</definedName>
    <definedName name="Exp_Hist">'[2]Op History'!$G$5:$Z$39</definedName>
    <definedName name="Exp_Prof">'[2]Dir Cap'!$D$6:$H$47</definedName>
    <definedName name="ExpCompPubVal">'[2]Exp Charts'!$N$48</definedName>
    <definedName name="ExpCompVal">'[2]Exp Charts'!$N$40</definedName>
    <definedName name="Expense_Category_1">[2]Inputs!$C$173</definedName>
    <definedName name="Expense_Category_10">[2]Inputs!$C$182</definedName>
    <definedName name="Expense_Category_11">[2]Inputs!$C$183</definedName>
    <definedName name="Expense_Category_12">[2]Inputs!$C$184</definedName>
    <definedName name="Expense_Category_13">[2]Inputs!$C$185</definedName>
    <definedName name="Expense_Category_14">[2]Inputs!$C$186</definedName>
    <definedName name="Expense_Category_15">[2]Inputs!$C$187</definedName>
    <definedName name="Expense_Category_16">[2]Inputs!$C$188</definedName>
    <definedName name="Expense_Category_17">[2]Inputs!$C$189</definedName>
    <definedName name="Expense_Category_18">[2]Inputs!$C$190</definedName>
    <definedName name="Expense_Category_19">[2]Inputs!$C$191</definedName>
    <definedName name="Expense_Category_2">[2]Inputs!$C$174</definedName>
    <definedName name="Expense_Category_20">[2]Inputs!$C$192</definedName>
    <definedName name="Expense_Category_3">[2]Inputs!$C$175</definedName>
    <definedName name="Expense_Category_4">[2]Inputs!$C$176</definedName>
    <definedName name="Expense_Category_5">[2]Inputs!$C$177</definedName>
    <definedName name="Expense_Category_6">[2]Inputs!$C$178</definedName>
    <definedName name="Expense_Category_7">[2]Inputs!$C$179</definedName>
    <definedName name="Expense_Category_8">[2]Inputs!$C$180</definedName>
    <definedName name="Expense_Category_9">[2]Inputs!$C$181</definedName>
    <definedName name="ExpYr1">'[2]Op History'!$W$5</definedName>
    <definedName name="ExpYr1Val">'[2]Op History'!$AL$3</definedName>
    <definedName name="ExpYr2">'[2]Op History'!$R$5</definedName>
    <definedName name="ExpYr2Val">'[2]Op History'!$AK$3</definedName>
    <definedName name="ExpYr3">'[2]Op History'!$M$5</definedName>
    <definedName name="ExpYr3Val">'[2]Op History'!$AJ$3</definedName>
    <definedName name="ExpYr4">'[2]Op History'!$H$5</definedName>
    <definedName name="ExpYr4Val">'[2]Op History'!$AI$3</definedName>
    <definedName name="External">[2]Cost!$M$102</definedName>
    <definedName name="f">#REF!</definedName>
    <definedName name="File_No.">[2]Inputs!$C$4</definedName>
    <definedName name="Final_Value">[2]Values!$AC$44</definedName>
    <definedName name="Final_Value__Second_Appraisal_Premise">[2]Values!$V$32</definedName>
    <definedName name="Final_Value__Third_Appraisal_Premise">[2]Values!$V$37</definedName>
    <definedName name="Financial.Source">#REF!</definedName>
    <definedName name="First_Appraisal_Premise">[2]Inputs!$C$39</definedName>
    <definedName name="Floorplan_1">'[2]Mkt Rent'!#REF!</definedName>
    <definedName name="Floorplans">'[2]Mkt Rent'!#REF!</definedName>
    <definedName name="Floorplans_2">'[2]Mkt Rent'!#REF!</definedName>
    <definedName name="Floorplans_3">'[2]Mkt Rent'!#REF!</definedName>
    <definedName name="Freezer_Area">[2]Inputs!$C$98</definedName>
    <definedName name="frmRRCatListInUse">[9]RentRoll_Macro!$A$2:$A$11</definedName>
    <definedName name="Functional">[2]Cost!$G$79</definedName>
    <definedName name="fw4aerhah">#REF!</definedName>
    <definedName name="GBA">'[3]Improvement Description'!$B$11</definedName>
    <definedName name="GRI">'[2]Dir Cap'!$H$6</definedName>
    <definedName name="HA_Operating_History">#REF!</definedName>
    <definedName name="HBU_As_Improved">[2]Inputs!$C$75</definedName>
    <definedName name="HBU_As_Vacant">[2]Inputs!$C$74</definedName>
    <definedName name="HBU_Value">[2]InputsRangeNames!$G$2</definedName>
    <definedName name="Highest___Best_Use">[2]Inputs!$C$73</definedName>
    <definedName name="HJData">'[1]Key Assumptions'!$C$4:$X$4</definedName>
    <definedName name="iaBOIRate">#REF!</definedName>
    <definedName name="iaDateValue">PF!$D$2</definedName>
    <definedName name="iaIntRateBase">#REF!</definedName>
    <definedName name="iaLoanAmo">#REF!</definedName>
    <definedName name="iaLoanMtgConstant">#REF!</definedName>
    <definedName name="iaLoanTV">#REF!</definedName>
    <definedName name="iaNumberTenants">[7]tblRentRoll!$V$1</definedName>
    <definedName name="iaOAR">[3]ProForma!$B$44</definedName>
    <definedName name="iaOARBandofInvestment">#REF!</definedName>
    <definedName name="iaOARBrokers">#REF!</definedName>
    <definedName name="iaOARDCR">#REF!</definedName>
    <definedName name="iaOARInvestors">#REF!</definedName>
    <definedName name="iaProjMgmtPct">PF!#REF!</definedName>
    <definedName name="iaProjVcyPct">[3]LeaseComps!$S$32</definedName>
    <definedName name="iaValueDirectCapRND">[3]ProForma!$D$50</definedName>
    <definedName name="iaValueDirectCapRNDPresent">#REF!</definedName>
    <definedName name="iaValueYieldCapRNDPresent">#REF!</definedName>
    <definedName name="imp.value.range.sf">'[2]IS Grid'!$E$90:$J$90</definedName>
    <definedName name="imp.value.range.unit">'[2]IS Grid'!$E$92:$J$92</definedName>
    <definedName name="Inc_App_Val">[2]Values!$E$9</definedName>
    <definedName name="Income_Approach_Value">[2]Inputs!#REF!</definedName>
    <definedName name="INHOUSE">'[1]Key Assumptions'!$B$2:$E$2</definedName>
    <definedName name="Ins_Apt_Row">'[2]Ins Val'!#REF!</definedName>
    <definedName name="Ins_Value">'[2]Ins Val'!$H$56</definedName>
    <definedName name="Inspection_Date">[2]Inputs!$C$31</definedName>
    <definedName name="Investment_Class_Value">[2]InputsRangeNames!$K$2</definedName>
    <definedName name="Investment_Class_Value_List">[2]InputsRangeNames!$K$4:$K$18</definedName>
    <definedName name="IS_Concl_Values">'[2]IS Concl'!#REF!,'[2]IS Concl'!#REF!,'[2]IS Concl'!$D$39,'[2]IS Concl'!$M$12:$M$13,'[2]IS Concl'!$C$40:$D$46,'[2]IS Concl'!#REF!</definedName>
    <definedName name="IS_Grid_2_BasisForAdj">'[2]IS Grid (2)'!$35:$35,'[2]IS Grid (2)'!$37:$37,'[2]IS Grid (2)'!$39:$39,'[2]IS Grid (2)'!$41:$41,'[2]IS Grid (2)'!$46:$46,'[2]IS Grid (2)'!$48:$48,'[2]IS Grid (2)'!$50:$50,'[2]IS Grid (2)'!$52:$52,'[2]IS Grid (2)'!$54:$54,'[2]IS Grid (2)'!$56:$56,'[2]IS Grid (2)'!$58:$58,'[2]IS Grid (2)'!$60:$60,'[2]IS Grid (2)'!$62:$62,'[2]IS Grid (2)'!$64:$64,'[2]IS Grid (2)'!$66:$66,'[2]IS Grid (2)'!$68:$68,'[2]IS Grid (2)'!$70:$70,'[2]IS Grid (2)'!$72:$72,'[2]IS Grid (2)'!$74:$74</definedName>
    <definedName name="IS_Grid_BasisForAdj">'[2]IS Grid'!$35:$35,'[2]IS Grid'!$37:$37,'[2]IS Grid'!$39:$39,'[2]IS Grid'!$41:$41,'[2]IS Grid'!$46:$46,'[2]IS Grid'!$48:$48,'[2]IS Grid'!$50:$50,'[2]IS Grid'!$52:$52,'[2]IS Grid'!$54:$54,'[2]IS Grid'!$56:$56,'[2]IS Grid'!$58:$58,'[2]IS Grid'!$60:$60,'[2]IS Grid'!$62:$62,'[2]IS Grid'!$64:$64,'[2]IS Grid'!$66:$66,'[2]IS Grid'!$68:$68,'[2]IS Grid'!$70:$70,'[2]IS Grid'!$72:$72,'[2]IS Grid'!$74:$74</definedName>
    <definedName name="IS_Grid_Rows2">'[2]IS Grid'!$B$2</definedName>
    <definedName name="IS_Grid_Rows2_2">'[2]IS Grid (2)'!$B$2</definedName>
    <definedName name="IS_Grid_Values">'[2]IS Grid'!#REF!,'[2]IS Grid'!$E$30:$L$30,'[2]IS Grid'!$E$36:$L$36,'[2]IS Grid'!$E$55:$L$55</definedName>
    <definedName name="ISaleDataLU">[3]ISaleData!$A$2:$AH$11</definedName>
    <definedName name="isOARRange">#REF!</definedName>
    <definedName name="KeyAssumpRange">'[1]Key Assumptions'!$A$1:$Y$5</definedName>
    <definedName name="L_adjsalespr">'[2]WA Import'!$AV$32:$AV$34</definedName>
    <definedName name="L_Amounts_List">[2]InputsRangeNames!$O$4:$O$6</definedName>
    <definedName name="L_Amounts_Value">[2]InputsRangeNames!$O$2</definedName>
    <definedName name="L_city">'[2]WA Import'!$Q$32:$Q$34</definedName>
    <definedName name="L_loc1">'[2]WA Import'!$O$32:$O$34</definedName>
    <definedName name="L_loc2">'[2]WA Import'!$P$32:$P$34</definedName>
    <definedName name="L_name">'[2]WA Import'!$L$32:$L$34</definedName>
    <definedName name="L_numunits">'[2]WA Import'!$AK$32:$AK$34</definedName>
    <definedName name="L_propuse">'[2]WA Import'!$AZ$32:$AZ$34</definedName>
    <definedName name="L_salemoyr">'[2]WA Import'!$AM$32:$AM$34</definedName>
    <definedName name="L_saleprice">'[2]WA Import'!$AR$32:$AR$34</definedName>
    <definedName name="L_state">'[2]WA Import'!$T$32:$T$34</definedName>
    <definedName name="L_t_xn">'[2]WA Import'!$DM$32:$DM$34</definedName>
    <definedName name="L_Type_List">[2]InputsRangeNames!$P$4:$P$6</definedName>
    <definedName name="L_Type_Value">[2]InputsRangeNames!$P$2</definedName>
    <definedName name="L_Units_List">[2]InputsRangeNames!$N$4:$N$6</definedName>
    <definedName name="L_Units_Value">[2]InputsRangeNames!$N$2</definedName>
    <definedName name="L_usabacres">'[2]WA Import'!$AA$32:$AA$34</definedName>
    <definedName name="L_usabsqft">'[2]WA Import'!$AB$32:$AB$34</definedName>
    <definedName name="L_zip">'[2]WA Import'!$R$32:$R$34</definedName>
    <definedName name="L_zoning">'[2]WA Import'!$AH$32:$AH$34</definedName>
    <definedName name="L2_adjsalespr">'[2]WA Import'!$AV$44:$AV$49</definedName>
    <definedName name="L2_city">'[2]WA Import'!$Q$44:$Q$49</definedName>
    <definedName name="L2_loc1">'[2]WA Import'!$O$44:$O$49</definedName>
    <definedName name="L2_loc2">'[2]WA Import'!$P$44:$P$49</definedName>
    <definedName name="L2_name">'[2]WA Import'!$L$44:$L$49</definedName>
    <definedName name="L2_numunits">'[2]WA Import'!$AK$44:$AK$49</definedName>
    <definedName name="L2_propuse">'[2]WA Import'!$AZ$44:$AZ$49</definedName>
    <definedName name="L2_salemoyr">'[2]WA Import'!$AM$44:$AM$49</definedName>
    <definedName name="L2_saleprice">'[2]WA Import'!$AR$44:$AR$49</definedName>
    <definedName name="L2_state">'[2]WA Import'!$T$44:$T$49</definedName>
    <definedName name="L2_t_xn">'[2]WA Import'!$DM$44:$DM$49</definedName>
    <definedName name="L2_usabacres">'[2]WA Import'!$AA$44:$AA$49</definedName>
    <definedName name="L2_usabsqft">'[2]WA Import'!$AB$44:$AB$49</definedName>
    <definedName name="L2_zip">'[2]WA Import'!$R$44:$R$49</definedName>
    <definedName name="L2_zoning">'[2]WA Import'!$AH$44:$AH$49</definedName>
    <definedName name="land.value.range">'[2]L Grid'!$G$58:$L$58</definedName>
    <definedName name="Land__ac.">[2]Inputs!$C$78</definedName>
    <definedName name="Land__allowable_units">[2]Inputs!$C$77</definedName>
    <definedName name="Land__sf">[2]Inputs!$C$79</definedName>
    <definedName name="Land_Area">[2]Inputs!$C$78</definedName>
    <definedName name="Land_Area_SF">[2]Inputs!$C$79</definedName>
    <definedName name="Land_Bldg_Ratio">[2]Improv!$F$48</definedName>
    <definedName name="Land_Grid_2_BasisForAdj">'[2]L Grid (2)'!$24:$24,'[2]L Grid (2)'!$26:$26,'[2]L Grid (2)'!$28:$28,'[2]L Grid (2)'!$30:$30,'[2]L Grid (2)'!$33:$33,'[2]L Grid (2)'!$35:$35,'[2]L Grid (2)'!$37:$37,'[2]L Grid (2)'!$39:$39,'[2]L Grid (2)'!$41:$41,'[2]L Grid (2)'!$43:$43,'[2]L Grid (2)'!$45:$45,'[2]L Grid (2)'!$47:$47,'[2]L Grid (2)'!$49:$49</definedName>
    <definedName name="Land_Grid_BasisForAdj">'[2]L Grid'!$25:$25,'[2]L Grid'!$27:$27,'[2]L Grid'!$29:$29,'[2]L Grid'!$31:$31,'[2]L Grid'!$34:$34,'[2]L Grid'!$36:$36,'[2]L Grid'!$38:$38,'[2]L Grid'!$40:$40,'[2]L Grid'!$42:$42,'[2]L Grid'!$44:$44,'[2]L Grid'!$46:$46,'[2]L Grid'!$48:$48,'[2]L Grid'!$50:$50</definedName>
    <definedName name="Land_Grid_Values">'[2]L Grid'!$G$23:$N$23,'[2]L Grid'!$G$32:$N$32,'[2]L Grid'!$G$52:$N$52,'[2]L Grid'!$P$59:$P$60</definedName>
    <definedName name="Land_UOC">'[2]L Sum'!$E$2</definedName>
    <definedName name="Land_Value">'[2]L Grid'!$T$61</definedName>
    <definedName name="Lease_Chart">'[2]Mkt Rent'!#REF!</definedName>
    <definedName name="Lease_Up">[2]LUD!$H$68</definedName>
    <definedName name="Lease_Up_Period">[2]LUD!$D$2</definedName>
    <definedName name="Leased_Fee_Land">'[2]Ground Lease'!$L$38</definedName>
    <definedName name="Leasehold_Value">'[2]Ground Lease'!$P$45</definedName>
    <definedName name="List_Arrows">[9]Lists!$H$2:$H$4</definedName>
    <definedName name="List_Qualitative">[9]Lists!$AA$2:$AA$10</definedName>
    <definedName name="List_VC_Unit">[9]Lists!$BV$2:$BV$4</definedName>
    <definedName name="LS_Units">'[2]L Grid'!$C$5</definedName>
    <definedName name="lstCondition">[3]CertificationsOptions!$G$34:$G$46</definedName>
    <definedName name="LUD_Rate">[2]LUD!$D$5</definedName>
    <definedName name="LUD_Rate_Value">[2]LUD!$BE$5</definedName>
    <definedName name="LUD_Schedule">[2]LUD!$D$4</definedName>
    <definedName name="LUD_Schedule_Value">[2]LUD!$C$4</definedName>
    <definedName name="LUD_Type">[2]LUD!$D$3</definedName>
    <definedName name="LUD_Type_Value">[2]LUD!$BE$3</definedName>
    <definedName name="MACROS">'[1]Key Assumptions'!#REF!</definedName>
    <definedName name="MANAGERS">'[1]Key Assumptions'!#REF!</definedName>
    <definedName name="Mkt.Cat.1">[2]Inputs!$C$133</definedName>
    <definedName name="Mkt.Cat.1.SF">[2]Inputs!$C$134</definedName>
    <definedName name="Mkt.Cat.2">[2]Inputs!$C$135</definedName>
    <definedName name="Mkt.Cat.2.SF">[2]Inputs!$C$136</definedName>
    <definedName name="Mkt.Cat.3">[2]Inputs!$C$137</definedName>
    <definedName name="Mkt.Cat.3.SF">[2]Inputs!$C$138</definedName>
    <definedName name="Mkt.Cat.4">[2]Inputs!$C$139</definedName>
    <definedName name="Mkt.Cat.4.SF">[2]Inputs!$C$140</definedName>
    <definedName name="Mkt.Cat.5">[2]Inputs!$C$141</definedName>
    <definedName name="Mkt.Cat.5.SF">[2]Inputs!$C$142</definedName>
    <definedName name="Mkt.Cat.6">[2]Inputs!$C$143</definedName>
    <definedName name="Mkt.Cat.6.SF">[2]Inputs!$C$144</definedName>
    <definedName name="Mkt.Cat.List">[2]InputsRangeNames!$Y$4:$Y$38</definedName>
    <definedName name="Mkt.Rent">'[2]Mkt Rent'!$BN$70</definedName>
    <definedName name="Mkt_Rent_Categories">[2]Inputs!$D$132</definedName>
    <definedName name="Mkt_Rnt_PSF">'[2]Mkt Rent'!#REF!</definedName>
    <definedName name="Mo_Mkt_Rent">'[2]Mkt Rent'!#REF!</definedName>
    <definedName name="MPRI">'[2]Mkt Rent'!#REF!</definedName>
    <definedName name="No_Doors">[2]Inputs!$C$103</definedName>
    <definedName name="No_of_Bldgs">[2]Inputs!$C$154</definedName>
    <definedName name="No_of_Stories">[2]Inputs!$C$155</definedName>
    <definedName name="No_Screens">[2]Inputs!$C$118</definedName>
    <definedName name="No_Seats">[2]Inputs!$C$117</definedName>
    <definedName name="No_SF">[2]Inputs!$C$147</definedName>
    <definedName name="No_Units">[2]Inputs!$C$148</definedName>
    <definedName name="NOI">[3]ProForma!$D$36</definedName>
    <definedName name="NOI_Per_Unit">'[2]IS Concl'!$C$43:$C$50</definedName>
    <definedName name="NOI_Per_Units">'[2]IS Concl'!$C$44:$C$50</definedName>
    <definedName name="NRA">[3]LeaseAbstracts!$C$7</definedName>
    <definedName name="NRI">'[2]Dir Cap'!$H$14</definedName>
    <definedName name="OARSpread">#REF!</definedName>
    <definedName name="Office">[2]Inputs!$C$12</definedName>
    <definedName name="Office_Area">[2]Inputs!$C$95</definedName>
    <definedName name="OneBRData">#REF!</definedName>
    <definedName name="OneBRRents">#REF!</definedName>
    <definedName name="optFEMAid">[3]OptionsProperty!$A$29:$A$40</definedName>
    <definedName name="pdAccess">'[7]Site Information'!$C$29</definedName>
    <definedName name="pdActualAge">'[7]Improvement Description'!$C$100</definedName>
    <definedName name="pdADA">'[7]Improvement Description'!$C$50</definedName>
    <definedName name="pdAddressCity">[3]Assignment!$B$33</definedName>
    <definedName name="pdAddressCounty">[7]Assignment!$B$34</definedName>
    <definedName name="pdAddressState">[3]Assignment!$B$35</definedName>
    <definedName name="pdAddressStreet">[3]Assignment!$B$32</definedName>
    <definedName name="pdAddressZip">[7]Assignment!$B$36</definedName>
    <definedName name="pdBayDepth">'[7]Improvement Description'!$C$28</definedName>
    <definedName name="pdBldgAreaClubhouse">'[7]Improvement Description'!$C$14</definedName>
    <definedName name="pdBldgAreaGross">'[3]Improvement Description'!$B$11</definedName>
    <definedName name="pdBldgAreaMezz">'[7]Improvement Description'!$C$16</definedName>
    <definedName name="pdBldgAreaNet">'[3]Improvement Description'!$B$12</definedName>
    <definedName name="pdBldgAreaOther">'[7]Improvement Description'!$C$15</definedName>
    <definedName name="pdBldgCondition">'[7]Improvement Description'!$C$95</definedName>
    <definedName name="pdBldgCount">'[7]Improvement Description'!$C$7</definedName>
    <definedName name="pdBldgFootprint">'[7]Improvement Description'!$C$17</definedName>
    <definedName name="pdBldgQuality">'[7]Improvement Description'!$C$97</definedName>
    <definedName name="pdBldgStories">'[7]Improvement Description'!$C$8</definedName>
    <definedName name="pdBuildingClass">'[7]Improvement Description'!$C$9</definedName>
    <definedName name="pdCeilingHeights">'[7]Improvement Description'!$C$22</definedName>
    <definedName name="pdCeilings">'[7]Improvement Description'!$C$66</definedName>
    <definedName name="pdCensusTract">'[7]Site Information'!$C$22</definedName>
    <definedName name="pdClearHeights">'[3]Improvement Description'!$B$28</definedName>
    <definedName name="pdCommonName">[3]Assignment!$B$30</definedName>
    <definedName name="pdConfiguration">'[7]Site Information'!$C$12</definedName>
    <definedName name="pdConstruction">'[7]Improvement Description'!$C$56</definedName>
    <definedName name="pdCooling">'[7]Improvement Description'!$C$76</definedName>
    <definedName name="pdCosttoCure">'[7]Improvement Description'!$C$92</definedName>
    <definedName name="pdCoverageRatio">'[7]Improvement Description'!$C$31</definedName>
    <definedName name="pdDeferredMaintenance">'[7]Improvement Description'!$C$91</definedName>
    <definedName name="pdDesignFunctionality">'[7]Improvement Description'!$C$99</definedName>
    <definedName name="pdDockHigh">'[7]Improvement Description'!$C$37</definedName>
    <definedName name="pdEasements">'[7]Site Information'!$C$39</definedName>
    <definedName name="pdEffectiveAge">'[13]Improvement Description'!$C$96</definedName>
    <definedName name="pdElectrical">'[7]Improvement Description'!$C$78</definedName>
    <definedName name="pdElevators">'[7]Improvement Description'!$C$27</definedName>
    <definedName name="pdEnterpriseZone">'[7]Site Information'!$C$32</definedName>
    <definedName name="pdEnvironmental">'[7]Site Information'!$C$25</definedName>
    <definedName name="pdExpectedEconLife">'[13]Improvement Description'!$C$95</definedName>
    <definedName name="pdExteriorWalls">'[7]Improvement Description'!$C$58</definedName>
    <definedName name="pdFAR">'[7]Improvement Description'!$C$30</definedName>
    <definedName name="pdFencing">'[7]Improvement Description'!$C$86</definedName>
    <definedName name="pdFireProtection">'[7]Improvement Description'!$C$80</definedName>
    <definedName name="pdFloodDescription">'[7]Site Information'!$C$21</definedName>
    <definedName name="pdFloodID">'[7]Site Information'!$C$20</definedName>
    <definedName name="pdFloodMapDate">'[7]Site Information'!$C$19</definedName>
    <definedName name="pdFloodMapNo">'[7]Site Information'!$C$18</definedName>
    <definedName name="pdFloorCoverings">'[7]Improvement Description'!$C$67</definedName>
    <definedName name="pdFloorStructure">'[7]Improvement Description'!$C$57</definedName>
    <definedName name="pdFoundation">'[7]Improvement Description'!$C$55</definedName>
    <definedName name="pdFrontage">'[7]Site Information'!$C$28</definedName>
    <definedName name="pdGeneralLayout">'[7]Improvement Description'!$C$54</definedName>
    <definedName name="pdGenPropUse">[7]Menu!$D$15</definedName>
    <definedName name="pdGenPropUse2">[7]Menu!$D$17</definedName>
    <definedName name="pdHazards">'[7]Site Information'!$C$27</definedName>
    <definedName name="pdHBUAsIfVacant">'[7]H&amp;BU'!$B$2</definedName>
    <definedName name="pdHBUAsImproved">'[7]H&amp;BU'!$B$3</definedName>
    <definedName name="pdHeating">'[7]Improvement Description'!$C$75</definedName>
    <definedName name="pdIngressEgress">'[7]Improvement Description'!$C$39</definedName>
    <definedName name="pdInteriorWalls">'[7]Improvement Description'!$C$65</definedName>
    <definedName name="pdLandscaping">'[7]Improvement Description'!$C$84</definedName>
    <definedName name="pdLEEDRating">'[7]Improvement Description'!$C$29</definedName>
    <definedName name="pdLegalDesc">'[7]Site Information'!$C$38</definedName>
    <definedName name="pdLighting">'[7]Improvement Description'!$C$69</definedName>
    <definedName name="pdLocationDesc">'[7]Site Information'!$C$2</definedName>
    <definedName name="pdLtoBRatio">'[3]Improvement Description'!$B$26</definedName>
    <definedName name="pdMostProbablePurchaser">[7]MethodAssump!$B$4</definedName>
    <definedName name="pdOccupancy">[3]RentRoll!$C$9</definedName>
    <definedName name="pdOfficeBuildOut">'[3]Improvement Description'!$B$27</definedName>
    <definedName name="pdParkingGarage">'[7]Improvement Description'!$C$46</definedName>
    <definedName name="pdParkingOther">'[7]Improvement Description'!$C$45</definedName>
    <definedName name="pdParkingRatio">'[7]Improvement Description'!$C$48</definedName>
    <definedName name="pdParkingSpaces">'[3]Improvement Description'!$B$39</definedName>
    <definedName name="pdParkingSurface">'[7]Improvement Description'!$C$44</definedName>
    <definedName name="pdParkingType">'[7]Improvement Description'!$C$83</definedName>
    <definedName name="pdPlumbing">'[7]Improvement Description'!$C$77</definedName>
    <definedName name="pdPower">'[7]Improvement Description'!$C$35</definedName>
    <definedName name="pdPropertyDescription">'[7]Improvement Description'!$C$4</definedName>
    <definedName name="pdPropertyType">'[7]Improvement Description'!$C$2</definedName>
    <definedName name="pdPropertyUse">'[7]Improvement Description'!$C$3</definedName>
    <definedName name="pdRailAccess">'[7]Improvement Description'!$C$40</definedName>
    <definedName name="pdRemainingEconLife">'[7]Improvement Description'!$C$103</definedName>
    <definedName name="pdRenovations">'[7]Improvement Description'!$C$90</definedName>
    <definedName name="pdRestrooms">'[7]Improvement Description'!$C$70</definedName>
    <definedName name="pdRollUp">'[7]Improvement Description'!$C$38</definedName>
    <definedName name="pdRoofCover">'[7]Improvement Description'!$C$60</definedName>
    <definedName name="pdRoofType">'[7]Improvement Description'!$C$59</definedName>
    <definedName name="pdSignage">'[7]Improvement Description'!$C$85</definedName>
    <definedName name="pdSiteAreaNetAc">'[3]Site Information'!$B$6</definedName>
    <definedName name="pdSiteAreaNetSF">'[3]Site Information'!$B$5</definedName>
    <definedName name="pdSiteAreaSurplusAc">'[7]Site Information'!$C$11</definedName>
    <definedName name="pdSiteOther">'[7]Improvement Description'!$C$87</definedName>
    <definedName name="pdSiteUtilities">'[7]Site Information'!$C$16</definedName>
    <definedName name="pdSoilCondition">'[7]Site Information'!$C$24</definedName>
    <definedName name="pdStorageYard">'[7]Improvement Description'!$C$41</definedName>
    <definedName name="pdSurroundingUses">'[7]Site Information'!$C$31</definedName>
    <definedName name="pdTaxID">'[7]Site Information'!$C$37</definedName>
    <definedName name="pdTrafficCounts">'[7]Site Information'!$C$33</definedName>
    <definedName name="pdTransportationFacilities">'[7]Site Information'!$C$34</definedName>
    <definedName name="pdUnits">'[3]Improvement Description'!$B$16</definedName>
    <definedName name="pdUtilityMetering">'[7]Improvement Description'!$C$23</definedName>
    <definedName name="pdVisibility">'[7]Site Information'!$C$30</definedName>
    <definedName name="pdWindows">'[7]Improvement Description'!$C$61</definedName>
    <definedName name="pdYearBuilt">'[3]Improvement Description'!$B$5</definedName>
    <definedName name="pdYearRenov">'[7]Improvement Description'!$C$6</definedName>
    <definedName name="pdZoningCompliance">'Site Information'!$C$5</definedName>
    <definedName name="pdZoningDescription">'Site Information'!$C$3</definedName>
    <definedName name="pdZoningid">'Site Information'!$C$2</definedName>
    <definedName name="pdZoningNarr">'Site Information'!$C$4</definedName>
    <definedName name="Percent_AC">[2]Inputs!$C$109</definedName>
    <definedName name="Percent_Ambient">[2]Inputs!$C$105</definedName>
    <definedName name="Percent_Cold_Storage">[2]Inputs!$C$106</definedName>
    <definedName name="Percent_Cooler">[2]Inputs!$C$107</definedName>
    <definedName name="Percent_Freezer">[2]Inputs!$C$108</definedName>
    <definedName name="Percent_Office">[2]Inputs!$C$104</definedName>
    <definedName name="Premise_List">[2]InputsRangeNames!$S$4:$S$9</definedName>
    <definedName name="Price_Per_Unit">'[2]IS Concl'!$D$43:$D$50</definedName>
    <definedName name="Price_Per_Units">'[2]IS Concl'!$D$44:$D$50</definedName>
    <definedName name="Pro_Forma_AV1">[2]Tax!#REF!</definedName>
    <definedName name="Pro_Forma_AV2">[2]Tax!#REF!</definedName>
    <definedName name="Profit">[2]LUD!$D$6</definedName>
    <definedName name="Profit_Value">[2]LUD!$BE$6</definedName>
    <definedName name="Proj_Name">[2]Inputs!$C$56</definedName>
    <definedName name="Prop_Class_List_2">[2]InputsRangeNames!$W$4:$W$7</definedName>
    <definedName name="Prop_Class_Value_2">[2]InputsRangeNames!$W$2</definedName>
    <definedName name="Prop_Type_List">[2]InputsRangeNames!#REF!</definedName>
    <definedName name="Prop_Type_Value">[2]InputsRangeNames!#REF!</definedName>
    <definedName name="Prop_Type_Value_List">[2]InputsRangeNames!#REF!</definedName>
    <definedName name="Property.List">[2]InputsRangeNames!$T$4:$T$19</definedName>
    <definedName name="Property.List.2">[2]InputsRangeNames!$U$4:$U$19</definedName>
    <definedName name="Property.List.3">[2]InputsRangeNames!$V$4:$V$13</definedName>
    <definedName name="Property.Type">[2]Exposure!$C$1</definedName>
    <definedName name="Property.Type.1.Check">[2]Exposure!$D$1</definedName>
    <definedName name="Property.Type.2">[2]Exposure!$C$2</definedName>
    <definedName name="Property.Type.2.Check">[2]Exposure!$D$2</definedName>
    <definedName name="Property.Type.3">[2]Exposure!$C$3</definedName>
    <definedName name="Property.Type.3.Check">[2]Exposure!$D$3</definedName>
    <definedName name="Property.Value">[2]InputsRangeNames!$T$2</definedName>
    <definedName name="Property.Value.2">[2]InputsRangeNames!$U$2</definedName>
    <definedName name="Property.Value.3">[2]InputsRangeNames!$V$2</definedName>
    <definedName name="Property_City">[2]Inputs!$C$60</definedName>
    <definedName name="Property_Class">[2]Inputs!$C$70</definedName>
    <definedName name="Property_Class_2">[2]Inputs!$C$76</definedName>
    <definedName name="Property_County">[2]Inputs!$C$63</definedName>
    <definedName name="Property_Description">[2]Inputs!$C$65</definedName>
    <definedName name="Property_Entity">[2]Inputs!$D$63</definedName>
    <definedName name="Property_State">[2]Inputs!$C$61</definedName>
    <definedName name="Property_Street">[2]Inputs!$C$59</definedName>
    <definedName name="Property_Tenancy">[2]Inputs!$D$65</definedName>
    <definedName name="Property_Type">[2]Inputs!#REF!</definedName>
    <definedName name="Property_Zip">[2]Inputs!$C$62</definedName>
    <definedName name="Prospective_Val_Growth">[2]Inputs!$C$42</definedName>
    <definedName name="QualArray">[6]Assumptions!$E$9:$F$21</definedName>
    <definedName name="R_basis">'[2]WA Import'!$CR$56:$CR$60</definedName>
    <definedName name="R_bserentsqf">'[2]WA Import'!$CO$56:$CO$60</definedName>
    <definedName name="R_city">'[2]WA Import'!$S$56:$S$60</definedName>
    <definedName name="R_clrceiling">'[2]WA Import'!$AH$56:$AH$60</definedName>
    <definedName name="R_Display.Value">'[2]Rent Sum'!$C$2</definedName>
    <definedName name="R_exppasthru">'[2]WA Import'!$CS$56:$CS$60</definedName>
    <definedName name="R_glatot">'[2]WA Import'!$AS$56:$AS$60</definedName>
    <definedName name="R_grosbldare">'[2]WA Import'!$AC$56:$AC$60</definedName>
    <definedName name="R_ldate1">'[2]WA Import'!$CZ$56:$CZ$60</definedName>
    <definedName name="R_ldate2">'[2]WA Import'!$DB$56:$DB$60</definedName>
    <definedName name="R_ldate3">'[2]WA Import'!$DD$56:$DD$60</definedName>
    <definedName name="R_ldate4">'[2]WA Import'!$DF$56:$DF$60</definedName>
    <definedName name="R_lesc1">'[2]WA Import'!$EH$56:$EH$60</definedName>
    <definedName name="R_lesc2">'[2]WA Import'!$EI$56:$EI$60</definedName>
    <definedName name="R_lesc3">'[2]WA Import'!$EJ$56:$EJ$60</definedName>
    <definedName name="R_lesc4">'[2]WA Import'!$EK$56:$EK$60</definedName>
    <definedName name="R_loc1">'[2]WA Import'!$Q$56:$Q$60</definedName>
    <definedName name="R_loc2">'[2]WA Import'!$R$56:$R$60</definedName>
    <definedName name="R_lrent_avg">'[2]WA Import'!$EN$56:$EN$60</definedName>
    <definedName name="R_lrent1">'[2]WA Import'!$DS$56:$DS$60</definedName>
    <definedName name="R_lrent10">'[2]WA Import'!$EK$56:$EK$60</definedName>
    <definedName name="R_lrent11">'[2]WA Import'!$EL$56:$EL$60</definedName>
    <definedName name="R_lrent12">'[2]WA Import'!$EM$56:$EM$60</definedName>
    <definedName name="R_lrent2">'[2]WA Import'!$DT$56:$DT$60</definedName>
    <definedName name="R_lrent3">'[2]WA Import'!$DU$56:$DU$60</definedName>
    <definedName name="R_lrent4">'[2]WA Import'!$DV$56:$DV$60</definedName>
    <definedName name="R_lrent5">'[2]WA Import'!$DW$56:$DW$60</definedName>
    <definedName name="R_lrent6">'[2]WA Import'!$EG$56:$EG$60</definedName>
    <definedName name="R_lrent7">'[2]WA Import'!$EH$56:$EH$60</definedName>
    <definedName name="R_lrent8">'[2]WA Import'!$EI$56:$EI$60</definedName>
    <definedName name="R_lrent9">'[2]WA Import'!$EJ$56:$EJ$60</definedName>
    <definedName name="R_lrentpsf1">'[2]WA Import'!$EO$56:$EO$60</definedName>
    <definedName name="R_lrentpsf10">'[2]WA Import'!$EX$56:$EX$60</definedName>
    <definedName name="R_lrentpsf11">'[2]WA Import'!$EY$56:$EY$60</definedName>
    <definedName name="R_lrentpsf12">'[2]WA Import'!$EZ$56:$EZ$60</definedName>
    <definedName name="R_lrentpsf2">'[2]WA Import'!$EP$56:$EP$60</definedName>
    <definedName name="R_lrentpsf3">'[2]WA Import'!$EQ$56:$EQ$60</definedName>
    <definedName name="R_lrentpsf4">'[2]WA Import'!$ER$56:$ER$60</definedName>
    <definedName name="R_lrentpsf5">'[2]WA Import'!$ES$56:$ES$60</definedName>
    <definedName name="R_lrentpsf6">'[2]WA Import'!$ET$56:$ET$60</definedName>
    <definedName name="R_lrentpsf7">'[2]WA Import'!$EU$56:$EU$60</definedName>
    <definedName name="R_lrentpsf8">'[2]WA Import'!$EV$56:$EV$60</definedName>
    <definedName name="R_lrentpsf9">'[2]WA Import'!$EW$56:$EW$60</definedName>
    <definedName name="R_lsize1">'[2]WA Import'!$DI$56:$DI$60</definedName>
    <definedName name="R_lsize10">'[2]WA Import'!$DL$56:$DL$60</definedName>
    <definedName name="R_lsize11">'[2]WA Import'!$DM$56:$DM$60</definedName>
    <definedName name="R_lsize12">'[2]WA Import'!$DN$56:$DN$60</definedName>
    <definedName name="R_lsize2">'[2]WA Import'!$DJ$56:$DJ$60</definedName>
    <definedName name="R_lsize3">'[2]WA Import'!$DK$56:$DK$60</definedName>
    <definedName name="R_lsize4">'[2]WA Import'!$DL$56:$DL$60</definedName>
    <definedName name="R_lsize5">'[2]WA Import'!$DM$56:$DM$60</definedName>
    <definedName name="R_lsize6">'[2]WA Import'!$DH$56:$DH$60</definedName>
    <definedName name="R_lsize7">'[2]WA Import'!$DI$56:$DI$60</definedName>
    <definedName name="R_lsize8">'[2]WA Import'!$DJ$56:$DJ$60</definedName>
    <definedName name="R_lsize9">'[2]WA Import'!$DK$56:$DK$60</definedName>
    <definedName name="R_lten1">'[2]WA Import'!$DN$56:$DN$60</definedName>
    <definedName name="R_lten2">'[2]WA Import'!$DO$56:$DO$60</definedName>
    <definedName name="R_lten3">'[2]WA Import'!$DP$56:$DP$60</definedName>
    <definedName name="R_lten4">'[2]WA Import'!$DQ$56:$DQ$60</definedName>
    <definedName name="R_lterm1">'[2]WA Import'!$ER$56:$ER$60</definedName>
    <definedName name="R_lterm2">'[2]WA Import'!$ES$56:$ES$60</definedName>
    <definedName name="R_lterm3">'[2]WA Import'!$ET$56:$ET$60</definedName>
    <definedName name="R_lterm4">'[2]WA Import'!$EU$56:$EU$60</definedName>
    <definedName name="R_lti1">'[2]WA Import'!$DX$56:$DX$60</definedName>
    <definedName name="R_lti2">'[2]WA Import'!$DY$56:$DY$60</definedName>
    <definedName name="R_lti3">'[2]WA Import'!$DZ$56:$DZ$60</definedName>
    <definedName name="R_lti4">'[2]WA Import'!$EA$56:$EA$60</definedName>
    <definedName name="R_ltype1">'[2]WA Import'!$DP$56:$DP$60</definedName>
    <definedName name="R_ltype10">'[2]WA Import'!$DY$56:$DY$60</definedName>
    <definedName name="R_ltype11">'[2]WA Import'!$DZ$56:$DZ$60</definedName>
    <definedName name="R_ltype12">'[2]WA Import'!$EA$56:$EA$60</definedName>
    <definedName name="R_ltype2">'[2]WA Import'!$DQ$56:$DQ$60</definedName>
    <definedName name="R_ltype3">'[2]WA Import'!$DR$56:$DR$60</definedName>
    <definedName name="R_ltype4">'[2]WA Import'!$DS$56:$DS$60</definedName>
    <definedName name="R_ltype5">'[2]WA Import'!$DT$56:$DT$60</definedName>
    <definedName name="R_ltype6">'[2]WA Import'!$DU$56:$DU$60</definedName>
    <definedName name="R_ltype7">'[2]WA Import'!$DV$56:$DV$60</definedName>
    <definedName name="R_ltype8">'[2]WA Import'!$DW$56:$DW$60</definedName>
    <definedName name="R_ltype9">'[2]WA Import'!$DX$56:$DX$60</definedName>
    <definedName name="R_name">'[2]WA Import'!$J$56:$J$60</definedName>
    <definedName name="R_netrntarea">'[2]WA Import'!$AN$56:$AN$60</definedName>
    <definedName name="R_nunits">'[2]WA Import'!$AD$56:$AD$60</definedName>
    <definedName name="R_pctair">'[2]WA Import'!$AG$56:$AG$60</definedName>
    <definedName name="R_pctoccup">'[2]WA Import'!$CK$56:$CK$60</definedName>
    <definedName name="R_pctoccupo">'[2]WA Import'!$CL$56:$CL$60</definedName>
    <definedName name="R_pctoffice">'[2]WA Import'!$AP$56:$AP$60</definedName>
    <definedName name="R_rentescal">'[2]WA Import'!$CQ$56:$CQ$60</definedName>
    <definedName name="R_state">'[2]WA Import'!$V$56:$V$60</definedName>
    <definedName name="R_tenimprov">'[2]WA Import'!$CW$56:$CW$60</definedName>
    <definedName name="R_yrbuilt">'[2]WA Import'!$AU$56:$AU$60</definedName>
    <definedName name="R_zip">'[2]WA Import'!$T$56:$T$60</definedName>
    <definedName name="Rent_Area">[2]Inputs!$C$147</definedName>
    <definedName name="Rental.Trends">[2]MktStdyRents!$F$37:$F$39</definedName>
    <definedName name="Requester_Name">[2]Inputs!$C$15</definedName>
    <definedName name="Requester_Title">[2]Inputs!$C$16</definedName>
    <definedName name="Rev_Unit_Val">'[2]Dir Cap'!$K$6</definedName>
    <definedName name="Revenue_Category_1">[2]Inputs!$C$164</definedName>
    <definedName name="Revenue_Category_2">[2]Inputs!$C$165</definedName>
    <definedName name="Revenue_Category_3">[2]Inputs!$C$166</definedName>
    <definedName name="Revenue_Category_4">[2]Inputs!$C$167</definedName>
    <definedName name="Revenue_Category_5">[2]Inputs!$C$168</definedName>
    <definedName name="Revenue_Category_6">[2]Inputs!$C$169</definedName>
    <definedName name="Revenue_Category_7">[2]Inputs!$C$170</definedName>
    <definedName name="Revenue_Category_8">[2]Inputs!$C$171</definedName>
    <definedName name="Reviewer">[2]Inputs!$C$10</definedName>
    <definedName name="Rights_Appraised">[2]Inputs!$C$34</definedName>
    <definedName name="RR_basis">'[2]WA Import'!$CR$69:$CR$75</definedName>
    <definedName name="RR_bserentsqf">'[2]WA Import'!$CO$69:$CO$75</definedName>
    <definedName name="RR_city">'[2]WA Import'!$S$69:$S$75</definedName>
    <definedName name="RR_CLRCEILING">'[2]WA Import'!$AG$69:$AG$73</definedName>
    <definedName name="RR_Display.Value">'[2]Rent Sum (2)'!$C$2</definedName>
    <definedName name="RR_exppasthru">'[2]WA Import'!$CS$69:$CS$75</definedName>
    <definedName name="RR_glatot">'[2]WA Import'!$AS$69:$AS$75</definedName>
    <definedName name="RR_GROSBLDARE">'[2]WA Import'!$AA$69:$AA$73</definedName>
    <definedName name="RR_ldate1">'[2]WA Import'!$CZ$69:$CZ$75</definedName>
    <definedName name="RR_ldate2">'[2]WA Import'!$DB$69:$DB$75</definedName>
    <definedName name="RR_ldate3">'[2]WA Import'!$DD$69:$DD$75</definedName>
    <definedName name="RR_ldate4">'[2]WA Import'!$DF$69:$DF$75</definedName>
    <definedName name="RR_lesc1">'[2]WA Import'!$EH$69:$EH$75</definedName>
    <definedName name="RR_lesc2">'[2]WA Import'!$EI$69:$EI$75</definedName>
    <definedName name="RR_lesc3">'[2]WA Import'!$EJ$69:$EJ$75</definedName>
    <definedName name="RR_lesc4">'[2]WA Import'!$EK$69:$EK$75</definedName>
    <definedName name="RR_loc1">'[2]WA Import'!$Q$69:$Q$75</definedName>
    <definedName name="RR_loc2">'[2]WA Import'!$R$69:$R$75</definedName>
    <definedName name="RR_lrent_avg">'[2]WA Import'!$EN$69:$EN$75</definedName>
    <definedName name="RR_lrent1">'[2]WA Import'!$DS$69:$DS$75</definedName>
    <definedName name="RR_lrent2">'[2]WA Import'!$DT$69:$DT$75</definedName>
    <definedName name="RR_lrent3">'[2]WA Import'!$DU$69:$DU$75</definedName>
    <definedName name="RR_lrent4">'[2]WA Import'!$DV$69:$DV$75</definedName>
    <definedName name="RR_lsize1">'[2]WA Import'!$DI$69:$DI$75</definedName>
    <definedName name="RR_lsize2">'[2]WA Import'!$DJ$69:$DJ$75</definedName>
    <definedName name="RR_lsize3">'[2]WA Import'!$DK$69:$DK$75</definedName>
    <definedName name="RR_lsize4">'[2]WA Import'!$DL$69:$DL$75</definedName>
    <definedName name="RR_lten1">'[2]WA Import'!$DN$69:$DN$75</definedName>
    <definedName name="RR_lten2">'[2]WA Import'!$DO$69:$DO$75</definedName>
    <definedName name="RR_lten3">'[2]WA Import'!$DP$69:$DP$75</definedName>
    <definedName name="RR_lten4">'[2]WA Import'!$DQ$69:$DQ$75</definedName>
    <definedName name="RR_lterm1">'[2]WA Import'!$ER$69:$ER$75</definedName>
    <definedName name="RR_lterm2">'[2]WA Import'!$ES$69:$ES$75</definedName>
    <definedName name="RR_lterm3">'[2]WA Import'!$ET$69:$ET$75</definedName>
    <definedName name="RR_lterm4">'[2]WA Import'!$EU$69:$EU$75</definedName>
    <definedName name="RR_lti1">'[2]WA Import'!$DX$69:$DX$75</definedName>
    <definedName name="RR_lti2">'[2]WA Import'!$DY$69:$DY$75</definedName>
    <definedName name="RR_lti3">'[2]WA Import'!$DZ$69:$DZ$75</definedName>
    <definedName name="RR_lti4">'[2]WA Import'!$EA$69:$EA$75</definedName>
    <definedName name="RR_name">'[2]WA Import'!$J$69:$J$75</definedName>
    <definedName name="RR_NETRNTAREA">'[2]WA Import'!$AN$69:$AN$73</definedName>
    <definedName name="RR_nunits">'[2]WA Import'!$AD$69:$AD$75</definedName>
    <definedName name="RR_PCTAIR">'[2]WA Import'!$AF$69:$AF$73</definedName>
    <definedName name="RR_pctoccup">'[2]WA Import'!$CK$69:$CK$75</definedName>
    <definedName name="RR_pctoccupo">'[2]WA Import'!$CL$69:$CL$75</definedName>
    <definedName name="RR_rentescal">'[2]WA Import'!$CQ$69:$CQ$75</definedName>
    <definedName name="RR_state">'[2]WA Import'!$V$69:$V$75</definedName>
    <definedName name="RR_tenimprov">'[2]WA Import'!$CW$69:$CW$75</definedName>
    <definedName name="RR_yrbuilt">'[2]WA Import'!$AU$69:$AU$75</definedName>
    <definedName name="RR_zip">'[2]WA Import'!$T$69:$T$75</definedName>
    <definedName name="S_adjsalespr">'[2]WA Import'!$BM$8:$BM$12</definedName>
    <definedName name="S_city">'[2]WA Import'!$S$8:$S$12</definedName>
    <definedName name="S_clrceiling">'[2]WA Import'!$AH$8:$AH$12</definedName>
    <definedName name="S_egim">'[2]WA Import'!$CG$8:$CG$12</definedName>
    <definedName name="S_glap">'[2]WA Import'!$AT$8:$AT$12</definedName>
    <definedName name="S_grosbldare">'[2]WA Import'!$AC$8:$AC$12</definedName>
    <definedName name="S_landarea">'[2]WA Import'!$AA$8:$AA$12</definedName>
    <definedName name="S_loc1">'[2]WA Import'!$Q$8:$Q$12</definedName>
    <definedName name="S_ltbr">'[2]WA Import'!$AW$8:$AW$12</definedName>
    <definedName name="S_name">'[2]WA Import'!$J$8:$J$12</definedName>
    <definedName name="S_netopinpsf">'[2]WA Import'!$CC$8:$CC$12</definedName>
    <definedName name="S_netrntarea">'[2]WA Import'!$AN$8:$AN$11</definedName>
    <definedName name="S_nunits">'[2]WA Import'!$AD$8:$AD$11</definedName>
    <definedName name="S_oar">'[2]WA Import'!$CE$8:$CE$12</definedName>
    <definedName name="S_oer">'[2]WA Import'!$CH$8:$CH$12</definedName>
    <definedName name="S_pctair">'[2]WA Import'!$AG$8:$AG$12</definedName>
    <definedName name="S_pctoffice">'[2]WA Import'!$AP$8:$AP$12</definedName>
    <definedName name="S_priceper">'[2]WA Import'!$CJ$8:$CJ$12</definedName>
    <definedName name="S_pricepsf">'[2]WA Import'!$CI$8:$CI$12</definedName>
    <definedName name="S_salemoyr">'[2]WA Import'!$BD$8:$BD$12</definedName>
    <definedName name="S_saleoccup">'[2]WA Import'!$BQ$8:$BQ$12</definedName>
    <definedName name="S_saleprice">'[2]WA Import'!$BI$8:$BI$12</definedName>
    <definedName name="S_state">'[2]WA Import'!$V$8:$V$12</definedName>
    <definedName name="S_t_xn">'[2]WA Import'!$GM$8:$GM$12</definedName>
    <definedName name="S_yrbuilt">'[2]WA Import'!$AU$8:$AU$12</definedName>
    <definedName name="S_zip">'[2]WA Import'!$T$8:$T$12</definedName>
    <definedName name="saValueComparisonRNDPresent">#REF!</definedName>
    <definedName name="saValueConclusion">[3]ISaleAdj!$D$188</definedName>
    <definedName name="SCA_Value">'[2]IS Concl'!$O$32</definedName>
    <definedName name="Second_Appraisal_Premise">[2]Inputs!$C$40</definedName>
    <definedName name="Second_Premise_Value">[2]Inputs!$D$40</definedName>
    <definedName name="Second_Value_Date">[2]Inputs!$C$44</definedName>
    <definedName name="SiteArea">'[9]Site Information'!$B$3</definedName>
    <definedName name="SS_adjsalespr">'[2]WA Import'!$BM$20:$BM$25</definedName>
    <definedName name="SS_city">'[2]WA Import'!$S$20:$S$25</definedName>
    <definedName name="SS_clrceiling">'[2]WA Import'!$AD$20:$AD$24</definedName>
    <definedName name="SS_glap">'[2]WA Import'!$AT$20:$AT$25</definedName>
    <definedName name="SS_grosbldare">'[2]WA Import'!$Y$20:$Y$24</definedName>
    <definedName name="SS_landarea">'[2]WA Import'!$AA$20:$AA$25</definedName>
    <definedName name="SS_loc1">'[2]WA Import'!$Q$20:$Q$25</definedName>
    <definedName name="SS_name">'[2]WA Import'!$J$20:$J$25</definedName>
    <definedName name="SS_netopinpsf">'[2]WA Import'!$CC$20:$CC$25</definedName>
    <definedName name="SS_netrntarea">'[2]WA Import'!$AL$20:$AL$24</definedName>
    <definedName name="SS_nunits">'[2]WA Import'!$AD$20:$AD$25</definedName>
    <definedName name="SS_oar">'[2]WA Import'!$CE$20:$CE$25</definedName>
    <definedName name="SS_pctair">'[2]WA Import'!$AC$20:$AC$24</definedName>
    <definedName name="SS_pctoffice">'[2]WA Import'!$AL$20:$AL$24</definedName>
    <definedName name="SS_priceper">'[2]WA Import'!$CJ$20:$CJ$25</definedName>
    <definedName name="SS_pricepsf">'[2]WA Import'!$CI$20:$CI$25</definedName>
    <definedName name="SS_salemoyr">'[2]WA Import'!$BD$20:$BD$25</definedName>
    <definedName name="SS_saleoccup">'[2]WA Import'!$BQ$20:$BQ$25</definedName>
    <definedName name="SS_state">'[2]WA Import'!$V$20:$V$25</definedName>
    <definedName name="SS_t_xn">'[2]WA Import'!$GM$20:$GM$25</definedName>
    <definedName name="SS_yrbuilt">'[2]WA Import'!$AU$20:$AU$25</definedName>
    <definedName name="SS_zip">'[2]WA Import'!$T$20:$T$25</definedName>
    <definedName name="Stab.Credit.Weight">[2]MktStdy!$AB$51</definedName>
    <definedName name="Stab.CreditLoss">[2]Inputs!$D$150</definedName>
    <definedName name="Stab.Vac.Weight">[2]MktStdy!$AB$41</definedName>
    <definedName name="Stab.Vacancy">[2]Inputs!$D$151</definedName>
    <definedName name="Stab.VC.Select.Weight">[2]MktStdy!$W$34</definedName>
    <definedName name="Stab_Ancil_Inc">EGI-NRI</definedName>
    <definedName name="Stab_Exp">'[2]Dir Cap'!$H$45</definedName>
    <definedName name="Stab_Exp_Reimb">'[2]Dir Cap'!$H$20</definedName>
    <definedName name="Stab_NOI">'[2]Dir Cap'!$H$47</definedName>
    <definedName name="Stabilized_Occ">[2]Inputs!$C$152</definedName>
    <definedName name="States">#REF!</definedName>
    <definedName name="Status_List">[2]InputsRangeNames!$E$4:$E$15</definedName>
    <definedName name="Status_List_Value">[2]InputsRangeNames!$E$2</definedName>
    <definedName name="Status_of_Property">[2]Inputs!$C$36</definedName>
    <definedName name="Sub_City">[2]IS_Sum!#REF!</definedName>
    <definedName name="Sub_OER">'[2]Dir Cap'!$H$46</definedName>
    <definedName name="Sub_Parc_Num_1">[2]Inputs!$C$66</definedName>
    <definedName name="Sub_Parc_Num_2">[2]Inputs!$C$67</definedName>
    <definedName name="Sub_Parc_Num_3">[2]Inputs!$C$68</definedName>
    <definedName name="Sub_Parc_Num_4">[2]Inputs!$C$69</definedName>
    <definedName name="Surplus_Land_Ac">[2]Inputs!$C$83</definedName>
    <definedName name="Survey.Date">'[2]Survey Results'!$A$2</definedName>
    <definedName name="Survey.Date.2">'[2]Survey Results'!$A$3</definedName>
    <definedName name="survey.results">'[2]Survey Results'!$A$4:$P$62</definedName>
    <definedName name="Tax_Dial_Val">[2]Tax!$B$2</definedName>
    <definedName name="Tax_Dial_Val_2">[2]Tax!$B$3</definedName>
    <definedName name="Tax_Dial_Val_3">[2]Tax!$B$4</definedName>
    <definedName name="Tax_Form_1">[2]Tax!#REF!</definedName>
    <definedName name="Tax_Form_2">[2]Tax!#REF!</definedName>
    <definedName name="Taxes">[2]Tax!$K$21</definedName>
    <definedName name="Taxes.Special">[2]Tax!$K$17</definedName>
    <definedName name="Terminal_Cap_Rate">'[2]DCF Assum'!$D$47</definedName>
    <definedName name="TFDirCap2">[2]Inputs!$D$52</definedName>
    <definedName name="TFExcessLand">[2]Inputs!$D$47</definedName>
    <definedName name="Third_Appraisal_Premise">[2]Inputs!$C$41</definedName>
    <definedName name="Third_Premise_Value">[2]Inputs!$D$41</definedName>
    <definedName name="Third_Value_Date">[2]Inputs!$C$45</definedName>
    <definedName name="ThreeBRRents">#REF!</definedName>
    <definedName name="Total_Land__ac.">[2]Inputs!$C$85</definedName>
    <definedName name="Total_Repl_Cost">[2]Cost!$H$74</definedName>
    <definedName name="TwoBRRents">#REF!</definedName>
    <definedName name="Type_Appraisal">[2]Inputs!$C$13</definedName>
    <definedName name="Type_Report">[2]Inputs!$C$14</definedName>
    <definedName name="Unit.Type">[2]Inputs!$D$148</definedName>
    <definedName name="UOC_Acres">'[2]L Sum'!$T$9:$T$11</definedName>
    <definedName name="UOC_SF">'[2]L Sum'!$S$9:$S$11</definedName>
    <definedName name="UOC_Units">'[2]L Sum'!$U$9:$U$11</definedName>
    <definedName name="UOC_Val">'[2]L Sum'!$R$9:$R$11</definedName>
    <definedName name="Value_List">[2]InputsRangeNames!$A$4:$A$107</definedName>
    <definedName name="Var_Exp_Rate">[2]LUD!$D$7</definedName>
    <definedName name="Var_Exp_Value">[2]LUD!$BE$7</definedName>
    <definedName name="vcDateInspection">[7]Assignment!$B$43</definedName>
    <definedName name="vcExposureTime1">'[7]Value Indications'!$C$14</definedName>
    <definedName name="vcMarketingTime1">'[7]Value Indications'!$C$15</definedName>
    <definedName name="vcPSFOptions">#REF!</definedName>
    <definedName name="vcPSFOptions1">#REF!</definedName>
    <definedName name="vcPSFOptions2">#REF!</definedName>
    <definedName name="vcPSFOptions3">#REF!</definedName>
    <definedName name="vcPSFOptions4">#REF!</definedName>
    <definedName name="vcValueFinalScen">#REF!</definedName>
    <definedName name="Year_Blt.">[2]Inputs!$C$156</definedName>
    <definedName name="Year_Reno">[2]Inputs!$C$157</definedName>
    <definedName name="YOC">[2]Inputs!$C$156</definedName>
    <definedName name="BC_OCC">'M&amp;S Inputs'!$B$30:$B$289</definedName>
    <definedName name="BC_KEY">'M&amp;S Inputs'!$I$30:$I$289</definedName>
    <definedName name="BC_VALUE">'M&amp;S Inputs'!$H$30:$H$289</definedName>
    <definedName name="BC_CITE">'M&amp;S Inputs'!$M$30:$M$289</definedName>
    <definedName name="OCC_NAME">'M&amp;S Inputs'!$B$293:$B$310</definedName>
    <definedName name="OCC_CODE">'M&amp;S Inputs'!$C$293:$C$310</definedName>
    <definedName name="OCC_SECTION">'M&amp;S Inputs'!$D$293:$D$310</definedName>
    <definedName name="OCC_PAGE">'M&amp;S Inputs'!$E$293:$E$310</definedName>
    <definedName name="OCC_STORY">'M&amp;S Inputs'!$F$293:$F$310</definedName>
    <definedName name="SH14_H">'M&amp;S Inputs'!$C$314:$C$337</definedName>
    <definedName name="SH14_M">'M&amp;S Inputs'!$D$314:$D$337</definedName>
    <definedName name="SH13_H">'M&amp;S Inputs'!$C$340:$C$357</definedName>
    <definedName name="SH13_M">'M&amp;S Inputs'!$D$340:$D$357</definedName>
    <definedName name="SH15_H">'M&amp;S Inputs'!$C$360:$C$374</definedName>
    <definedName name="SH15_M">'M&amp;S Inputs'!$D$360:$D$374</definedName>
    <definedName name="SH11_H">'M&amp;S Inputs'!$C$377:$C$392</definedName>
    <definedName name="SH11_M">'M&amp;S Inputs'!$D$377:$D$392</definedName>
    <definedName name="SPR_HDR">'M&amp;S Inputs'!$C$396:$F$396</definedName>
    <definedName name="SPR14_SF">'M&amp;S Inputs'!$C$398:$C$417</definedName>
    <definedName name="SPR14_VALS">'M&amp;S Inputs'!$D$398:$K$417</definedName>
    <definedName name="SPR13_SF">'M&amp;S Inputs'!$C$420:$C$437</definedName>
    <definedName name="SPR13_VALS">'M&amp;S Inputs'!$D$420:$K$437</definedName>
    <definedName name="SPR15_SF">'M&amp;S Inputs'!$C$440:$C$447</definedName>
    <definedName name="SPR15_VALS">'M&amp;S Inputs'!$D$440:$K$447</definedName>
    <definedName name="CCM_SECTIONHDR">'M&amp;S Inputs'!$D$492:$K$492</definedName>
    <definedName name="CCM_CLASS">'M&amp;S Inputs'!$C$503:$C$507</definedName>
    <definedName name="CCM_VALUES">'M&amp;S Inputs'!$D$503:$K$507</definedName>
    <definedName name="LAM_CLASSHDR">'M&amp;S Inputs'!$C$510:$G$510</definedName>
    <definedName name="LAM_CITY">'M&amp;S Inputs'!$B$511:$B$532</definedName>
    <definedName name="LAM_VALUES">'M&amp;S Inputs'!$C$511:$G$532</definedName>
    <definedName name="DEN_CLASSHDR">'M&amp;S Inputs'!$C$536:$G$536</definedName>
    <definedName name="DEN_LABEL">'M&amp;S Inputs'!$B$537:$B$549</definedName>
    <definedName name="DEN_VALUES">'M&amp;S Inputs'!$C$537:$G$549</definedName>
    <definedName name="LIFE_CLASSHDR">'M&amp;S Inputs'!$D$553:$H$553</definedName>
    <definedName name="LIFE_KEY">'M&amp;S Inputs'!$I$554:$I$623</definedName>
    <definedName name="LIFE_VALUES">'M&amp;S Inputs'!$D$554:$H$623</definedName>
    <definedName name="DEPR_LIFEHDR">'M&amp;S Inputs'!$C$627:$L$627</definedName>
    <definedName name="DEPR_AGE">'M&amp;S Inputs'!$B$628:$B$673</definedName>
    <definedName name="DEPR_VALUES">'M&amp;S Inputs'!$C$628:$L$673</definedName>
    <definedName name="caRCN">'Cost Approach'!$G$51</definedName>
    <definedName name="caRCNDeprec">'Cost Approach'!$G$64</definedName>
    <definedName name="caValue">'Cost Approach'!$G$69</definedName>
    <definedName name="_Hlk504124707" localSheetId="1">FE!#REF!</definedName>
    <definedName name="_xlnm.Print_Area" localSheetId="6">'Final Value'!$C$2:$F$33</definedName>
    <definedName name="ArrTot" localSheetId="11">[5]Assumptions!$F$9:$G$21</definedName>
    <definedName name="caLandValueRNDPresent" localSheetId="11">#REF!</definedName>
    <definedName name="caRCN" localSheetId="11">'[8]Cost Analysis Estimated Costs'!$G$33</definedName>
    <definedName name="caRCNDeprec" localSheetId="11">'[8]Cost Analysis Estimated Costs'!$G$56</definedName>
    <definedName name="iaBOIRate" localSheetId="11">'[8]Cap Rate'!#REF!</definedName>
    <definedName name="iaIntRateBase" localSheetId="11">'[8]Cap Rate'!#REF!</definedName>
    <definedName name="iaLoanAmo" localSheetId="11">'[8]Cap Rate'!#REF!</definedName>
    <definedName name="iaLoanMtgConstant" localSheetId="11">'[8]Cap Rate'!#REF!</definedName>
    <definedName name="iaLoanTV" localSheetId="11">'[8]Cap Rate'!#REF!</definedName>
    <definedName name="iaOARBrokers" localSheetId="11">'[8]Cap Rate'!$AI$72</definedName>
    <definedName name="iaOARDCR" localSheetId="11">'[8]Cap Rate'!$AC$64</definedName>
    <definedName name="iaProjMgmtPct" localSheetId="11">[8]PF!#REF!</definedName>
    <definedName name="iaValueDirectCapRNDPresent" localSheetId="11">#REF!</definedName>
    <definedName name="iaValueYieldCapRNDPresent" localSheetId="11">#REF!</definedName>
    <definedName name="OARSpread" localSheetId="11">#REF!</definedName>
    <definedName name="QualArray" localSheetId="11">[5]Assumptions!$E$9:$F$21</definedName>
    <definedName name="saValueComparisonRNDPresent" localSheetId="11">#REF!</definedName>
    <definedName name="vcPSFOptions" localSheetId="11">#REF!</definedName>
    <definedName name="vcPSFOptions1" localSheetId="11">#REF!</definedName>
    <definedName name="vcPSFOptions2" localSheetId="11">#REF!</definedName>
    <definedName name="vcPSFOptions3" localSheetId="11">#REF!</definedName>
    <definedName name="vcPSFOptions4" localSheetId="11">#REF!</definedName>
    <definedName name="vcValueFinalScen" localSheetId="11">#REF!</definedName>
    <definedName name="_xlnm._FilterDatabase" localSheetId="11" hidden="1">'Export030823'!$B$1:$X$5</definedName>
    <definedName name="iaBOIRate" localSheetId="12">'[12]Cap Rate'!#REF!</definedName>
    <definedName name="iaIntRateBase" localSheetId="12">'[12]Cap Rate'!#REF!</definedName>
    <definedName name="iaLoanAmo" localSheetId="12">'[12]Cap Rate'!#REF!</definedName>
    <definedName name="iaLoanMtgConstant" localSheetId="12">'[12]Cap Rate'!#REF!</definedName>
    <definedName name="iaLoanTV" localSheetId="12">'[12]Cap Rate'!#REF!</definedName>
    <definedName name="iaOARBrokers" localSheetId="12">'[12]Cap Rate'!$AI$72</definedName>
    <definedName name="iaOARDCR" localSheetId="12">'[12]Cap Rate'!$AC$64</definedName>
    <definedName name="iaProjMgmtPct" localSheetId="12">[12]PF!#REF!</definedName>
    <definedName name="vcPSFOptions" localSheetId="12">#REF!</definedName>
    <definedName name="vcPSFOptions1" localSheetId="12">#REF!</definedName>
    <definedName name="vcPSFOptions2" localSheetId="12">#REF!</definedName>
    <definedName name="_xlnm.Print_Area" localSheetId="12">'Basic Sales Grid'!$B$1:$I$36</definedName>
    <definedName name="_xlnm._FilterDatabase" localSheetId="24" hidden="1">'Property Registry'!$A$3:$P$3</definedName>
    <definedName name="_xlnm._FilterDatabase" localSheetId="25" hidden="1">'Expense Database'!$A$3:$AM$3</definedName>
    <definedName name="_xlnm._FilterDatabase" localSheetId="26" hidden="1">'PSF Summary'!$A$3:$AM$3</definedName>
  </definedNames>
  <calcPr calcId="191029" fullCalcOnLoad="1" calcCompleted="0"/>
</workbook>
</file>

<file path=xl/styles.xml><?xml version="1.0" encoding="utf-8"?>
<styleSheet xmlns="http://schemas.openxmlformats.org/spreadsheetml/2006/main">
  <numFmts count="40">
    <numFmt numFmtId="164" formatCode="&quot;$&quot;#,##0.00_);[Red]\(&quot;$&quot;#,##0.00\)"/>
    <numFmt numFmtId="165" formatCode="&quot;$&quot;#,##0_);\(&quot;$&quot;#,##0\)"/>
    <numFmt numFmtId="166" formatCode="_(&quot;$&quot;* #,##0.00_);_(&quot;$&quot;* \(#,##0.00\);_(&quot;$&quot;* &quot;-&quot;??_);_(@_)"/>
    <numFmt numFmtId="167" formatCode="&quot;$&quot;#,##0.00"/>
    <numFmt numFmtId="168" formatCode="_(* #,##0_);_(* \(#,##0\);_(* &quot;-&quot;??_);_(@_)"/>
    <numFmt numFmtId="169" formatCode="&quot;$&quot;#,##0"/>
    <numFmt numFmtId="170" formatCode="&quot;$&quot;#,##0.00_);\(&quot;$&quot;#,##0.00\)"/>
    <numFmt numFmtId="171" formatCode="0.0%"/>
    <numFmt numFmtId="172" formatCode="_(* #,##0.00_);_(* \(#,##0.00\);_(* &quot;-&quot;_);_(@_)"/>
    <numFmt numFmtId="173" formatCode="#,##0.00;;\-"/>
    <numFmt numFmtId="174" formatCode="&quot;Rounded to nearest &quot;\ &quot;$&quot;#,###"/>
    <numFmt numFmtId="175" formatCode="&quot;Based on Low-Range of&quot;\ 0.00%"/>
    <numFmt numFmtId="176" formatCode="&quot;Based on Most Probable Rate of &quot;0.00%"/>
    <numFmt numFmtId="177" formatCode="&quot;Based on High-Range of&quot;\ 0.00%"/>
    <numFmt numFmtId="178" formatCode="&quot;Sensitivity Analysis (&quot;0.00%\ &quot;OAR Spread)&quot;"/>
    <numFmt numFmtId="179" formatCode="[$-409]mmmm\ d\,\ yyyy;@"/>
    <numFmt numFmtId="180" formatCode="[$-409]mmm\-yy;@"/>
    <numFmt numFmtId="181" formatCode="_(&quot;$&quot;* #,##0_);_(&quot;$&quot;* \(#,##0\);_(&quot;$&quot;* &quot;-&quot;??_);_(@_)"/>
    <numFmt numFmtId="182" formatCode="_(* #,##0.000_);_(* \(#,##0.000\);_(* &quot;-&quot;??_);_(@_)"/>
    <numFmt numFmtId="183" formatCode="&quot;x  &quot;#,##0.000_)"/>
    <numFmt numFmtId="184" formatCode="0_);\(0\)"/>
    <numFmt numFmtId="185" formatCode="&quot;Page: &quot;0"/>
    <numFmt numFmtId="186" formatCode="#,##0%"/>
    <numFmt numFmtId="187" formatCode="\$#,##0.00_);[Red]\(\$#,##0.00\)"/>
    <numFmt numFmtId="188" formatCode="\$#,##0"/>
    <numFmt numFmtId="189" formatCode="\$#,##0.00"/>
    <numFmt numFmtId="190" formatCode="#,##0.00%"/>
    <numFmt numFmtId="191" formatCode="#,##0\ &quot;square feet&quot;"/>
    <numFmt numFmtId="192" formatCode="#,##0.00\ &quot;square feet&quot;"/>
    <numFmt numFmtId="193" formatCode="&quot;$&quot;#,##0_);[Red]\(&quot;$&quot;#,##0\)"/>
    <numFmt numFmtId="194" formatCode="&quot;x  &quot;#,##0_)"/>
    <numFmt numFmtId="195" formatCode="&quot;(&quot;#,##0.00\ &quot;acres)&quot;"/>
    <numFmt numFmtId="196" formatCode="0\ &quot;months&quot;"/>
    <numFmt numFmtId="197" formatCode="&quot;$&quot;#,##0.00\ &quot;Per Square Foot&quot;"/>
    <numFmt numFmtId="198" formatCode="0.000"/>
    <numFmt numFmtId="199" formatCode="&quot;$&quot;#,##0;\(&quot;$&quot;#,##0\);&quot;-&quot;"/>
    <numFmt numFmtId="200" formatCode="0\ &quot;years &quot;"/>
    <numFmt numFmtId="201" formatCode="0.00\ &quot;: 1&quot;"/>
    <numFmt numFmtId="202" formatCode="0.00_);\(0.00\)"/>
    <numFmt numFmtId="203" formatCode="#,##0;;\-"/>
  </numFmts>
  <fonts count="105">
    <font>
      <name val="Calibri"/>
      <family val="2"/>
      <color theme="1"/>
      <sz val="11"/>
      <scheme val="minor"/>
    </font>
    <font>
      <name val="Calibri"/>
      <family val="2"/>
      <color theme="1"/>
      <sz val="11"/>
      <scheme val="minor"/>
    </font>
    <font>
      <name val="Calibri"/>
      <family val="2"/>
      <b val="1"/>
      <color rgb="FFFFFFFF"/>
      <sz val="10"/>
      <scheme val="minor"/>
    </font>
    <font>
      <name val="Calibri"/>
      <family val="2"/>
      <b val="1"/>
      <sz val="10"/>
      <scheme val="minor"/>
    </font>
    <font>
      <name val="Calibri"/>
      <family val="2"/>
      <sz val="9"/>
      <scheme val="minor"/>
    </font>
    <font>
      <name val="Calibri"/>
      <family val="2"/>
      <b val="1"/>
      <color theme="1"/>
      <sz val="11"/>
      <scheme val="minor"/>
    </font>
    <font>
      <name val="Calibri"/>
      <family val="2"/>
      <b val="1"/>
      <color theme="0"/>
      <sz val="9"/>
      <scheme val="minor"/>
    </font>
    <font>
      <name val="Calibri"/>
      <family val="2"/>
      <b val="1"/>
      <sz val="9"/>
      <scheme val="minor"/>
    </font>
    <font>
      <name val="Calibri"/>
      <family val="2"/>
      <b val="1"/>
      <color theme="0"/>
      <sz val="10"/>
      <scheme val="minor"/>
    </font>
    <font>
      <name val="Calibri"/>
      <family val="2"/>
      <color theme="1"/>
      <sz val="9"/>
      <scheme val="minor"/>
    </font>
    <font>
      <name val="Calibri"/>
      <family val="2"/>
      <b val="1"/>
      <color theme="1"/>
      <sz val="8"/>
    </font>
    <font>
      <name val="Calibri"/>
      <family val="2"/>
      <b val="1"/>
      <sz val="8"/>
    </font>
    <font>
      <name val="Calibri"/>
      <family val="2"/>
      <color theme="1"/>
      <sz val="8"/>
      <scheme val="minor"/>
    </font>
    <font>
      <name val="Calibri"/>
      <family val="2"/>
      <color theme="1"/>
      <sz val="10"/>
      <scheme val="minor"/>
    </font>
    <font>
      <name val="Calibri"/>
      <family val="2"/>
      <color indexed="12"/>
      <sz val="10"/>
      <scheme val="minor"/>
    </font>
    <font>
      <name val="Calibri"/>
      <family val="2"/>
      <b val="1"/>
      <sz val="9"/>
    </font>
    <font>
      <name val="Calibri"/>
      <family val="2"/>
      <b val="1"/>
      <color theme="1"/>
      <sz val="9"/>
      <scheme val="minor"/>
    </font>
    <font>
      <name val="Calibri"/>
      <family val="2"/>
      <color indexed="8"/>
      <sz val="9"/>
      <scheme val="minor"/>
    </font>
    <font>
      <name val="Calibri"/>
      <family val="2"/>
      <sz val="9"/>
    </font>
    <font>
      <name val="Calibri"/>
      <family val="2"/>
      <b val="1"/>
      <color indexed="8"/>
      <sz val="9"/>
      <scheme val="minor"/>
    </font>
    <font>
      <name val="Calibri"/>
      <family val="2"/>
      <b val="1"/>
      <color indexed="9"/>
      <sz val="10"/>
      <scheme val="minor"/>
    </font>
    <font>
      <name val="Calibri"/>
      <family val="2"/>
      <b val="1"/>
      <color indexed="9"/>
      <sz val="11"/>
      <scheme val="minor"/>
    </font>
    <font>
      <name val="Calibri"/>
      <family val="2"/>
      <color theme="0"/>
      <sz val="9"/>
      <scheme val="minor"/>
    </font>
    <font>
      <name val="Calibri"/>
      <family val="2"/>
      <sz val="10"/>
      <scheme val="minor"/>
    </font>
    <font>
      <name val="Calibri"/>
      <family val="2"/>
      <color indexed="12"/>
      <sz val="9"/>
      <scheme val="minor"/>
    </font>
    <font>
      <name val="Calibri"/>
      <family val="2"/>
      <b val="1"/>
      <color indexed="9"/>
      <sz val="9"/>
      <scheme val="minor"/>
    </font>
    <font>
      <name val="Calibri"/>
      <family val="2"/>
      <b val="1"/>
      <color indexed="12"/>
      <sz val="9"/>
      <scheme val="minor"/>
    </font>
    <font>
      <name val="Franklin Gothic Demi"/>
      <family val="2"/>
      <sz val="10"/>
    </font>
    <font>
      <name val="Verdana"/>
      <family val="2"/>
      <b val="1"/>
      <sz val="9"/>
    </font>
    <font>
      <name val="Calibri"/>
      <family val="2"/>
      <i val="1"/>
      <color theme="1"/>
      <sz val="11"/>
      <scheme val="minor"/>
    </font>
    <font>
      <name val="Calibri"/>
      <family val="2"/>
      <b val="1"/>
      <color theme="0" tint="-0.0499893185216834"/>
      <sz val="10"/>
      <scheme val="minor"/>
    </font>
    <font>
      <name val="Calibri"/>
      <family val="2"/>
      <color theme="0"/>
      <sz val="11"/>
      <scheme val="minor"/>
    </font>
    <font>
      <name val="Calibri"/>
      <family val="2"/>
      <sz val="11"/>
      <scheme val="minor"/>
    </font>
    <font>
      <name val="Calibri"/>
      <family val="2"/>
      <b val="1"/>
      <color rgb="FF0070C0"/>
      <sz val="9"/>
    </font>
    <font>
      <name val="Calibri"/>
      <family val="2"/>
      <b val="1"/>
      <sz val="11"/>
      <scheme val="minor"/>
    </font>
    <font>
      <name val="Calibri"/>
      <family val="2"/>
      <b val="1"/>
      <i val="1"/>
      <sz val="9"/>
      <scheme val="minor"/>
    </font>
    <font>
      <name val="Calibri"/>
      <family val="2"/>
      <sz val="11"/>
      <u val="singleAccounting"/>
      <scheme val="minor"/>
    </font>
    <font>
      <name val="Calibri"/>
      <family val="2"/>
      <b val="1"/>
      <i val="1"/>
      <sz val="11"/>
      <scheme val="minor"/>
    </font>
    <font>
      <name val="Calibri"/>
      <family val="2"/>
      <color rgb="FF0000FF"/>
      <sz val="9"/>
      <scheme val="minor"/>
    </font>
    <font>
      <name val="Calibri"/>
      <family val="2"/>
      <b val="1"/>
      <color theme="0"/>
      <sz val="11"/>
      <scheme val="minor"/>
    </font>
    <font>
      <name val="Calibri"/>
      <family val="2"/>
      <b val="1"/>
      <color rgb="FFFFFFFF"/>
      <sz val="11"/>
    </font>
    <font>
      <name val="Calibri"/>
      <family val="2"/>
      <color theme="1"/>
      <sz val="11"/>
    </font>
    <font>
      <name val="Calibri"/>
      <family val="2"/>
      <b val="1"/>
      <color theme="0"/>
      <sz val="11"/>
    </font>
    <font>
      <name val="Calibri"/>
      <family val="2"/>
      <b val="1"/>
      <color theme="1"/>
      <sz val="11"/>
    </font>
    <font>
      <name val="Calibri"/>
      <family val="2"/>
      <b val="1"/>
      <sz val="11"/>
    </font>
    <font>
      <name val="Calibri"/>
      <family val="2"/>
      <b val="1"/>
      <color theme="0" tint="-0.0499893185216834"/>
      <sz val="11"/>
      <scheme val="minor"/>
    </font>
    <font>
      <name val="Calibri"/>
      <family val="2"/>
      <b val="1"/>
      <color rgb="FFFF0000"/>
      <sz val="11"/>
      <scheme val="minor"/>
    </font>
    <font>
      <name val="Calibri"/>
      <family val="2"/>
      <color indexed="8"/>
      <sz val="11"/>
      <scheme val="minor"/>
    </font>
    <font>
      <name val="Calibri"/>
      <family val="2"/>
      <sz val="11"/>
    </font>
    <font>
      <name val="Calibri"/>
      <family val="2"/>
      <color indexed="8"/>
      <sz val="11"/>
    </font>
    <font>
      <name val="Calibri"/>
      <family val="2"/>
      <b val="1"/>
      <color indexed="8"/>
      <sz val="11"/>
      <scheme val="minor"/>
    </font>
    <font>
      <name val="Calibri"/>
      <family val="2"/>
      <b val="1"/>
      <color indexed="12"/>
      <sz val="11"/>
    </font>
    <font>
      <name val="Calibri"/>
      <family val="2"/>
      <b val="1"/>
      <color indexed="8"/>
      <sz val="11"/>
    </font>
    <font>
      <name val="Calibri"/>
      <family val="2"/>
      <color indexed="12"/>
      <sz val="11"/>
    </font>
    <font>
      <name val="Calibri"/>
      <family val="2"/>
      <i val="1"/>
      <color indexed="8"/>
      <sz val="11"/>
      <scheme val="minor"/>
    </font>
    <font>
      <name val="Calibri"/>
      <family val="2"/>
      <b val="1"/>
      <color indexed="9"/>
      <sz val="11"/>
    </font>
    <font>
      <name val="Calibri"/>
      <family val="2"/>
      <i val="1"/>
      <color indexed="8"/>
      <sz val="11"/>
    </font>
    <font>
      <name val="Calibri"/>
      <family val="2"/>
      <i val="1"/>
      <sz val="11"/>
    </font>
    <font>
      <name val="Calibri"/>
      <family val="2"/>
      <b val="1"/>
      <color rgb="FFFFFFFF"/>
      <sz val="11"/>
      <scheme val="minor"/>
    </font>
    <font>
      <name val="Calibri"/>
      <family val="2"/>
      <color rgb="FF000000"/>
      <sz val="11"/>
      <scheme val="minor"/>
    </font>
    <font>
      <name val="Calibri"/>
      <family val="2"/>
      <b val="1"/>
      <color rgb="FF000000"/>
      <sz val="11"/>
      <scheme val="minor"/>
    </font>
    <font>
      <name val="Arial"/>
      <family val="2"/>
      <color indexed="8"/>
      <sz val="11"/>
    </font>
    <font>
      <name val="Calibri"/>
      <family val="2"/>
      <i val="1"/>
      <sz val="11"/>
      <scheme val="minor"/>
    </font>
    <font>
      <name val="Calibri"/>
      <family val="2"/>
      <b val="1"/>
      <color theme="9" tint="0.3999755851924192"/>
      <sz val="11"/>
      <scheme val="minor"/>
    </font>
    <font>
      <name val="Wingdings"/>
      <charset val="2"/>
      <color theme="1"/>
      <sz val="11"/>
    </font>
    <font>
      <name val="Calibri"/>
      <family val="2"/>
      <b val="1"/>
      <sz val="11"/>
      <u val="single"/>
      <scheme val="minor"/>
    </font>
    <font>
      <name val="Arial"/>
      <family val="2"/>
      <sz val="10"/>
    </font>
    <font>
      <name val="Calibri"/>
      <family val="2"/>
      <b val="1"/>
      <color rgb="FF000000"/>
      <sz val="11"/>
    </font>
    <font>
      <name val="Calibri"/>
      <family val="2"/>
      <color rgb="FF000000"/>
      <sz val="11"/>
    </font>
    <font>
      <name val="Calibri"/>
      <family val="2"/>
      <color theme="0" tint="-0.249977111117893"/>
      <sz val="11"/>
      <scheme val="minor"/>
    </font>
    <font>
      <name val="Calibri"/>
      <family val="2"/>
      <color rgb="FF333333"/>
      <sz val="11"/>
    </font>
    <font>
      <name val="Calibri"/>
      <color theme="1"/>
      <sz val="11"/>
      <scheme val="minor"/>
    </font>
    <font>
      <name val="Calibri"/>
      <family val="2"/>
      <i val="1"/>
      <color theme="1"/>
      <sz val="9"/>
      <scheme val="minor"/>
    </font>
    <font>
      <name val="Calibri"/>
      <family val="2"/>
      <b val="1"/>
      <sz val="10"/>
    </font>
    <font>
      <name val="Calibri"/>
      <family val="2"/>
      <b val="1"/>
      <i val="1"/>
      <sz val="10"/>
    </font>
    <font>
      <name val="Arial"/>
      <family val="2"/>
      <color theme="0" tint="-0.249977111117893"/>
      <sz val="10"/>
    </font>
    <font>
      <name val="Calibri"/>
      <family val="2"/>
      <b val="1"/>
      <color rgb="FFFFFFFF"/>
      <sz val="13"/>
      <scheme val="minor"/>
    </font>
    <font>
      <name val="Calibri"/>
      <family val="2"/>
      <i val="1"/>
      <color rgb="FFFF0000"/>
      <sz val="11"/>
      <scheme val="minor"/>
    </font>
    <font>
      <name val="Calibri"/>
      <family val="2"/>
      <b val="1"/>
      <i val="1"/>
      <color rgb="FFFFFFFF"/>
      <sz val="11"/>
      <scheme val="minor"/>
    </font>
    <font>
      <name val="Arial"/>
      <b val="1"/>
      <color rgb="FF000000"/>
      <sz val="10"/>
    </font>
    <font>
      <name val="Arial"/>
      <color rgb="FF0000FF"/>
      <sz val="10"/>
    </font>
    <font>
      <name val="Arial"/>
      <color rgb="FF000000"/>
      <sz val="10"/>
    </font>
    <font>
      <name val="Aptos Narrow"/>
      <b val="1"/>
      <color rgb="FFFFFFFF"/>
      <sz val="13"/>
    </font>
    <font>
      <name val="Calibri"/>
      <sz val="10"/>
    </font>
    <font>
      <name val="Aptos Narrow"/>
      <i val="1"/>
      <color rgb="FFFFFFFF"/>
      <sz val="10"/>
    </font>
    <font>
      <name val="Aptos Narrow"/>
      <b val="1"/>
      <color rgb="FFFFFFFF"/>
      <sz val="10"/>
    </font>
    <font>
      <name val="Calibri"/>
      <b val="1"/>
      <sz val="10"/>
    </font>
    <font>
      <name val="Aptos Narrow"/>
      <sz val="10"/>
    </font>
    <font>
      <name val="Calibri"/>
      <b val="1"/>
      <color rgb="FFFFFFFF"/>
      <sz val="13"/>
    </font>
    <font>
      <name val="Aptos Narrow"/>
      <b val="1"/>
      <sz val="10"/>
    </font>
    <font>
      <name val="Calibri"/>
      <i val="1"/>
      <sz val="9"/>
    </font>
    <font>
      <name val="Calibri"/>
      <b val="1"/>
      <sz val="9"/>
    </font>
    <font>
      <b val="1"/>
    </font>
    <font>
      <b val="1"/>
      <sz val="13"/>
    </font>
    <font>
      <b val="1"/>
      <color rgb="00FFFFFF"/>
      <sz val="12"/>
    </font>
    <font>
      <b val="1"/>
      <sz val="10"/>
    </font>
    <font>
      <b val="1"/>
      <color rgb="00203864"/>
      <sz val="12"/>
    </font>
    <font>
      <b val="1"/>
      <color rgb="001F4E78"/>
      <sz val="10"/>
    </font>
    <font>
      <b val="1"/>
      <sz val="9"/>
    </font>
    <font>
      <i val="1"/>
      <color rgb="00C00000"/>
      <sz val="8"/>
    </font>
    <font>
      <i val="1"/>
      <color rgb="00666666"/>
      <sz val="8"/>
    </font>
    <font/>
    <font>
      <b val="1"/>
      <color rgb="00FFFFFF"/>
      <sz val="11"/>
    </font>
    <font>
      <b val="1"/>
      <sz val="12"/>
    </font>
    <font>
      <b val="1"/>
      <color rgb="00203864"/>
      <sz val="14"/>
    </font>
  </fonts>
  <fills count="58">
    <fill>
      <patternFill/>
    </fill>
    <fill>
      <patternFill patternType="gray125"/>
    </fill>
    <fill>
      <patternFill patternType="solid">
        <fgColor rgb="FF125370"/>
        <bgColor indexed="64"/>
      </patternFill>
    </fill>
    <fill>
      <patternFill patternType="solid">
        <fgColor theme="0" tint="-0.1499984740745262"/>
        <bgColor indexed="64"/>
      </patternFill>
    </fill>
    <fill>
      <patternFill patternType="solid">
        <fgColor rgb="FF337AB7"/>
        <bgColor indexed="64"/>
      </patternFill>
    </fill>
    <fill>
      <patternFill patternType="solid">
        <fgColor rgb="FFFFFF00"/>
        <bgColor indexed="64"/>
      </patternFill>
    </fill>
    <fill>
      <patternFill patternType="solid">
        <fgColor theme="0"/>
        <bgColor indexed="64"/>
      </patternFill>
    </fill>
    <fill>
      <patternFill patternType="solid">
        <fgColor indexed="47"/>
        <bgColor indexed="64"/>
      </patternFill>
    </fill>
    <fill>
      <patternFill patternType="solid">
        <fgColor theme="0" tint="-0.1499069185460982"/>
        <bgColor indexed="64"/>
      </patternFill>
    </fill>
    <fill>
      <patternFill patternType="solid">
        <fgColor rgb="FF808080"/>
        <bgColor indexed="64"/>
      </patternFill>
    </fill>
    <fill>
      <patternFill patternType="solid">
        <fgColor rgb="FFFFFFFF"/>
        <bgColor indexed="64"/>
      </patternFill>
    </fill>
    <fill>
      <patternFill patternType="solid">
        <fgColor rgb="FFD9D9D9"/>
        <bgColor indexed="64"/>
      </patternFill>
    </fill>
    <fill>
      <patternFill patternType="solid">
        <fgColor rgb="FF000000"/>
        <bgColor indexed="64"/>
      </patternFill>
    </fill>
    <fill>
      <patternFill patternType="solid">
        <fgColor theme="0"/>
        <bgColor theme="4"/>
      </patternFill>
    </fill>
    <fill>
      <patternFill patternType="solid">
        <fgColor theme="7" tint="0.7999816888943144"/>
        <bgColor indexed="64"/>
      </patternFill>
    </fill>
    <fill>
      <patternFill patternType="solid">
        <fgColor theme="0" tint="-0.499984740745262"/>
        <bgColor indexed="64"/>
      </patternFill>
    </fill>
    <fill>
      <patternFill patternType="solid">
        <fgColor rgb="FF005710"/>
        <bgColor indexed="64"/>
      </patternFill>
    </fill>
    <fill>
      <patternFill patternType="solid">
        <fgColor theme="1" tint="0.499984740745262"/>
        <bgColor indexed="64"/>
      </patternFill>
    </fill>
    <fill>
      <patternFill patternType="solid">
        <fgColor theme="9" tint="0.3999755851924192"/>
        <bgColor theme="4"/>
      </patternFill>
    </fill>
    <fill>
      <patternFill patternType="solid">
        <fgColor theme="2" tint="-0.499984740745262"/>
        <bgColor indexed="64"/>
      </patternFill>
    </fill>
    <fill>
      <patternFill patternType="solid">
        <fgColor rgb="FF005710"/>
        <bgColor rgb="FF000000"/>
      </patternFill>
    </fill>
    <fill>
      <patternFill patternType="solid">
        <fgColor theme="2" tint="-0.499984740745262"/>
        <bgColor rgb="FF000000"/>
      </patternFill>
    </fill>
    <fill>
      <patternFill patternType="solid">
        <fgColor theme="0" tint="-0.0499893185216834"/>
        <bgColor indexed="64"/>
      </patternFill>
    </fill>
    <fill>
      <patternFill patternType="solid">
        <fgColor rgb="FFFFFFCC"/>
        <bgColor indexed="64"/>
      </patternFill>
    </fill>
    <fill>
      <patternFill patternType="solid">
        <fgColor rgb="FFD3D3D3"/>
        <bgColor indexed="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C9C9FF"/>
        <bgColor rgb="FFC9C9FF"/>
      </patternFill>
    </fill>
    <fill>
      <patternFill patternType="solid">
        <fgColor rgb="FFFFD966"/>
        <bgColor rgb="FFFFD966"/>
      </patternFill>
    </fill>
    <fill>
      <patternFill patternType="solid">
        <fgColor rgb="FFB4C6E7"/>
        <bgColor rgb="FFB4C6E7"/>
      </patternFill>
    </fill>
    <fill>
      <patternFill patternType="solid">
        <fgColor rgb="FFF4B084"/>
        <bgColor rgb="FFF4B084"/>
      </patternFill>
    </fill>
    <fill>
      <patternFill patternType="solid">
        <fgColor rgb="FFD9D2E9"/>
        <bgColor rgb="FFD9D2E9"/>
      </patternFill>
    </fill>
    <fill>
      <patternFill patternType="solid">
        <fgColor rgb="FFA9D18E"/>
        <bgColor rgb="FFA9D18E"/>
      </patternFill>
    </fill>
    <fill>
      <patternFill patternType="solid">
        <fgColor rgb="FFF8CBAD"/>
        <bgColor rgb="FFF8CBAD"/>
      </patternFill>
    </fill>
    <fill>
      <patternFill patternType="solid">
        <fgColor rgb="FFF2F2F2"/>
      </patternFill>
    </fill>
    <fill>
      <patternFill patternType="solid">
        <fgColor rgb="FF1F3864"/>
      </patternFill>
    </fill>
    <fill>
      <patternFill patternType="solid">
        <fgColor rgb="FF2F5496"/>
      </patternFill>
    </fill>
    <fill>
      <patternFill patternType="solid">
        <fgColor rgb="FFD9E1F2"/>
      </patternFill>
    </fill>
    <fill>
      <patternFill patternType="solid">
        <fgColor rgb="FFD6E4F0"/>
      </patternFill>
    </fill>
    <fill>
      <patternFill patternType="solid">
        <fgColor rgb="FFFFF2CC"/>
      </patternFill>
    </fill>
    <fill>
      <patternFill patternType="solid">
        <fgColor rgb="FFEBF3FB"/>
      </patternFill>
    </fill>
    <fill>
      <patternFill patternType="solid">
        <fgColor rgb="FFE2EFDA"/>
      </patternFill>
    </fill>
    <fill>
      <patternFill patternType="solid">
        <fgColor rgb="FFFCE4D6"/>
      </patternFill>
    </fill>
    <fill>
      <patternFill patternType="solid">
        <fgColor rgb="00FFF2CC"/>
      </patternFill>
    </fill>
    <fill>
      <patternFill patternType="solid">
        <fgColor rgb="00D9E8FB"/>
      </patternFill>
    </fill>
    <fill>
      <patternFill patternType="solid">
        <fgColor rgb="00FFFFFF"/>
      </patternFill>
    </fill>
    <fill>
      <patternFill patternType="solid">
        <fgColor rgb="00C00000"/>
      </patternFill>
    </fill>
    <fill>
      <patternFill patternType="solid">
        <fgColor rgb="00203864"/>
      </patternFill>
    </fill>
    <fill>
      <patternFill patternType="solid">
        <fgColor rgb="00D6DCE5"/>
      </patternFill>
    </fill>
    <fill>
      <patternFill patternType="solid">
        <fgColor rgb="0070AD47"/>
      </patternFill>
    </fill>
    <fill>
      <patternFill patternType="solid">
        <fgColor rgb="00DDEBF7"/>
      </patternFill>
    </fill>
    <fill>
      <patternFill patternType="solid">
        <fgColor rgb="00E2EFDA"/>
      </patternFill>
    </fill>
    <fill>
      <patternFill patternType="solid">
        <fgColor rgb="004472C4"/>
      </patternFill>
    </fill>
    <fill>
      <patternFill patternType="solid">
        <fgColor rgb="00F2F2F2"/>
      </patternFill>
    </fill>
    <fill>
      <patternFill patternType="solid">
        <fgColor rgb="001F3864"/>
      </patternFill>
    </fill>
    <fill>
      <patternFill patternType="solid">
        <fgColor rgb="00D9E1F2"/>
      </patternFill>
    </fill>
    <fill>
      <patternFill patternType="solid">
        <fgColor rgb="0044546A"/>
      </patternFill>
    </fill>
  </fills>
  <borders count="87">
    <border>
      <left/>
      <right/>
      <top/>
      <bottom/>
      <diagonal/>
    </border>
    <border>
      <left/>
      <right/>
      <top/>
      <bottom style="thin">
        <color auto="1"/>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int="-0.249946592608417"/>
      </top>
      <bottom/>
      <diagonal/>
    </border>
    <border>
      <left/>
      <right/>
      <top style="thin">
        <color theme="1"/>
      </top>
      <bottom/>
      <diagonal/>
    </border>
    <border>
      <left/>
      <right/>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hair">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theme="0" tint="-0.1499069185460982"/>
      </top>
      <bottom style="thin">
        <color theme="0" tint="-0.1499069185460982"/>
      </bottom>
      <diagonal/>
    </border>
    <border>
      <left style="thin">
        <color indexed="64"/>
      </left>
      <right style="hair">
        <color indexed="64"/>
      </right>
      <top/>
      <bottom style="thin">
        <color indexed="64"/>
      </bottom>
      <diagonal/>
    </border>
    <border>
      <left style="thin">
        <color indexed="64"/>
      </left>
      <right style="thin">
        <color indexed="64"/>
      </right>
      <top/>
      <bottom style="thin">
        <color indexed="64"/>
      </bottom>
      <diagonal/>
    </border>
    <border>
      <left/>
      <right/>
      <top style="thin">
        <color theme="0" tint="-0.1499069185460982"/>
      </top>
      <bottom style="thin">
        <color theme="0" tint="-0.1499069185460982"/>
      </bottom>
      <diagonal/>
    </border>
    <border>
      <left/>
      <right/>
      <top style="thin">
        <color theme="1"/>
      </top>
      <bottom style="thin">
        <color theme="1"/>
      </bottom>
      <diagonal/>
    </border>
    <border>
      <left style="double">
        <color indexed="64"/>
      </left>
      <right/>
      <top/>
      <bottom style="medium">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theme="1"/>
      </top>
      <bottom/>
      <diagonal/>
    </border>
    <border>
      <left style="thin">
        <color indexed="64"/>
      </left>
      <right/>
      <top style="thin">
        <color theme="1"/>
      </top>
      <bottom style="thin">
        <color theme="1"/>
      </bottom>
      <diagonal/>
    </border>
    <border>
      <left/>
      <right style="thin">
        <color auto="1"/>
      </right>
      <top style="thin">
        <color auto="1"/>
      </top>
      <bottom/>
      <diagonal/>
    </border>
    <border>
      <left/>
      <right style="thin">
        <color indexed="64"/>
      </right>
      <top style="thin">
        <color theme="1"/>
      </top>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thin">
        <color indexed="64"/>
      </top>
      <bottom style="thin">
        <color theme="0" tint="-0.249946592608417"/>
      </bottom>
      <diagonal/>
    </border>
    <border>
      <left/>
      <right/>
      <top style="thin">
        <color indexed="64"/>
      </top>
      <bottom style="thin">
        <color theme="0" tint="-0.249946592608417"/>
      </bottom>
      <diagonal/>
    </border>
    <border>
      <left/>
      <right style="thin">
        <color indexed="64"/>
      </right>
      <top style="thin">
        <color indexed="64"/>
      </top>
      <bottom style="thin">
        <color theme="0" tint="-0.249946592608417"/>
      </bottom>
      <diagonal/>
    </border>
    <border>
      <left style="thin">
        <color indexed="64"/>
      </left>
      <right/>
      <top style="thin">
        <color indexed="64"/>
      </top>
      <bottom style="thin">
        <color theme="1"/>
      </bottom>
      <diagonal/>
    </border>
    <border>
      <left/>
      <right style="thin">
        <color theme="0" tint="-0.1499069185460982"/>
      </right>
      <top/>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style="thin">
        <color theme="0" tint="-0.249946592608417"/>
      </top>
      <bottom style="thin">
        <color indexed="64"/>
      </bottom>
      <diagonal/>
    </border>
    <border>
      <left style="thin">
        <color indexed="64"/>
      </left>
      <right/>
      <top/>
      <bottom style="thin">
        <color theme="0" tint="-0.249946592608417"/>
      </bottom>
      <diagonal/>
    </border>
    <border>
      <left style="thin">
        <color indexed="64"/>
      </left>
      <right/>
      <top style="thin">
        <color theme="0" tint="-0.249946592608417"/>
      </top>
      <bottom style="thin">
        <color theme="0" tint="-0.249946592608417"/>
      </bottom>
      <diagonal/>
    </border>
    <border>
      <left style="thin">
        <color indexed="64"/>
      </left>
      <right/>
      <top style="thin">
        <color theme="0" tint="-0.249946592608417"/>
      </top>
      <bottom style="thin">
        <color indexed="64"/>
      </bottom>
      <diagonal/>
    </border>
    <border>
      <left/>
      <right/>
      <top style="thin">
        <color indexed="64"/>
      </top>
      <bottom style="thin">
        <color theme="0" tint="-0.1499069185460982"/>
      </bottom>
      <diagonal/>
    </border>
    <border>
      <left/>
      <right style="thin">
        <color indexed="64"/>
      </right>
      <top style="thin">
        <color indexed="64"/>
      </top>
      <bottom style="thin">
        <color theme="0" tint="-0.1499069185460982"/>
      </bottom>
      <diagonal/>
    </border>
    <border>
      <left/>
      <right style="thin">
        <color indexed="64"/>
      </right>
      <top style="thin">
        <color theme="0" tint="-0.1499069185460982"/>
      </top>
      <bottom style="thin">
        <color theme="0" tint="-0.1499069185460982"/>
      </bottom>
      <diagonal/>
    </border>
    <border>
      <left style="thin">
        <color indexed="64"/>
      </left>
      <right style="thin">
        <color indexed="64"/>
      </right>
      <top style="thin">
        <color theme="0" tint="-0.1499069185460982"/>
      </top>
      <bottom/>
      <diagonal/>
    </border>
    <border>
      <left/>
      <right/>
      <top style="thin">
        <color theme="0" tint="-0.1499069185460982"/>
      </top>
      <bottom style="thin">
        <color theme="0" tint="-0.249946592608417"/>
      </bottom>
      <diagonal/>
    </border>
    <border>
      <left/>
      <right style="thin">
        <color indexed="64"/>
      </right>
      <top style="thin">
        <color theme="0" tint="-0.1499069185460982"/>
      </top>
      <bottom style="thin">
        <color theme="0" tint="-0.249946592608417"/>
      </bottom>
      <diagonal/>
    </border>
    <border>
      <left/>
      <right style="thin">
        <color indexed="64"/>
      </right>
      <top style="thin">
        <color theme="0" tint="-0.249946592608417"/>
      </top>
      <bottom/>
      <diagonal/>
    </border>
    <border>
      <left/>
      <right style="thin">
        <color indexed="64"/>
      </right>
      <top style="thin">
        <color theme="0" tint="-0.249946592608417"/>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theme="1"/>
      </top>
      <bottom style="thin">
        <color indexed="64"/>
      </bottom>
      <diagonal/>
    </border>
    <border>
      <left style="thin">
        <color indexed="64"/>
      </left>
      <right style="thin">
        <color indexed="64"/>
      </right>
      <top style="thin">
        <color theme="1"/>
      </top>
      <bottom/>
      <diagonal/>
    </border>
    <border>
      <left style="thin">
        <color indexed="64"/>
      </left>
      <right style="thin">
        <color indexed="64"/>
      </right>
      <top style="thin">
        <color theme="1"/>
      </top>
      <bottom style="thin">
        <color theme="1"/>
      </bottom>
      <diagonal/>
    </border>
    <border>
      <left/>
      <right/>
      <top/>
      <bottom style="thin">
        <color rgb="FF125370"/>
      </bottom>
      <diagonal/>
    </border>
    <border>
      <left/>
      <right/>
      <top style="thin">
        <color rgb="FF125370"/>
      </top>
      <bottom/>
      <diagonal/>
    </border>
    <border>
      <left style="thin">
        <color indexed="64"/>
      </left>
      <right style="thin">
        <color indexed="64"/>
      </right>
      <top style="thin">
        <color indexed="64"/>
      </top>
      <bottom style="thin">
        <color theme="0" tint="-0.1499069185460982"/>
      </bottom>
      <diagonal/>
    </border>
    <border>
      <left style="thin">
        <color indexed="64"/>
      </left>
      <right style="thin">
        <color indexed="64"/>
      </right>
      <top style="thin">
        <color theme="0" tint="-0.1499069185460982"/>
      </top>
      <bottom style="thin">
        <color theme="0" tint="-0.1499069185460982"/>
      </bottom>
      <diagonal/>
    </border>
    <border>
      <left style="thin">
        <color indexed="64"/>
      </left>
      <right style="thin">
        <color indexed="64"/>
      </right>
      <top style="thin">
        <color theme="0" tint="-0.1499069185460982"/>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theme="1"/>
      </bottom>
      <diagonal/>
    </border>
    <border>
      <left style="thin">
        <color indexed="64"/>
      </left>
      <right style="thin">
        <color auto="1"/>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indexed="64"/>
      </right>
      <top style="thin">
        <color indexed="64"/>
      </top>
      <bottom/>
      <diagonal/>
    </border>
    <border>
      <left/>
      <right/>
      <top style="thin">
        <color theme="0" tint="-0.1499069185460982"/>
      </top>
      <bottom/>
      <diagonal/>
    </border>
    <border>
      <left/>
      <right style="thin">
        <color indexed="64"/>
      </right>
      <top style="thin">
        <color theme="0" tint="-0.1499069185460982"/>
      </top>
      <bottom/>
      <diagonal/>
    </border>
    <border>
      <left style="thin">
        <color rgb="00999999"/>
      </left>
      <right style="thin">
        <color rgb="00999999"/>
      </right>
      <top style="thin">
        <color rgb="00999999"/>
      </top>
      <bottom style="thin">
        <color rgb="00999999"/>
      </bottom>
    </border>
    <border>
      <left style="thin">
        <color auto="1"/>
      </left>
      <right style="thin">
        <color auto="1"/>
      </right>
      <top style="thin">
        <color auto="1"/>
      </top>
      <bottom style="thin">
        <color auto="1"/>
      </bottom>
      <diagonal/>
    </border>
    <border/>
    <border>
      <left style="thin">
        <color rgb="00BFBFBF"/>
      </left>
      <right style="thin">
        <color rgb="00BFBFBF"/>
      </right>
      <top style="thin">
        <color rgb="00BFBFBF"/>
      </top>
      <bottom style="thin">
        <color rgb="00BFBFBF"/>
      </bottom>
    </border>
    <border>
      <right/>
      <bottom/>
    </border>
  </borders>
  <cellStyleXfs count="15">
    <xf numFmtId="0" fontId="1" fillId="0" borderId="0"/>
    <xf numFmtId="0" fontId="1" fillId="0" borderId="0"/>
    <xf numFmtId="43" fontId="1" fillId="0" borderId="0"/>
    <xf numFmtId="44" fontId="1" fillId="0" borderId="0"/>
    <xf numFmtId="9" fontId="1" fillId="0" borderId="0"/>
    <xf numFmtId="0" fontId="27" fillId="7" borderId="25" applyAlignment="1">
      <alignment horizontal="centerContinuous"/>
    </xf>
    <xf numFmtId="0" fontId="28" fillId="7" borderId="26" applyAlignment="1">
      <alignment horizontal="centerContinuous" vertical="center"/>
    </xf>
    <xf numFmtId="0" fontId="28" fillId="7" borderId="27" applyAlignment="1">
      <alignment horizontal="center"/>
    </xf>
    <xf numFmtId="0" fontId="1" fillId="0" borderId="0"/>
    <xf numFmtId="0" fontId="1" fillId="0" borderId="0"/>
    <xf numFmtId="0" fontId="8" fillId="2" borderId="0" applyAlignment="1">
      <alignment horizontal="centerContinuous" vertical="center"/>
    </xf>
    <xf numFmtId="0" fontId="4" fillId="0" borderId="0" applyAlignment="1">
      <alignment horizontal="left" vertical="top" wrapText="1"/>
    </xf>
    <xf numFmtId="9" fontId="66" fillId="0" borderId="0"/>
    <xf numFmtId="0" fontId="71" fillId="0" borderId="0"/>
    <xf numFmtId="0" fontId="73" fillId="5" borderId="10" applyAlignment="1">
      <alignment horizontal="center" vertical="center" wrapText="1"/>
    </xf>
  </cellStyleXfs>
  <cellXfs count="2453">
    <xf numFmtId="0" fontId="0" fillId="0" borderId="0" pivotButton="0" quotePrefix="0" xfId="0"/>
    <xf numFmtId="0" fontId="6" fillId="4" borderId="0" pivotButton="0" quotePrefix="0" xfId="0"/>
    <xf numFmtId="0" fontId="4" fillId="0" borderId="0" pivotButton="0" quotePrefix="0" xfId="0"/>
    <xf numFmtId="0" fontId="7" fillId="0" borderId="0" pivotButton="0" quotePrefix="0" xfId="0"/>
    <xf numFmtId="0" fontId="9" fillId="0" borderId="0" applyAlignment="1" pivotButton="0" quotePrefix="0" xfId="0">
      <alignment wrapText="1"/>
    </xf>
    <xf numFmtId="0" fontId="5" fillId="0" borderId="0" pivotButton="0" quotePrefix="0" xfId="0"/>
    <xf numFmtId="0" fontId="11" fillId="0" borderId="0" applyAlignment="1" pivotButton="0" quotePrefix="0" xfId="0">
      <alignment horizontal="left" vertical="center" wrapText="1"/>
    </xf>
    <xf numFmtId="0" fontId="12" fillId="0" borderId="0" pivotButton="0" quotePrefix="0" xfId="0"/>
    <xf numFmtId="164" fontId="10" fillId="0" borderId="0" applyAlignment="1" pivotButton="0" quotePrefix="1" xfId="0">
      <alignment horizontal="center" vertical="top" wrapText="1"/>
    </xf>
    <xf numFmtId="164" fontId="10" fillId="0" borderId="0" applyAlignment="1" pivotButton="0" quotePrefix="0" xfId="0">
      <alignment horizontal="center" vertical="top" wrapText="1"/>
    </xf>
    <xf numFmtId="0" fontId="13" fillId="4" borderId="0" pivotButton="0" quotePrefix="0" xfId="0"/>
    <xf numFmtId="0" fontId="13" fillId="0" borderId="0" pivotButton="0" quotePrefix="0" xfId="0"/>
    <xf numFmtId="0" fontId="0" fillId="0" borderId="0" applyAlignment="1" pivotButton="0" quotePrefix="0" xfId="0">
      <alignment vertical="top"/>
    </xf>
    <xf numFmtId="0" fontId="17" fillId="0" borderId="0" applyAlignment="1" pivotButton="0" quotePrefix="0" xfId="0">
      <alignment horizontal="left"/>
    </xf>
    <xf numFmtId="0" fontId="17" fillId="0" borderId="1" pivotButton="0" quotePrefix="0" xfId="0"/>
    <xf numFmtId="164" fontId="0" fillId="0" borderId="0" pivotButton="0" quotePrefix="0" xfId="0"/>
    <xf numFmtId="0" fontId="6" fillId="4" borderId="0" applyAlignment="1" pivotButton="0" quotePrefix="0" xfId="0">
      <alignment horizontal="left" vertical="center"/>
    </xf>
    <xf numFmtId="0" fontId="6" fillId="4" borderId="0" applyAlignment="1" pivotButton="0" quotePrefix="0" xfId="0">
      <alignment horizontal="centerContinuous"/>
    </xf>
    <xf numFmtId="0" fontId="6" fillId="4" borderId="0" applyAlignment="1" pivotButton="0" quotePrefix="0" xfId="0">
      <alignment horizontal="centerContinuous" vertical="center"/>
    </xf>
    <xf numFmtId="0" fontId="8" fillId="4" borderId="0" applyAlignment="1" pivotButton="0" quotePrefix="0" xfId="0">
      <alignment horizontal="centerContinuous" vertical="center"/>
    </xf>
    <xf numFmtId="0" fontId="6" fillId="4" borderId="0" applyAlignment="1" pivotButton="0" quotePrefix="0" xfId="0">
      <alignment horizontal="center"/>
    </xf>
    <xf numFmtId="0" fontId="8" fillId="4" borderId="0" applyAlignment="1" pivotButton="0" quotePrefix="0" xfId="0">
      <alignment horizontal="centerContinuous"/>
    </xf>
    <xf numFmtId="0" fontId="8" fillId="4"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left" indent="1"/>
    </xf>
    <xf numFmtId="165" fontId="4" fillId="0" borderId="0" pivotButton="0" quotePrefix="0" xfId="3"/>
    <xf numFmtId="166" fontId="4" fillId="0" borderId="0" pivotButton="0" quotePrefix="0" xfId="3"/>
    <xf numFmtId="0" fontId="4" fillId="0" borderId="0" applyAlignment="1" pivotButton="0" quotePrefix="0" xfId="0">
      <alignment horizontal="right"/>
    </xf>
    <xf numFmtId="167" fontId="4" fillId="0" borderId="0" pivotButton="0" quotePrefix="0" xfId="0"/>
    <xf numFmtId="165" fontId="4" fillId="6" borderId="0" applyProtection="1" pivotButton="0" quotePrefix="0" xfId="3">
      <protection locked="0" hidden="0"/>
    </xf>
    <xf numFmtId="167" fontId="4" fillId="0" borderId="0" applyProtection="1" pivotButton="0" quotePrefix="0" xfId="0">
      <protection locked="0" hidden="0"/>
    </xf>
    <xf numFmtId="165" fontId="23" fillId="0" borderId="0" pivotButton="0" quotePrefix="0" xfId="0"/>
    <xf numFmtId="37" fontId="4" fillId="0" borderId="0" pivotButton="0" quotePrefix="0" xfId="3"/>
    <xf numFmtId="37" fontId="4" fillId="0" borderId="0" applyProtection="1" pivotButton="0" quotePrefix="0" xfId="3">
      <protection locked="0" hidden="0"/>
    </xf>
    <xf numFmtId="37" fontId="14" fillId="0" borderId="0" pivotButton="0" quotePrefix="0" xfId="0"/>
    <xf numFmtId="167" fontId="24" fillId="0" borderId="0" applyProtection="1" pivotButton="0" quotePrefix="0" xfId="0">
      <protection locked="0" hidden="0"/>
    </xf>
    <xf numFmtId="165" fontId="7" fillId="0" borderId="0" pivotButton="0" quotePrefix="0" xfId="3"/>
    <xf numFmtId="166" fontId="7" fillId="0" borderId="0" pivotButton="0" quotePrefix="0" xfId="3"/>
    <xf numFmtId="0" fontId="7" fillId="0" borderId="0" applyAlignment="1" pivotButton="0" quotePrefix="0" xfId="0">
      <alignment horizontal="right"/>
    </xf>
    <xf numFmtId="167" fontId="7" fillId="0" borderId="0" pivotButton="0" quotePrefix="0" xfId="0"/>
    <xf numFmtId="165" fontId="3" fillId="0" borderId="0" pivotButton="0" quotePrefix="0" xfId="0"/>
    <xf numFmtId="165" fontId="4" fillId="0" borderId="0" pivotButton="0" quotePrefix="0" xfId="0"/>
    <xf numFmtId="0" fontId="7" fillId="0" borderId="0" applyAlignment="1" pivotButton="0" quotePrefix="0" xfId="0">
      <alignment horizontal="left" indent="1"/>
    </xf>
    <xf numFmtId="37" fontId="23" fillId="0" borderId="0" pivotButton="0" quotePrefix="0" xfId="0"/>
    <xf numFmtId="165" fontId="4" fillId="4" borderId="0" pivotButton="0" quotePrefix="0" xfId="3"/>
    <xf numFmtId="0" fontId="4" fillId="4" borderId="0" applyAlignment="1" pivotButton="0" quotePrefix="0" xfId="0">
      <alignment horizontal="center"/>
    </xf>
    <xf numFmtId="167" fontId="4" fillId="4" borderId="0" pivotButton="0" quotePrefix="0" xfId="0"/>
    <xf numFmtId="0" fontId="23" fillId="4" borderId="0" pivotButton="0" quotePrefix="0" xfId="0"/>
    <xf numFmtId="168" fontId="4" fillId="0" borderId="0" pivotButton="0" quotePrefix="0" xfId="2"/>
    <xf numFmtId="169" fontId="4" fillId="0" borderId="0" pivotButton="0" quotePrefix="0" xfId="3"/>
    <xf numFmtId="168" fontId="4" fillId="0" borderId="0" pivotButton="0" quotePrefix="0" xfId="3"/>
    <xf numFmtId="168" fontId="4" fillId="4" borderId="0" pivotButton="0" quotePrefix="0" xfId="2"/>
    <xf numFmtId="37" fontId="4" fillId="4" borderId="0" applyProtection="1" pivotButton="0" quotePrefix="0" xfId="3">
      <protection locked="0" hidden="0"/>
    </xf>
    <xf numFmtId="167" fontId="24" fillId="4" borderId="0" applyProtection="1" pivotButton="0" quotePrefix="0" xfId="0">
      <protection locked="0" hidden="0"/>
    </xf>
    <xf numFmtId="37" fontId="23" fillId="4" borderId="0" pivotButton="0" quotePrefix="0" xfId="0"/>
    <xf numFmtId="165" fontId="14" fillId="0" borderId="0" pivotButton="0" quotePrefix="0" xfId="0"/>
    <xf numFmtId="169" fontId="4" fillId="0" borderId="0" pivotButton="0" quotePrefix="0" xfId="2"/>
    <xf numFmtId="169" fontId="24" fillId="0" borderId="0" pivotButton="0" quotePrefix="0" xfId="3"/>
    <xf numFmtId="167" fontId="23" fillId="0" borderId="0" pivotButton="0" quotePrefix="0" xfId="0"/>
    <xf numFmtId="165" fontId="7" fillId="0" borderId="0" applyAlignment="1" pivotButton="0" quotePrefix="0" xfId="3">
      <alignment horizontal="right"/>
    </xf>
    <xf numFmtId="169" fontId="26" fillId="0" borderId="0" pivotButton="0" quotePrefix="0" xfId="3"/>
    <xf numFmtId="0" fontId="7" fillId="0" borderId="0" applyAlignment="1" pivotButton="0" quotePrefix="0" xfId="0">
      <alignment horizontal="center"/>
    </xf>
    <xf numFmtId="167" fontId="3" fillId="0" borderId="0" pivotButton="0" quotePrefix="0" xfId="0"/>
    <xf numFmtId="165" fontId="7" fillId="0" borderId="9" pivotButton="0" quotePrefix="0" xfId="3"/>
    <xf numFmtId="0" fontId="7" fillId="0" borderId="9" applyAlignment="1" pivotButton="0" quotePrefix="0" xfId="0">
      <alignment horizontal="center"/>
    </xf>
    <xf numFmtId="167" fontId="7" fillId="0" borderId="9" pivotButton="0" quotePrefix="0" xfId="0"/>
    <xf numFmtId="165" fontId="3" fillId="0" borderId="9" pivotButton="0" quotePrefix="0" xfId="0"/>
    <xf numFmtId="3" fontId="0" fillId="0" borderId="0" pivotButton="0" quotePrefix="0" xfId="0"/>
    <xf numFmtId="170" fontId="4" fillId="0" borderId="0" pivotButton="0" quotePrefix="0" xfId="3"/>
    <xf numFmtId="0" fontId="8" fillId="4" borderId="0" applyAlignment="1" pivotButton="0" quotePrefix="0" xfId="0">
      <alignment horizontal="left"/>
    </xf>
    <xf numFmtId="0" fontId="4" fillId="0" borderId="0" applyAlignment="1" pivotButton="0" quotePrefix="0" xfId="5">
      <alignment horizontal="left"/>
    </xf>
    <xf numFmtId="0" fontId="24" fillId="0" borderId="0" applyAlignment="1" pivotButton="0" quotePrefix="0" xfId="5">
      <alignment horizontal="left"/>
    </xf>
    <xf numFmtId="0" fontId="24" fillId="0" borderId="14" applyAlignment="1" pivotButton="0" quotePrefix="0" xfId="5">
      <alignment horizontal="left"/>
    </xf>
    <xf numFmtId="3" fontId="24" fillId="0" borderId="0" applyAlignment="1" pivotButton="0" quotePrefix="0" xfId="5">
      <alignment horizontal="left"/>
    </xf>
    <xf numFmtId="3" fontId="24" fillId="0" borderId="14" applyAlignment="1" pivotButton="0" quotePrefix="0" xfId="5">
      <alignment horizontal="left"/>
    </xf>
    <xf numFmtId="0" fontId="4" fillId="0" borderId="14" pivotButton="0" quotePrefix="0" xfId="0"/>
    <xf numFmtId="41" fontId="4" fillId="0" borderId="2" pivotButton="0" quotePrefix="0" xfId="0"/>
    <xf numFmtId="41" fontId="4" fillId="0" borderId="0" pivotButton="0" quotePrefix="0" xfId="0"/>
    <xf numFmtId="169" fontId="7" fillId="0" borderId="9" pivotButton="0" quotePrefix="0" xfId="0"/>
    <xf numFmtId="0" fontId="4" fillId="0" borderId="9" pivotButton="0" quotePrefix="0" xfId="0"/>
    <xf numFmtId="0" fontId="9" fillId="0" borderId="2" applyAlignment="1" pivotButton="0" quotePrefix="0" xfId="5">
      <alignment horizontal="left"/>
    </xf>
    <xf numFmtId="0" fontId="4" fillId="0" borderId="1" applyAlignment="1" pivotButton="0" quotePrefix="0" xfId="5">
      <alignment horizontal="left"/>
    </xf>
    <xf numFmtId="9" fontId="9" fillId="0" borderId="3" applyAlignment="1" pivotButton="0" quotePrefix="0" xfId="4">
      <alignment horizontal="left"/>
    </xf>
    <xf numFmtId="0" fontId="24" fillId="0" borderId="1" applyAlignment="1" pivotButton="0" quotePrefix="0" xfId="5">
      <alignment horizontal="left"/>
    </xf>
    <xf numFmtId="0" fontId="24" fillId="0" borderId="4" applyAlignment="1" pivotButton="0" quotePrefix="0" xfId="5">
      <alignment horizontal="left"/>
    </xf>
    <xf numFmtId="0" fontId="7" fillId="3" borderId="9" pivotButton="0" quotePrefix="0" xfId="0"/>
    <xf numFmtId="165" fontId="7" fillId="3" borderId="9" pivotButton="0" quotePrefix="0" xfId="3"/>
    <xf numFmtId="166" fontId="7" fillId="3" borderId="9" pivotButton="0" quotePrefix="0" xfId="3"/>
    <xf numFmtId="0" fontId="7" fillId="3" borderId="9" applyAlignment="1" pivotButton="0" quotePrefix="0" xfId="0">
      <alignment horizontal="center"/>
    </xf>
    <xf numFmtId="167" fontId="7" fillId="3" borderId="9" pivotButton="0" quotePrefix="0" xfId="0"/>
    <xf numFmtId="170" fontId="7" fillId="3" borderId="9" pivotButton="0" quotePrefix="0" xfId="3"/>
    <xf numFmtId="165" fontId="9" fillId="0" borderId="2" pivotButton="0" quotePrefix="0" xfId="3"/>
    <xf numFmtId="166" fontId="9" fillId="0" borderId="0" pivotButton="0" quotePrefix="0" xfId="3"/>
    <xf numFmtId="0" fontId="9" fillId="0" borderId="0" pivotButton="0" quotePrefix="0" xfId="0"/>
    <xf numFmtId="0" fontId="20" fillId="4" borderId="0" applyAlignment="1" pivotButton="0" quotePrefix="0" xfId="7">
      <alignment horizontal="center"/>
    </xf>
    <xf numFmtId="0" fontId="20" fillId="4" borderId="0" applyAlignment="1" pivotButton="0" quotePrefix="0" xfId="7">
      <alignment horizontal="centerContinuous"/>
    </xf>
    <xf numFmtId="0" fontId="4" fillId="0" borderId="0" applyAlignment="1" pivotButton="0" quotePrefix="0" xfId="0">
      <alignment horizontal="left" vertical="center"/>
    </xf>
    <xf numFmtId="166" fontId="4" fillId="0" borderId="0" applyAlignment="1" pivotButton="0" quotePrefix="0" xfId="3">
      <alignment horizontal="center" vertical="center"/>
    </xf>
    <xf numFmtId="166" fontId="4" fillId="0" borderId="15" applyAlignment="1" pivotButton="0" quotePrefix="0" xfId="3">
      <alignment horizontal="center" vertical="center"/>
    </xf>
    <xf numFmtId="165" fontId="4" fillId="0" borderId="0" applyAlignment="1" pivotButton="0" quotePrefix="0" xfId="3">
      <alignment horizontal="center" vertical="center"/>
    </xf>
    <xf numFmtId="165" fontId="4" fillId="0" borderId="15" applyAlignment="1" pivotButton="0" quotePrefix="0" xfId="3">
      <alignment horizontal="center" vertical="center"/>
    </xf>
    <xf numFmtId="0" fontId="4" fillId="0" borderId="0" applyAlignment="1" pivotButton="0" quotePrefix="0" xfId="0">
      <alignment horizontal="center" vertical="center"/>
    </xf>
    <xf numFmtId="170" fontId="4" fillId="0" borderId="0" applyAlignment="1" pivotButton="0" quotePrefix="0" xfId="0">
      <alignment horizontal="center" vertical="center"/>
    </xf>
    <xf numFmtId="49" fontId="4" fillId="0" borderId="0" applyAlignment="1" pivotButton="0" quotePrefix="0" xfId="0">
      <alignment horizontal="left" vertical="center"/>
    </xf>
    <xf numFmtId="0" fontId="19" fillId="0" borderId="1" pivotButton="0" quotePrefix="0" xfId="0"/>
    <xf numFmtId="0" fontId="9" fillId="0" borderId="0" applyAlignment="1" pivotButton="0" quotePrefix="0" xfId="5">
      <alignment horizontal="left"/>
    </xf>
    <xf numFmtId="3" fontId="9" fillId="0" borderId="0" applyAlignment="1" pivotButton="0" quotePrefix="0" xfId="1">
      <alignment horizontal="left"/>
    </xf>
    <xf numFmtId="9" fontId="9" fillId="0" borderId="1" applyAlignment="1" pivotButton="0" quotePrefix="0" xfId="4">
      <alignment horizontal="left"/>
    </xf>
    <xf numFmtId="165" fontId="9" fillId="0" borderId="0" pivotButton="0" quotePrefix="0" xfId="3"/>
    <xf numFmtId="0" fontId="7" fillId="3" borderId="9" applyAlignment="1" pivotButton="0" quotePrefix="0" xfId="0">
      <alignment horizontal="left"/>
    </xf>
    <xf numFmtId="169" fontId="7" fillId="3" borderId="8" pivotButton="0" quotePrefix="0" xfId="0"/>
    <xf numFmtId="0" fontId="4" fillId="3" borderId="9" pivotButton="0" quotePrefix="0" xfId="0"/>
    <xf numFmtId="0" fontId="23" fillId="0" borderId="0" pivotButton="0" quotePrefix="0" xfId="0"/>
    <xf numFmtId="39" fontId="23" fillId="0" borderId="0" pivotButton="0" quotePrefix="0" xfId="0"/>
    <xf numFmtId="0" fontId="3" fillId="0" borderId="8" applyAlignment="1" pivotButton="0" quotePrefix="0" xfId="0">
      <alignment horizontal="center"/>
    </xf>
    <xf numFmtId="0" fontId="3" fillId="0" borderId="9" applyAlignment="1" pivotButton="0" quotePrefix="0" xfId="0">
      <alignment horizontal="center"/>
    </xf>
    <xf numFmtId="0" fontId="3" fillId="0" borderId="28" applyAlignment="1" pivotButton="0" quotePrefix="0" xfId="0">
      <alignment horizontal="center"/>
    </xf>
    <xf numFmtId="0" fontId="3" fillId="0" borderId="17" applyAlignment="1" pivotButton="0" quotePrefix="0" xfId="0">
      <alignment horizontal="center"/>
    </xf>
    <xf numFmtId="0" fontId="7" fillId="0" borderId="29" applyAlignment="1" pivotButton="0" quotePrefix="0" xfId="0">
      <alignment horizontal="center" vertical="center"/>
    </xf>
    <xf numFmtId="0" fontId="7" fillId="0" borderId="30" applyAlignment="1" pivotButton="0" quotePrefix="0" xfId="0">
      <alignment horizontal="center" vertical="center"/>
    </xf>
    <xf numFmtId="171" fontId="23" fillId="0" borderId="0" pivotButton="0" quotePrefix="0" xfId="4"/>
    <xf numFmtId="171" fontId="23" fillId="0" borderId="13" pivotButton="0" quotePrefix="0" xfId="4"/>
    <xf numFmtId="171" fontId="23" fillId="0" borderId="0" applyAlignment="1" pivotButton="0" quotePrefix="0" xfId="0">
      <alignment horizontal="center"/>
    </xf>
    <xf numFmtId="171" fontId="23" fillId="0" borderId="0" pivotButton="0" quotePrefix="0" xfId="0"/>
    <xf numFmtId="0" fontId="4" fillId="0" borderId="12" applyAlignment="1" pivotButton="0" quotePrefix="0" xfId="0">
      <alignment horizontal="center" vertical="center"/>
    </xf>
    <xf numFmtId="171" fontId="4" fillId="0" borderId="13" applyAlignment="1" pivotButton="0" quotePrefix="0" xfId="4">
      <alignment horizontal="center" vertical="center"/>
    </xf>
    <xf numFmtId="37" fontId="23" fillId="0" borderId="13" pivotButton="0" quotePrefix="0" xfId="0"/>
    <xf numFmtId="0" fontId="4" fillId="0" borderId="12" applyAlignment="1" pivotButton="0" quotePrefix="0" xfId="0">
      <alignment horizontal="right" vertical="center"/>
    </xf>
    <xf numFmtId="41" fontId="4" fillId="0" borderId="13" applyAlignment="1" pivotButton="0" quotePrefix="0" xfId="0">
      <alignment horizontal="right" vertical="center"/>
    </xf>
    <xf numFmtId="39" fontId="23" fillId="0" borderId="13" pivotButton="0" quotePrefix="0" xfId="0"/>
    <xf numFmtId="166" fontId="4" fillId="0" borderId="12" applyAlignment="1" pivotButton="0" quotePrefix="0" xfId="3">
      <alignment horizontal="right" vertical="center"/>
    </xf>
    <xf numFmtId="172" fontId="4" fillId="0" borderId="13" applyAlignment="1" pivotButton="0" quotePrefix="0" xfId="0">
      <alignment horizontal="right" vertical="center"/>
    </xf>
    <xf numFmtId="0" fontId="23" fillId="0" borderId="13" pivotButton="0" quotePrefix="0" xfId="0"/>
    <xf numFmtId="0" fontId="4" fillId="0" borderId="31" applyAlignment="1" pivotButton="0" quotePrefix="0" xfId="0">
      <alignment horizontal="right" vertical="center"/>
    </xf>
    <xf numFmtId="172" fontId="4" fillId="0" borderId="32" applyAlignment="1" pivotButton="0" quotePrefix="0" xfId="0">
      <alignment horizontal="right" vertical="center"/>
    </xf>
    <xf numFmtId="9" fontId="23" fillId="0" borderId="0" pivotButton="0" quotePrefix="0" xfId="4"/>
    <xf numFmtId="9" fontId="4" fillId="0" borderId="0" applyAlignment="1" pivotButton="0" quotePrefix="0" xfId="4">
      <alignment horizontal="right"/>
    </xf>
    <xf numFmtId="0" fontId="23" fillId="0" borderId="33" pivotButton="0" quotePrefix="0" xfId="0"/>
    <xf numFmtId="0" fontId="23" fillId="0" borderId="12" applyAlignment="1" pivotButton="0" quotePrefix="0" xfId="0">
      <alignment horizontal="right" vertical="center"/>
    </xf>
    <xf numFmtId="41" fontId="23" fillId="0" borderId="13" applyAlignment="1" pivotButton="0" quotePrefix="0" xfId="0">
      <alignment horizontal="right" vertical="center"/>
    </xf>
    <xf numFmtId="169" fontId="23" fillId="0" borderId="12" applyAlignment="1" pivotButton="0" quotePrefix="0" xfId="0">
      <alignment horizontal="right" vertical="center"/>
    </xf>
    <xf numFmtId="43" fontId="23" fillId="0" borderId="13" applyAlignment="1" pivotButton="0" quotePrefix="0" xfId="0">
      <alignment horizontal="right" vertical="center"/>
    </xf>
    <xf numFmtId="169" fontId="23" fillId="0" borderId="31" applyAlignment="1" pivotButton="0" quotePrefix="0" xfId="0">
      <alignment horizontal="right" vertical="center"/>
    </xf>
    <xf numFmtId="9" fontId="23" fillId="0" borderId="32" applyAlignment="1" pivotButton="0" quotePrefix="0" xfId="4">
      <alignment horizontal="right" vertical="center"/>
    </xf>
    <xf numFmtId="169" fontId="23" fillId="0" borderId="0" applyAlignment="1" pivotButton="0" quotePrefix="0" xfId="0">
      <alignment horizontal="right" vertical="center"/>
    </xf>
    <xf numFmtId="171" fontId="23" fillId="0" borderId="0" applyAlignment="1" pivotButton="0" quotePrefix="0" xfId="4">
      <alignment horizontal="right" vertical="center"/>
    </xf>
    <xf numFmtId="0" fontId="7" fillId="3" borderId="9" applyAlignment="1" pivotButton="0" quotePrefix="0" xfId="0">
      <alignment horizontal="right"/>
    </xf>
    <xf numFmtId="165" fontId="7" fillId="3" borderId="9" applyAlignment="1" pivotButton="0" quotePrefix="0" xfId="3">
      <alignment horizontal="right"/>
    </xf>
    <xf numFmtId="170" fontId="9" fillId="0" borderId="0" applyAlignment="1" pivotButton="0" quotePrefix="0" xfId="3">
      <alignment horizontal="center" vertical="center"/>
    </xf>
    <xf numFmtId="170" fontId="9" fillId="0" borderId="15" applyAlignment="1" pivotButton="0" quotePrefix="0" xfId="3">
      <alignment horizontal="center" vertical="center"/>
    </xf>
    <xf numFmtId="171" fontId="0" fillId="0" borderId="0" pivotButton="0" quotePrefix="0" xfId="4"/>
    <xf numFmtId="1" fontId="0" fillId="0" borderId="0" pivotButton="0" quotePrefix="0" xfId="0"/>
    <xf numFmtId="10" fontId="0" fillId="0" borderId="0" pivotButton="0" quotePrefix="0" xfId="4"/>
    <xf numFmtId="0" fontId="19" fillId="3" borderId="11" pivotButton="0" quotePrefix="0" xfId="0"/>
    <xf numFmtId="167" fontId="17" fillId="3" borderId="11" applyAlignment="1" pivotButton="0" quotePrefix="0" xfId="3">
      <alignment horizontal="center" vertical="center"/>
    </xf>
    <xf numFmtId="165" fontId="19" fillId="3" borderId="11" applyAlignment="1" pivotButton="0" quotePrefix="0" xfId="3">
      <alignment horizontal="center" vertical="center"/>
    </xf>
    <xf numFmtId="165" fontId="19" fillId="3" borderId="19" applyAlignment="1" pivotButton="0" quotePrefix="0" xfId="3">
      <alignment horizontal="center" vertical="center"/>
    </xf>
    <xf numFmtId="173" fontId="17" fillId="3" borderId="11" applyAlignment="1" pivotButton="0" quotePrefix="0" xfId="0">
      <alignment horizontal="center" vertical="center"/>
    </xf>
    <xf numFmtId="0" fontId="19" fillId="3" borderId="1" pivotButton="0" quotePrefix="0" xfId="0"/>
    <xf numFmtId="165" fontId="17" fillId="3" borderId="1" pivotButton="0" quotePrefix="0" xfId="3"/>
    <xf numFmtId="170" fontId="19" fillId="3" borderId="1" applyAlignment="1" pivotButton="0" quotePrefix="0" xfId="0">
      <alignment horizontal="center"/>
    </xf>
    <xf numFmtId="170" fontId="19" fillId="3" borderId="22" applyAlignment="1" pivotButton="0" quotePrefix="0" xfId="3">
      <alignment horizontal="center" vertical="center"/>
    </xf>
    <xf numFmtId="0" fontId="17" fillId="3" borderId="3" pivotButton="0" quotePrefix="0" xfId="0"/>
    <xf numFmtId="0" fontId="17" fillId="3" borderId="11" applyAlignment="1" pivotButton="0" quotePrefix="0" xfId="0">
      <alignment horizontal="center" vertical="center"/>
    </xf>
    <xf numFmtId="170" fontId="17" fillId="3" borderId="1" pivotButton="0" quotePrefix="0" xfId="0"/>
    <xf numFmtId="170" fontId="4" fillId="0" borderId="0" applyAlignment="1" pivotButton="0" quotePrefix="0" xfId="3">
      <alignment horizontal="center" vertical="center"/>
    </xf>
    <xf numFmtId="0" fontId="4" fillId="0" borderId="14" applyAlignment="1" pivotButton="0" quotePrefix="0" xfId="5">
      <alignment horizontal="left"/>
    </xf>
    <xf numFmtId="0" fontId="6" fillId="4" borderId="0" applyAlignment="1" pivotButton="0" quotePrefix="0" xfId="0">
      <alignment horizontal="center" vertical="center"/>
    </xf>
    <xf numFmtId="0" fontId="17" fillId="0" borderId="0" applyAlignment="1" pivotButton="0" quotePrefix="0" xfId="0">
      <alignment horizontal="left" indent="1"/>
    </xf>
    <xf numFmtId="0" fontId="17" fillId="0" borderId="0" applyAlignment="1" pivotButton="0" quotePrefix="0" xfId="0">
      <alignment horizontal="center"/>
    </xf>
    <xf numFmtId="0" fontId="19" fillId="0" borderId="0" pivotButton="0" quotePrefix="0" xfId="0"/>
    <xf numFmtId="10" fontId="17" fillId="0" borderId="0" applyAlignment="1" pivotButton="0" quotePrefix="0" xfId="0">
      <alignment horizontal="center"/>
    </xf>
    <xf numFmtId="165" fontId="17" fillId="0" borderId="0" pivotButton="0" quotePrefix="0" xfId="0"/>
    <xf numFmtId="0" fontId="25" fillId="4" borderId="0" pivotButton="0" quotePrefix="0" xfId="0"/>
    <xf numFmtId="0" fontId="25" fillId="4" borderId="0" applyAlignment="1" pivotButton="0" quotePrefix="0" xfId="0">
      <alignment horizontal="center"/>
    </xf>
    <xf numFmtId="167" fontId="17" fillId="4" borderId="0" pivotButton="0" quotePrefix="0" xfId="0"/>
    <xf numFmtId="166" fontId="4" fillId="4" borderId="0" applyProtection="1" pivotButton="0" quotePrefix="0" xfId="3">
      <protection locked="0" hidden="0"/>
    </xf>
    <xf numFmtId="0" fontId="19" fillId="0" borderId="0" applyAlignment="1" pivotButton="0" quotePrefix="0" xfId="0">
      <alignment horizontal="center"/>
    </xf>
    <xf numFmtId="169" fontId="17" fillId="0" borderId="0" pivotButton="0" quotePrefix="0" xfId="0"/>
    <xf numFmtId="169" fontId="9" fillId="0" borderId="0" pivotButton="0" quotePrefix="0" xfId="0"/>
    <xf numFmtId="169" fontId="9" fillId="0" borderId="0" applyAlignment="1" pivotButton="0" quotePrefix="0" xfId="0">
      <alignment horizontal="right"/>
    </xf>
    <xf numFmtId="0" fontId="8" fillId="4" borderId="0" pivotButton="0" quotePrefix="0" xfId="0"/>
    <xf numFmtId="0" fontId="8" fillId="4" borderId="0" applyAlignment="1" pivotButton="0" quotePrefix="0" xfId="0">
      <alignment horizontal="center" wrapText="1"/>
    </xf>
    <xf numFmtId="0" fontId="17" fillId="0" borderId="11" applyAlignment="1" pivotButton="0" quotePrefix="0" xfId="0">
      <alignment horizontal="left"/>
    </xf>
    <xf numFmtId="0" fontId="17" fillId="0" borderId="11" pivotButton="0" quotePrefix="0" xfId="0"/>
    <xf numFmtId="10" fontId="17" fillId="0" borderId="11" applyAlignment="1" pivotButton="0" quotePrefix="0" xfId="4">
      <alignment horizontal="center"/>
    </xf>
    <xf numFmtId="0" fontId="17" fillId="0" borderId="0" pivotButton="0" quotePrefix="0" xfId="0"/>
    <xf numFmtId="10" fontId="17" fillId="0" borderId="0" applyAlignment="1" pivotButton="0" quotePrefix="0" xfId="4">
      <alignment horizontal="center"/>
    </xf>
    <xf numFmtId="0" fontId="19" fillId="3" borderId="9" pivotButton="0" quotePrefix="0" xfId="0"/>
    <xf numFmtId="10" fontId="16" fillId="3" borderId="9" applyAlignment="1" pivotButton="0" quotePrefix="0" xfId="4">
      <alignment horizontal="center"/>
    </xf>
    <xf numFmtId="0" fontId="19" fillId="0" borderId="11" pivotButton="0" quotePrefix="0" xfId="0"/>
    <xf numFmtId="2" fontId="8" fillId="4" borderId="0" applyAlignment="1" pivotButton="0" quotePrefix="0" xfId="0">
      <alignment horizontal="center" wrapText="1"/>
    </xf>
    <xf numFmtId="9" fontId="8" fillId="4" borderId="0" applyAlignment="1" pivotButton="0" quotePrefix="0" xfId="4">
      <alignment horizontal="center" wrapText="1"/>
    </xf>
    <xf numFmtId="10" fontId="8" fillId="4" borderId="0" applyAlignment="1" pivotButton="0" quotePrefix="0" xfId="4">
      <alignment horizontal="center" wrapText="1"/>
    </xf>
    <xf numFmtId="0" fontId="7" fillId="3" borderId="11" applyAlignment="1" pivotButton="0" quotePrefix="0" xfId="0">
      <alignment horizontal="center" vertical="center"/>
    </xf>
    <xf numFmtId="167" fontId="4" fillId="3" borderId="11" applyAlignment="1" pivotButton="0" quotePrefix="0" xfId="0">
      <alignment horizontal="center" vertical="center" wrapText="1" shrinkToFit="1"/>
    </xf>
    <xf numFmtId="167" fontId="4" fillId="3" borderId="11" applyAlignment="1" pivotButton="0" quotePrefix="0" xfId="0">
      <alignment horizontal="center" vertical="center" shrinkToFit="1"/>
    </xf>
    <xf numFmtId="10" fontId="4" fillId="3" borderId="11" applyAlignment="1" pivotButton="0" quotePrefix="0" xfId="4">
      <alignment horizontal="center" vertical="center" shrinkToFit="1"/>
    </xf>
    <xf numFmtId="0" fontId="0" fillId="3" borderId="0" pivotButton="0" quotePrefix="0" xfId="0"/>
    <xf numFmtId="0" fontId="0" fillId="3" borderId="1" pivotButton="0" quotePrefix="0" xfId="0"/>
    <xf numFmtId="37" fontId="17" fillId="0" borderId="1" pivotButton="0" quotePrefix="0" xfId="0"/>
    <xf numFmtId="165" fontId="19" fillId="0" borderId="11" pivotButton="0" quotePrefix="0" xfId="0"/>
    <xf numFmtId="0" fontId="19" fillId="0" borderId="9" pivotButton="0" quotePrefix="0" xfId="0"/>
    <xf numFmtId="174" fontId="16" fillId="3" borderId="11" applyAlignment="1" applyProtection="1" pivotButton="0" quotePrefix="0" xfId="0">
      <alignment horizontal="left"/>
      <protection locked="0" hidden="0"/>
    </xf>
    <xf numFmtId="165" fontId="7" fillId="3" borderId="11" pivotButton="0" quotePrefix="0" xfId="0"/>
    <xf numFmtId="0" fontId="7" fillId="3" borderId="1" applyAlignment="1" pivotButton="0" quotePrefix="0" xfId="0">
      <alignment horizontal="left"/>
    </xf>
    <xf numFmtId="170" fontId="7" fillId="3" borderId="1" pivotButton="0" quotePrefix="0" xfId="0"/>
    <xf numFmtId="0" fontId="19" fillId="3" borderId="9" applyAlignment="1" pivotButton="0" quotePrefix="0" xfId="0">
      <alignment horizontal="center"/>
    </xf>
    <xf numFmtId="166" fontId="7" fillId="3" borderId="9" applyProtection="1" pivotButton="0" quotePrefix="0" xfId="3">
      <protection locked="0" hidden="0"/>
    </xf>
    <xf numFmtId="169" fontId="19" fillId="3" borderId="9" pivotButton="0" quotePrefix="0" xfId="0"/>
    <xf numFmtId="175" fontId="17" fillId="0" borderId="0" applyAlignment="1" pivotButton="0" quotePrefix="0" xfId="0">
      <alignment horizontal="left"/>
    </xf>
    <xf numFmtId="170" fontId="17" fillId="0" borderId="0" pivotButton="0" quotePrefix="0" xfId="0"/>
    <xf numFmtId="176" fontId="4" fillId="0" borderId="0" applyAlignment="1" applyProtection="1" pivotButton="0" quotePrefix="0" xfId="0">
      <alignment horizontal="left"/>
      <protection locked="0" hidden="0"/>
    </xf>
    <xf numFmtId="176" fontId="17" fillId="0" borderId="0" applyAlignment="1" applyProtection="1" pivotButton="0" quotePrefix="0" xfId="0">
      <alignment horizontal="left"/>
      <protection locked="0" hidden="0"/>
    </xf>
    <xf numFmtId="177" fontId="17" fillId="0" borderId="0" applyAlignment="1" pivotButton="0" quotePrefix="0" xfId="0">
      <alignment horizontal="left"/>
    </xf>
    <xf numFmtId="10" fontId="17" fillId="0" borderId="11" pivotButton="0" quotePrefix="0" xfId="0"/>
    <xf numFmtId="165" fontId="17" fillId="0" borderId="11" pivotButton="0" quotePrefix="0" xfId="0"/>
    <xf numFmtId="10" fontId="17" fillId="0" borderId="0" pivotButton="0" quotePrefix="0" xfId="0"/>
    <xf numFmtId="0" fontId="17" fillId="0" borderId="0" applyProtection="1" pivotButton="0" quotePrefix="0" xfId="0">
      <protection locked="0" hidden="0"/>
    </xf>
    <xf numFmtId="165" fontId="17" fillId="0" borderId="0" applyProtection="1" pivotButton="0" quotePrefix="0" xfId="3">
      <protection locked="0" hidden="0"/>
    </xf>
    <xf numFmtId="170" fontId="19" fillId="0" borderId="11" pivotButton="0" quotePrefix="0" xfId="0"/>
    <xf numFmtId="0" fontId="19" fillId="3" borderId="1" applyAlignment="1" pivotButton="0" quotePrefix="0" xfId="0">
      <alignment vertical="center"/>
    </xf>
    <xf numFmtId="170" fontId="19" fillId="3" borderId="1" applyAlignment="1" pivotButton="0" quotePrefix="0" xfId="0">
      <alignment horizontal="right" vertical="center"/>
    </xf>
    <xf numFmtId="178" fontId="16" fillId="0" borderId="9" applyAlignment="1" applyProtection="1" pivotButton="0" quotePrefix="0" xfId="0">
      <alignment horizontal="left"/>
      <protection locked="0" hidden="0"/>
    </xf>
    <xf numFmtId="0" fontId="16" fillId="0" borderId="9" applyAlignment="1" pivotButton="0" quotePrefix="0" xfId="0">
      <alignment horizontal="center"/>
    </xf>
    <xf numFmtId="174" fontId="16" fillId="3" borderId="9" applyAlignment="1" applyProtection="1" pivotButton="0" quotePrefix="0" xfId="0">
      <alignment horizontal="left"/>
      <protection locked="0" hidden="0"/>
    </xf>
    <xf numFmtId="174" fontId="19" fillId="3" borderId="9" applyAlignment="1" applyProtection="1" pivotButton="0" quotePrefix="0" xfId="0">
      <alignment horizontal="left"/>
      <protection locked="0" hidden="0"/>
    </xf>
    <xf numFmtId="165" fontId="19" fillId="3" borderId="9" pivotButton="0" quotePrefix="0" xfId="0"/>
    <xf numFmtId="170" fontId="19" fillId="3" borderId="9" pivotButton="0" quotePrefix="0" xfId="0"/>
    <xf numFmtId="2" fontId="9" fillId="0" borderId="0" applyAlignment="1" pivotButton="0" quotePrefix="0" xfId="0">
      <alignment horizontal="left"/>
    </xf>
    <xf numFmtId="9" fontId="9" fillId="0" borderId="0" applyAlignment="1" pivotButton="0" quotePrefix="0" xfId="0">
      <alignment horizontal="center"/>
    </xf>
    <xf numFmtId="10" fontId="9" fillId="0" borderId="0" applyAlignment="1" pivotButton="0" quotePrefix="0" xfId="4">
      <alignment horizontal="center"/>
    </xf>
    <xf numFmtId="2" fontId="9" fillId="0" borderId="0" applyAlignment="1" pivotButton="0" quotePrefix="0" xfId="0">
      <alignment horizontal="left" indent="1"/>
    </xf>
    <xf numFmtId="2" fontId="16" fillId="3" borderId="9" applyAlignment="1" pivotButton="0" quotePrefix="0" xfId="0">
      <alignment horizontal="left"/>
    </xf>
    <xf numFmtId="9" fontId="16" fillId="3" borderId="9" applyAlignment="1" pivotButton="0" quotePrefix="0" xfId="0">
      <alignment horizontal="center"/>
    </xf>
    <xf numFmtId="0" fontId="6" fillId="4" borderId="0" applyAlignment="1" pivotButton="0" quotePrefix="0" xfId="0">
      <alignment horizontal="right"/>
    </xf>
    <xf numFmtId="0" fontId="4" fillId="6" borderId="0" pivotButton="0" quotePrefix="0" xfId="0"/>
    <xf numFmtId="0" fontId="16" fillId="0" borderId="0" applyAlignment="1" pivotButton="0" quotePrefix="0" xfId="0">
      <alignment horizontal="right"/>
    </xf>
    <xf numFmtId="0" fontId="16" fillId="0" borderId="0" applyAlignment="1" pivotButton="0" quotePrefix="0" xfId="0">
      <alignment horizontal="right" wrapText="1"/>
    </xf>
    <xf numFmtId="10" fontId="16" fillId="3" borderId="9" applyAlignment="1" pivotButton="0" quotePrefix="0" xfId="0">
      <alignment horizontal="right"/>
    </xf>
    <xf numFmtId="0" fontId="2" fillId="4" borderId="0" applyAlignment="1" pivotButton="0" quotePrefix="0" xfId="0">
      <alignment horizontal="left" vertical="center" justifyLastLine="1"/>
    </xf>
    <xf numFmtId="165" fontId="17" fillId="0" borderId="0" applyAlignment="1" pivotButton="0" quotePrefix="0" xfId="3">
      <alignment horizontal="left"/>
    </xf>
    <xf numFmtId="166" fontId="17" fillId="0" borderId="0" applyAlignment="1" pivotButton="0" quotePrefix="0" xfId="3">
      <alignment horizontal="left"/>
    </xf>
    <xf numFmtId="0" fontId="9" fillId="0" borderId="0" applyAlignment="1" pivotButton="0" quotePrefix="0" xfId="0">
      <alignment horizontal="left"/>
    </xf>
    <xf numFmtId="0" fontId="9" fillId="0" borderId="1" applyAlignment="1" pivotButton="0" quotePrefix="0" xfId="0">
      <alignment horizontal="left"/>
    </xf>
    <xf numFmtId="0" fontId="17" fillId="0" borderId="1" applyAlignment="1" pivotButton="0" quotePrefix="0" xfId="0">
      <alignment horizontal="left"/>
    </xf>
    <xf numFmtId="169" fontId="4" fillId="0" borderId="1" applyAlignment="1" pivotButton="0" quotePrefix="0" xfId="0">
      <alignment horizontal="center" vertical="center"/>
    </xf>
    <xf numFmtId="0" fontId="4" fillId="0" borderId="1" applyAlignment="1" pivotButton="0" quotePrefix="0" xfId="0">
      <alignment horizontal="center"/>
    </xf>
    <xf numFmtId="179" fontId="4" fillId="0" borderId="1" applyAlignment="1" pivotButton="0" quotePrefix="0" xfId="0">
      <alignment horizontal="center"/>
    </xf>
    <xf numFmtId="165" fontId="4" fillId="0" borderId="1" applyAlignment="1" pivotButton="0" quotePrefix="0" xfId="3">
      <alignment horizontal="center"/>
    </xf>
    <xf numFmtId="0" fontId="4" fillId="5" borderId="0" pivotButton="0" quotePrefix="0" xfId="0"/>
    <xf numFmtId="41" fontId="4" fillId="5" borderId="2" pivotButton="0" quotePrefix="0" xfId="0"/>
    <xf numFmtId="165" fontId="9" fillId="5" borderId="2" pivotButton="0" quotePrefix="0" xfId="3"/>
    <xf numFmtId="0" fontId="9" fillId="5" borderId="0" pivotButton="0" quotePrefix="0" xfId="0"/>
    <xf numFmtId="3" fontId="9" fillId="0" borderId="2" applyAlignment="1" pivotButton="0" quotePrefix="0" xfId="1">
      <alignment horizontal="left"/>
    </xf>
    <xf numFmtId="0" fontId="9" fillId="0" borderId="2" applyAlignment="1" pivotButton="0" quotePrefix="0" xfId="5">
      <alignment horizontal="center"/>
    </xf>
    <xf numFmtId="3" fontId="9" fillId="0" borderId="2" applyAlignment="1" pivotButton="0" quotePrefix="0" xfId="1">
      <alignment horizontal="center"/>
    </xf>
    <xf numFmtId="9" fontId="9" fillId="0" borderId="3" applyAlignment="1" pivotButton="0" quotePrefix="0" xfId="4">
      <alignment horizontal="center"/>
    </xf>
    <xf numFmtId="167" fontId="7" fillId="3" borderId="9" applyAlignment="1" pivotButton="0" quotePrefix="0" xfId="0">
      <alignment horizontal="center"/>
    </xf>
    <xf numFmtId="0" fontId="4" fillId="3" borderId="17" applyAlignment="1" pivotButton="0" quotePrefix="0" xfId="0">
      <alignment horizontal="center"/>
    </xf>
    <xf numFmtId="169" fontId="7" fillId="3" borderId="8" applyAlignment="1" pivotButton="0" quotePrefix="0" xfId="0">
      <alignment horizontal="center"/>
    </xf>
    <xf numFmtId="0" fontId="7" fillId="0" borderId="36" pivotButton="0" quotePrefix="0" xfId="0"/>
    <xf numFmtId="41" fontId="4" fillId="0" borderId="0" applyAlignment="1" pivotButton="0" quotePrefix="0" xfId="0">
      <alignment horizontal="center"/>
    </xf>
    <xf numFmtId="167" fontId="4" fillId="0" borderId="0" applyAlignment="1" pivotButton="0" quotePrefix="0" xfId="3">
      <alignment horizontal="center"/>
    </xf>
    <xf numFmtId="166" fontId="4" fillId="0" borderId="19" pivotButton="0" quotePrefix="0" xfId="3"/>
    <xf numFmtId="167" fontId="9" fillId="0" borderId="15" applyAlignment="1" pivotButton="0" quotePrefix="0" xfId="3">
      <alignment horizontal="center"/>
    </xf>
    <xf numFmtId="165" fontId="4" fillId="5" borderId="0" applyAlignment="1" pivotButton="0" quotePrefix="0" xfId="3">
      <alignment horizontal="center" vertical="center"/>
    </xf>
    <xf numFmtId="170" fontId="9" fillId="5" borderId="0" applyAlignment="1" pivotButton="0" quotePrefix="0" xfId="3">
      <alignment horizontal="center" vertical="center"/>
    </xf>
    <xf numFmtId="166" fontId="4" fillId="5" borderId="0" applyAlignment="1" pivotButton="0" quotePrefix="0" xfId="3">
      <alignment horizontal="center" vertical="center"/>
    </xf>
    <xf numFmtId="167" fontId="0" fillId="0" borderId="0" pivotButton="0" quotePrefix="0" xfId="0"/>
    <xf numFmtId="180" fontId="17" fillId="0" borderId="0" applyAlignment="1" pivotButton="0" quotePrefix="0" xfId="0">
      <alignment horizontal="center"/>
    </xf>
    <xf numFmtId="1" fontId="17" fillId="0" borderId="0" applyAlignment="1" pivotButton="0" quotePrefix="0" xfId="0">
      <alignment horizontal="center"/>
    </xf>
    <xf numFmtId="3" fontId="17" fillId="0" borderId="0" applyAlignment="1" pivotButton="0" quotePrefix="0" xfId="0">
      <alignment horizontal="center"/>
    </xf>
    <xf numFmtId="9" fontId="17" fillId="0" borderId="0" applyAlignment="1" pivotButton="0" quotePrefix="0" xfId="4">
      <alignment horizontal="center"/>
    </xf>
    <xf numFmtId="169" fontId="17" fillId="0" borderId="0" applyAlignment="1" pivotButton="0" quotePrefix="0" xfId="3">
      <alignment horizontal="center"/>
    </xf>
    <xf numFmtId="170" fontId="17" fillId="0" borderId="0" applyAlignment="1" pivotButton="0" quotePrefix="0" xfId="3">
      <alignment horizontal="center"/>
    </xf>
    <xf numFmtId="167" fontId="4" fillId="0" borderId="0" applyProtection="1" pivotButton="0" quotePrefix="0" xfId="3">
      <protection locked="0" hidden="0"/>
    </xf>
    <xf numFmtId="167" fontId="7" fillId="3" borderId="9" applyProtection="1" pivotButton="0" quotePrefix="0" xfId="3">
      <protection locked="0" hidden="0"/>
    </xf>
    <xf numFmtId="167" fontId="4" fillId="0" borderId="0" pivotButton="0" quotePrefix="0" xfId="3"/>
    <xf numFmtId="167" fontId="7" fillId="0" borderId="0" applyProtection="1" pivotButton="0" quotePrefix="0" xfId="3">
      <protection locked="0" hidden="0"/>
    </xf>
    <xf numFmtId="169" fontId="19" fillId="0" borderId="0" pivotButton="0" quotePrefix="0" xfId="3"/>
    <xf numFmtId="167" fontId="4" fillId="0" borderId="15" applyAlignment="1" pivotButton="0" quotePrefix="0" xfId="3">
      <alignment horizontal="center" vertical="center"/>
    </xf>
    <xf numFmtId="167" fontId="9" fillId="0" borderId="15" applyAlignment="1" pivotButton="0" quotePrefix="0" xfId="3">
      <alignment horizontal="center" vertical="center"/>
    </xf>
    <xf numFmtId="169" fontId="4" fillId="0" borderId="15" applyAlignment="1" pivotButton="0" quotePrefix="0" xfId="3">
      <alignment horizontal="center" vertical="center"/>
    </xf>
    <xf numFmtId="0" fontId="7" fillId="3" borderId="11" applyAlignment="1" pivotButton="0" quotePrefix="0" xfId="0">
      <alignment vertical="center" wrapText="1"/>
    </xf>
    <xf numFmtId="180" fontId="7" fillId="3" borderId="11" applyAlignment="1" pivotButton="0" quotePrefix="0" xfId="0">
      <alignment horizontal="center" vertical="center"/>
    </xf>
    <xf numFmtId="3" fontId="7" fillId="3" borderId="11" applyAlignment="1" pivotButton="0" quotePrefix="0" xfId="0">
      <alignment horizontal="center" vertical="center" wrapText="1"/>
    </xf>
    <xf numFmtId="9" fontId="7" fillId="3" borderId="11" applyAlignment="1" pivotButton="0" quotePrefix="0" xfId="4">
      <alignment horizontal="center" vertical="center"/>
    </xf>
    <xf numFmtId="9" fontId="7" fillId="3" borderId="11" applyAlignment="1" pivotButton="0" quotePrefix="0" xfId="4">
      <alignment horizontal="center" vertical="center" shrinkToFit="1"/>
    </xf>
    <xf numFmtId="0" fontId="7" fillId="3" borderId="11" applyAlignment="1" pivotButton="0" quotePrefix="0" xfId="0">
      <alignment horizontal="center" vertical="center" shrinkToFit="1"/>
    </xf>
    <xf numFmtId="0" fontId="16" fillId="3" borderId="0" pivotButton="0" quotePrefix="0" xfId="0"/>
    <xf numFmtId="0" fontId="5" fillId="3" borderId="0" pivotButton="0" quotePrefix="0" xfId="0"/>
    <xf numFmtId="2" fontId="16" fillId="3" borderId="0" applyAlignment="1" pivotButton="0" quotePrefix="0" xfId="0">
      <alignment horizontal="center"/>
    </xf>
    <xf numFmtId="0" fontId="16" fillId="3" borderId="1" pivotButton="0" quotePrefix="0" xfId="0"/>
    <xf numFmtId="0" fontId="5" fillId="3" borderId="1" pivotButton="0" quotePrefix="0" xfId="0"/>
    <xf numFmtId="10" fontId="4" fillId="5" borderId="0" applyAlignment="1" pivotButton="0" quotePrefix="0" xfId="4">
      <alignment horizontal="center" vertical="center" shrinkToFit="1"/>
    </xf>
    <xf numFmtId="165" fontId="16" fillId="3" borderId="1" applyAlignment="1" pivotButton="0" quotePrefix="0" xfId="3">
      <alignment horizontal="left"/>
    </xf>
    <xf numFmtId="166" fontId="19" fillId="3" borderId="1" applyAlignment="1" pivotButton="0" quotePrefix="0" xfId="3">
      <alignment horizontal="left"/>
    </xf>
    <xf numFmtId="0" fontId="7" fillId="3" borderId="9" applyAlignment="1" pivotButton="0" quotePrefix="0" xfId="0">
      <alignment vertical="center"/>
    </xf>
    <xf numFmtId="169" fontId="16" fillId="3" borderId="9" applyAlignment="1" pivotButton="0" quotePrefix="0" xfId="0">
      <alignment horizontal="right" vertical="center" wrapText="1"/>
    </xf>
    <xf numFmtId="165" fontId="7" fillId="3" borderId="9" applyAlignment="1" pivotButton="0" quotePrefix="0" xfId="4">
      <alignment horizontal="right" vertical="center"/>
    </xf>
    <xf numFmtId="0" fontId="4" fillId="6" borderId="0" applyAlignment="1" pivotButton="0" quotePrefix="0" xfId="0">
      <alignment vertical="center"/>
    </xf>
    <xf numFmtId="169" fontId="4" fillId="6" borderId="0" applyAlignment="1" pivotButton="0" quotePrefix="0" xfId="3">
      <alignment horizontal="right" vertical="center"/>
    </xf>
    <xf numFmtId="169" fontId="7" fillId="3" borderId="9" applyAlignment="1" pivotButton="0" quotePrefix="0" xfId="4">
      <alignment horizontal="right" vertical="center"/>
    </xf>
    <xf numFmtId="0" fontId="4" fillId="0" borderId="9" applyAlignment="1" pivotButton="0" quotePrefix="0" xfId="0">
      <alignment vertical="center"/>
    </xf>
    <xf numFmtId="165" fontId="16" fillId="0" borderId="9" applyAlignment="1" pivotButton="0" quotePrefix="0" xfId="0">
      <alignment horizontal="right" vertical="center" wrapText="1"/>
    </xf>
    <xf numFmtId="169" fontId="16" fillId="3" borderId="9" applyAlignment="1" pivotButton="0" quotePrefix="0" xfId="0">
      <alignment horizontal="right"/>
    </xf>
    <xf numFmtId="165" fontId="16" fillId="3" borderId="9" applyAlignment="1" pivotButton="0" quotePrefix="0" xfId="3">
      <alignment horizontal="left"/>
    </xf>
    <xf numFmtId="166" fontId="19" fillId="3" borderId="9" applyAlignment="1" pivotButton="0" quotePrefix="0" xfId="3">
      <alignment horizontal="left"/>
    </xf>
    <xf numFmtId="0" fontId="4" fillId="5" borderId="0" applyAlignment="1" pivotButton="0" quotePrefix="0" xfId="0">
      <alignment horizontal="center" vertical="center"/>
    </xf>
    <xf numFmtId="0" fontId="4" fillId="5" borderId="0" applyAlignment="1" pivotButton="0" quotePrefix="0" xfId="0">
      <alignment vertical="center" wrapText="1"/>
    </xf>
    <xf numFmtId="180" fontId="4" fillId="5" borderId="0" applyAlignment="1" pivotButton="0" quotePrefix="0" xfId="0">
      <alignment horizontal="center" vertical="top"/>
    </xf>
    <xf numFmtId="180" fontId="17" fillId="5" borderId="0" applyAlignment="1" pivotButton="0" quotePrefix="0" xfId="0">
      <alignment vertical="top"/>
    </xf>
    <xf numFmtId="3" fontId="4" fillId="5" borderId="0" applyAlignment="1" pivotButton="0" quotePrefix="0" xfId="0">
      <alignment horizontal="center" vertical="top" wrapText="1"/>
    </xf>
    <xf numFmtId="3" fontId="4" fillId="5" borderId="0" applyAlignment="1" pivotButton="0" quotePrefix="0" xfId="0">
      <alignment horizontal="center" vertical="center" wrapText="1"/>
    </xf>
    <xf numFmtId="9" fontId="4" fillId="5" borderId="0" applyAlignment="1" pivotButton="0" quotePrefix="0" xfId="4">
      <alignment horizontal="center" vertical="top"/>
    </xf>
    <xf numFmtId="9" fontId="9" fillId="5" borderId="0" applyAlignment="1" pivotButton="0" quotePrefix="0" xfId="4">
      <alignment horizontal="center" vertical="top" shrinkToFit="1"/>
    </xf>
    <xf numFmtId="3" fontId="9" fillId="5" borderId="0" applyAlignment="1" pivotButton="0" quotePrefix="0" xfId="0">
      <alignment horizontal="center" vertical="top" shrinkToFit="1"/>
    </xf>
    <xf numFmtId="9" fontId="4" fillId="5" borderId="0" applyAlignment="1" pivotButton="0" quotePrefix="0" xfId="4">
      <alignment horizontal="center" vertical="top" shrinkToFit="1"/>
    </xf>
    <xf numFmtId="169" fontId="4" fillId="5" borderId="0" applyAlignment="1" pivotButton="0" quotePrefix="0" xfId="0">
      <alignment horizontal="center" vertical="top" wrapText="1" shrinkToFit="1"/>
    </xf>
    <xf numFmtId="167" fontId="4" fillId="5" borderId="0" applyAlignment="1" pivotButton="0" quotePrefix="0" xfId="0">
      <alignment horizontal="center" vertical="center" shrinkToFit="1"/>
    </xf>
    <xf numFmtId="180" fontId="4" fillId="5" borderId="0" applyAlignment="1" pivotButton="0" quotePrefix="0" xfId="0">
      <alignment vertical="top"/>
    </xf>
    <xf numFmtId="3" fontId="4" fillId="5" borderId="0" applyAlignment="1" pivotButton="0" quotePrefix="0" xfId="0">
      <alignment vertical="top" wrapText="1"/>
    </xf>
    <xf numFmtId="2" fontId="4" fillId="5" borderId="0" applyAlignment="1" pivotButton="0" quotePrefix="0" xfId="0">
      <alignment horizontal="center" vertical="top" wrapText="1"/>
    </xf>
    <xf numFmtId="169" fontId="4" fillId="5" borderId="0" applyAlignment="1" pivotButton="0" quotePrefix="0" xfId="0">
      <alignment vertical="top" wrapText="1" shrinkToFit="1"/>
    </xf>
    <xf numFmtId="180" fontId="17" fillId="5" borderId="0" applyAlignment="1" pivotButton="0" quotePrefix="0" xfId="0">
      <alignment horizontal="center" vertical="top"/>
    </xf>
    <xf numFmtId="1" fontId="4" fillId="5" borderId="0" applyAlignment="1" pivotButton="0" quotePrefix="0" xfId="0">
      <alignment horizontal="center" vertical="top"/>
    </xf>
    <xf numFmtId="3" fontId="4" fillId="5" borderId="0" applyAlignment="1" pivotButton="0" quotePrefix="0" xfId="0">
      <alignment horizontal="center" vertical="top"/>
    </xf>
    <xf numFmtId="180" fontId="4" fillId="5" borderId="0" applyAlignment="1" pivotButton="0" quotePrefix="0" xfId="0">
      <alignment horizontal="center" vertical="center"/>
    </xf>
    <xf numFmtId="180" fontId="17" fillId="5" borderId="0" applyAlignment="1" pivotButton="0" quotePrefix="0" xfId="0">
      <alignment horizontal="center" vertical="center"/>
    </xf>
    <xf numFmtId="1" fontId="4" fillId="5" borderId="0" applyAlignment="1" pivotButton="0" quotePrefix="0" xfId="0">
      <alignment horizontal="center" vertical="center"/>
    </xf>
    <xf numFmtId="0" fontId="4" fillId="5" borderId="0" applyAlignment="1" pivotButton="0" quotePrefix="0" xfId="0">
      <alignment horizontal="center" vertical="center" wrapText="1"/>
    </xf>
    <xf numFmtId="3" fontId="4" fillId="5" borderId="0" applyAlignment="1" pivotButton="0" quotePrefix="0" xfId="0">
      <alignment horizontal="center" vertical="center"/>
    </xf>
    <xf numFmtId="2" fontId="4" fillId="5" borderId="0" applyAlignment="1" pivotButton="0" quotePrefix="0" xfId="0">
      <alignment horizontal="center" vertical="center"/>
    </xf>
    <xf numFmtId="9" fontId="24" fillId="5" borderId="0" applyAlignment="1" pivotButton="0" quotePrefix="0" xfId="4">
      <alignment horizontal="center" vertical="center" shrinkToFit="1"/>
    </xf>
    <xf numFmtId="3" fontId="24" fillId="5" borderId="0" applyAlignment="1" pivotButton="0" quotePrefix="0" xfId="0">
      <alignment horizontal="center" vertical="center" shrinkToFit="1"/>
    </xf>
    <xf numFmtId="9" fontId="4" fillId="5" borderId="0" applyAlignment="1" pivotButton="0" quotePrefix="0" xfId="4">
      <alignment horizontal="center" vertical="center" shrinkToFit="1"/>
    </xf>
    <xf numFmtId="3" fontId="4" fillId="5" borderId="0" applyAlignment="1" pivotButton="0" quotePrefix="0" xfId="0">
      <alignment horizontal="center" vertical="center" shrinkToFit="1"/>
    </xf>
    <xf numFmtId="167" fontId="4" fillId="5" borderId="0" applyAlignment="1" pivotButton="0" quotePrefix="0" xfId="0">
      <alignment horizontal="center" vertical="center" wrapText="1" shrinkToFit="1"/>
    </xf>
    <xf numFmtId="0" fontId="16" fillId="3" borderId="11" applyAlignment="1" pivotButton="0" quotePrefix="0" xfId="0">
      <alignment horizontal="left" vertical="top"/>
    </xf>
    <xf numFmtId="165" fontId="9" fillId="0" borderId="0" pivotButton="0" quotePrefix="0" xfId="0"/>
    <xf numFmtId="170" fontId="17" fillId="0" borderId="0" applyAlignment="1" pivotButton="0" quotePrefix="0" xfId="3">
      <alignment horizontal="right"/>
    </xf>
    <xf numFmtId="166" fontId="0" fillId="0" borderId="0" pivotButton="0" quotePrefix="0" xfId="3"/>
    <xf numFmtId="181" fontId="0" fillId="0" borderId="0" pivotButton="0" quotePrefix="0" xfId="3"/>
    <xf numFmtId="170" fontId="0" fillId="0" borderId="0" pivotButton="0" quotePrefix="0" xfId="0"/>
    <xf numFmtId="0" fontId="17" fillId="6" borderId="0" applyAlignment="1" pivotButton="0" quotePrefix="0" xfId="0">
      <alignment horizontal="left"/>
    </xf>
    <xf numFmtId="180" fontId="17" fillId="6" borderId="0" applyAlignment="1" pivotButton="0" quotePrefix="0" xfId="0">
      <alignment horizontal="center"/>
    </xf>
    <xf numFmtId="0" fontId="17" fillId="6" borderId="0" applyAlignment="1" pivotButton="0" quotePrefix="0" xfId="0">
      <alignment horizontal="center"/>
    </xf>
    <xf numFmtId="3" fontId="17" fillId="6" borderId="0" applyAlignment="1" pivotButton="0" quotePrefix="0" xfId="0">
      <alignment horizontal="center"/>
    </xf>
    <xf numFmtId="9" fontId="17" fillId="6" borderId="0" applyAlignment="1" pivotButton="0" quotePrefix="0" xfId="4">
      <alignment horizontal="center"/>
    </xf>
    <xf numFmtId="170" fontId="17" fillId="6" borderId="0" applyAlignment="1" pivotButton="0" quotePrefix="0" xfId="3">
      <alignment horizontal="center"/>
    </xf>
    <xf numFmtId="10" fontId="17" fillId="6" borderId="0" applyAlignment="1" pivotButton="0" quotePrefix="0" xfId="0">
      <alignment horizontal="center"/>
    </xf>
    <xf numFmtId="1" fontId="17" fillId="6" borderId="0" applyAlignment="1" pivotButton="0" quotePrefix="0" xfId="0">
      <alignment horizontal="center"/>
    </xf>
    <xf numFmtId="9" fontId="24" fillId="0" borderId="0" applyAlignment="1" pivotButton="0" quotePrefix="0" xfId="0">
      <alignment horizontal="center"/>
    </xf>
    <xf numFmtId="10" fontId="24" fillId="0" borderId="0" applyAlignment="1" pivotButton="0" quotePrefix="0" xfId="4">
      <alignment horizontal="center"/>
    </xf>
    <xf numFmtId="10" fontId="4" fillId="0" borderId="0" applyAlignment="1" pivotButton="0" quotePrefix="0" xfId="4">
      <alignment horizontal="right"/>
    </xf>
    <xf numFmtId="38" fontId="0" fillId="0" borderId="0" pivotButton="0" quotePrefix="0" xfId="0"/>
    <xf numFmtId="166" fontId="0" fillId="0" borderId="0" pivotButton="0" quotePrefix="0" xfId="0"/>
    <xf numFmtId="9" fontId="0" fillId="0" borderId="0" pivotButton="0" quotePrefix="0" xfId="4"/>
    <xf numFmtId="0" fontId="17" fillId="6" borderId="0" applyAlignment="1" pivotButton="0" quotePrefix="0" xfId="0">
      <alignment vertical="center"/>
    </xf>
    <xf numFmtId="0" fontId="17" fillId="6" borderId="0" applyAlignment="1" pivotButton="0" quotePrefix="0" xfId="0">
      <alignment horizontal="left" vertical="center"/>
    </xf>
    <xf numFmtId="0" fontId="32" fillId="6" borderId="2" pivotButton="0" quotePrefix="0" xfId="0"/>
    <xf numFmtId="0" fontId="32" fillId="6" borderId="0" pivotButton="0" quotePrefix="0" xfId="0"/>
    <xf numFmtId="0" fontId="32" fillId="0" borderId="0" pivotButton="0" quotePrefix="0" xfId="0"/>
    <xf numFmtId="3" fontId="32" fillId="0" borderId="0" pivotButton="0" quotePrefix="0" xfId="0"/>
    <xf numFmtId="165" fontId="32" fillId="0" borderId="0" pivotButton="0" quotePrefix="0" xfId="0"/>
    <xf numFmtId="0" fontId="23" fillId="0" borderId="0" applyAlignment="1" pivotButton="0" quotePrefix="0" xfId="0">
      <alignment vertical="center"/>
    </xf>
    <xf numFmtId="0" fontId="19" fillId="6" borderId="0" pivotButton="0" quotePrefix="0" xfId="0"/>
    <xf numFmtId="3" fontId="19" fillId="6" borderId="1" applyAlignment="1" pivotButton="0" quotePrefix="0" xfId="0">
      <alignment horizontal="center"/>
    </xf>
    <xf numFmtId="165" fontId="19" fillId="6" borderId="1" applyAlignment="1" pivotButton="0" quotePrefix="0" xfId="0">
      <alignment horizontal="center"/>
    </xf>
    <xf numFmtId="166" fontId="23" fillId="0" borderId="0" applyAlignment="1" pivotButton="0" quotePrefix="0" xfId="3">
      <alignment vertical="center"/>
    </xf>
    <xf numFmtId="0" fontId="4" fillId="0" borderId="0" applyAlignment="1" pivotButton="0" quotePrefix="0" xfId="0">
      <alignment vertical="center"/>
    </xf>
    <xf numFmtId="0" fontId="37" fillId="0" borderId="0" pivotButton="0" quotePrefix="0" xfId="0"/>
    <xf numFmtId="0" fontId="23" fillId="0" borderId="0" applyAlignment="1" pivotButton="0" quotePrefix="1" xfId="0">
      <alignment vertical="center"/>
    </xf>
    <xf numFmtId="0" fontId="17" fillId="6" borderId="0" applyAlignment="1" pivotButton="0" quotePrefix="0" xfId="0">
      <alignment horizontal="left" vertical="center" indent="1"/>
    </xf>
    <xf numFmtId="3" fontId="17" fillId="6" borderId="0" applyAlignment="1" pivotButton="0" quotePrefix="0" xfId="0">
      <alignment vertical="center"/>
    </xf>
    <xf numFmtId="165" fontId="17" fillId="6" borderId="0" applyAlignment="1" pivotButton="0" quotePrefix="0" xfId="0">
      <alignment vertical="center"/>
    </xf>
    <xf numFmtId="0" fontId="17" fillId="6" borderId="0" applyAlignment="1" pivotButton="0" quotePrefix="0" xfId="0">
      <alignment horizontal="left" vertical="center" indent="2"/>
    </xf>
    <xf numFmtId="37" fontId="17" fillId="6" borderId="0" applyAlignment="1" pivotButton="0" quotePrefix="0" xfId="0">
      <alignment horizontal="right"/>
    </xf>
    <xf numFmtId="170" fontId="17" fillId="6" borderId="0" applyAlignment="1" pivotButton="0" quotePrefix="0" xfId="0">
      <alignment vertical="center"/>
    </xf>
    <xf numFmtId="37" fontId="4" fillId="6" borderId="0" pivotButton="0" quotePrefix="0" xfId="0"/>
    <xf numFmtId="170" fontId="4" fillId="6" borderId="0" applyAlignment="1" pivotButton="0" quotePrefix="0" xfId="0">
      <alignment vertical="center"/>
    </xf>
    <xf numFmtId="165" fontId="4" fillId="6" borderId="0" applyAlignment="1" pivotButton="0" quotePrefix="0" xfId="0">
      <alignment vertical="center"/>
    </xf>
    <xf numFmtId="0" fontId="24" fillId="6" borderId="0" applyAlignment="1" pivotButton="0" quotePrefix="0" xfId="0">
      <alignment horizontal="left" vertical="center" indent="2"/>
    </xf>
    <xf numFmtId="3" fontId="4" fillId="6" borderId="0" applyAlignment="1" pivotButton="0" quotePrefix="0" xfId="0">
      <alignment horizontal="center" vertical="center"/>
    </xf>
    <xf numFmtId="165" fontId="4" fillId="6" borderId="11" applyAlignment="1" pivotButton="0" quotePrefix="0" xfId="0">
      <alignment vertical="center"/>
    </xf>
    <xf numFmtId="3" fontId="4" fillId="6" borderId="0" applyAlignment="1" pivotButton="0" quotePrefix="0" xfId="0">
      <alignment vertical="center"/>
    </xf>
    <xf numFmtId="182" fontId="4" fillId="6" borderId="0" applyAlignment="1" pivotButton="0" quotePrefix="0" xfId="2">
      <alignment vertical="center"/>
    </xf>
    <xf numFmtId="182" fontId="4" fillId="6" borderId="1" applyAlignment="1" pivotButton="0" quotePrefix="0" xfId="2">
      <alignment vertical="center"/>
    </xf>
    <xf numFmtId="183" fontId="4" fillId="6" borderId="11" applyAlignment="1" pivotButton="0" quotePrefix="0" xfId="2">
      <alignment vertical="center"/>
    </xf>
    <xf numFmtId="183" fontId="4" fillId="6" borderId="0" applyAlignment="1" pivotButton="0" quotePrefix="0" xfId="2">
      <alignment vertical="center"/>
    </xf>
    <xf numFmtId="183" fontId="4" fillId="6" borderId="1" applyAlignment="1" pivotButton="0" quotePrefix="0" xfId="2">
      <alignment vertical="center"/>
    </xf>
    <xf numFmtId="0" fontId="19" fillId="6" borderId="0" applyAlignment="1" pivotButton="0" quotePrefix="0" xfId="0">
      <alignment horizontal="left" vertical="center" indent="1"/>
    </xf>
    <xf numFmtId="165" fontId="4" fillId="6" borderId="1" applyAlignment="1" pivotButton="0" quotePrefix="0" xfId="3">
      <alignment vertical="center"/>
    </xf>
    <xf numFmtId="37" fontId="4" fillId="6" borderId="11" applyAlignment="1" pivotButton="0" quotePrefix="0" xfId="3">
      <alignment vertical="center"/>
    </xf>
    <xf numFmtId="165" fontId="17" fillId="6" borderId="1" applyAlignment="1" pivotButton="0" quotePrefix="0" xfId="0">
      <alignment vertical="center"/>
    </xf>
    <xf numFmtId="9" fontId="4" fillId="6" borderId="0" applyAlignment="1" pivotButton="0" quotePrefix="0" xfId="0">
      <alignment vertical="center"/>
    </xf>
    <xf numFmtId="170" fontId="4" fillId="6" borderId="0" applyAlignment="1" pivotButton="0" quotePrefix="0" xfId="0">
      <alignment horizontal="center" vertical="center"/>
    </xf>
    <xf numFmtId="165" fontId="19" fillId="6" borderId="0" applyAlignment="1" pivotButton="0" quotePrefix="0" xfId="0">
      <alignment vertical="center"/>
    </xf>
    <xf numFmtId="165" fontId="19" fillId="6" borderId="1" applyAlignment="1" pivotButton="0" quotePrefix="0" xfId="0">
      <alignment vertical="center"/>
    </xf>
    <xf numFmtId="0" fontId="19" fillId="6" borderId="0" applyAlignment="1" pivotButton="0" quotePrefix="0" xfId="0">
      <alignment vertical="center"/>
    </xf>
    <xf numFmtId="0" fontId="19" fillId="6" borderId="0" applyAlignment="1" pivotButton="0" quotePrefix="0" xfId="0">
      <alignment horizontal="left" vertical="center" indent="2"/>
    </xf>
    <xf numFmtId="165" fontId="24" fillId="6" borderId="0" applyAlignment="1" pivotButton="0" quotePrefix="0" xfId="0">
      <alignment vertical="center"/>
    </xf>
    <xf numFmtId="0" fontId="17" fillId="6" borderId="0" applyAlignment="1" pivotButton="0" quotePrefix="0" xfId="0">
      <alignment horizontal="left" vertical="center" indent="3"/>
    </xf>
    <xf numFmtId="184" fontId="4" fillId="6" borderId="1" applyAlignment="1" pivotButton="0" quotePrefix="0" xfId="0">
      <alignment vertical="center"/>
    </xf>
    <xf numFmtId="174" fontId="7" fillId="6" borderId="0" applyAlignment="1" applyProtection="1" pivotButton="0" quotePrefix="0" xfId="0">
      <alignment horizontal="left"/>
      <protection locked="0" hidden="0"/>
    </xf>
    <xf numFmtId="0" fontId="19" fillId="6" borderId="0" applyAlignment="1" applyProtection="1" pivotButton="0" quotePrefix="0" xfId="0">
      <alignment horizontal="center"/>
      <protection locked="0" hidden="0"/>
    </xf>
    <xf numFmtId="165" fontId="19" fillId="6" borderId="0" pivotButton="0" quotePrefix="0" xfId="0"/>
    <xf numFmtId="3" fontId="17" fillId="6" borderId="0" applyAlignment="1" pivotButton="0" quotePrefix="0" xfId="0">
      <alignment horizontal="left" vertical="center" indent="1"/>
    </xf>
    <xf numFmtId="166" fontId="17" fillId="6" borderId="0" applyAlignment="1" pivotButton="0" quotePrefix="0" xfId="3">
      <alignment vertical="center"/>
    </xf>
    <xf numFmtId="0" fontId="19" fillId="6" borderId="11" applyAlignment="1" pivotButton="0" quotePrefix="0" xfId="0">
      <alignment horizontal="left" vertical="center"/>
    </xf>
    <xf numFmtId="0" fontId="35" fillId="6" borderId="0" pivotButton="0" quotePrefix="0" xfId="0"/>
    <xf numFmtId="3" fontId="4" fillId="6" borderId="0" pivotButton="0" quotePrefix="0" xfId="0"/>
    <xf numFmtId="165" fontId="4" fillId="6" borderId="0" pivotButton="0" quotePrefix="0" xfId="0"/>
    <xf numFmtId="41" fontId="36" fillId="6" borderId="0" pivotButton="0" quotePrefix="0" xfId="0"/>
    <xf numFmtId="3" fontId="32" fillId="6" borderId="0" pivotButton="0" quotePrefix="0" xfId="0"/>
    <xf numFmtId="165" fontId="32" fillId="6" borderId="0" pivotButton="0" quotePrefix="0" xfId="0"/>
    <xf numFmtId="0" fontId="34" fillId="6" borderId="0" pivotButton="0" quotePrefix="0" xfId="0"/>
    <xf numFmtId="165" fontId="32" fillId="6" borderId="0" applyAlignment="1" pivotButton="0" quotePrefix="0" xfId="0">
      <alignment vertical="center"/>
    </xf>
    <xf numFmtId="0" fontId="37" fillId="6" borderId="0" pivotButton="0" quotePrefix="0" xfId="0"/>
    <xf numFmtId="0" fontId="3" fillId="6" borderId="0" pivotButton="0" quotePrefix="0" xfId="0"/>
    <xf numFmtId="0" fontId="32" fillId="6" borderId="0" applyAlignment="1" pivotButton="0" quotePrefix="0" xfId="0">
      <alignment horizontal="center"/>
    </xf>
    <xf numFmtId="0" fontId="23" fillId="6" borderId="0" applyAlignment="1" pivotButton="0" quotePrefix="0" xfId="0">
      <alignment horizontal="center"/>
    </xf>
    <xf numFmtId="0" fontId="3" fillId="6" borderId="0" applyAlignment="1" pivotButton="0" quotePrefix="0" xfId="0">
      <alignment vertical="center"/>
    </xf>
    <xf numFmtId="0" fontId="3" fillId="6" borderId="1" applyAlignment="1" pivotButton="0" quotePrefix="0" xfId="0">
      <alignment vertical="center"/>
    </xf>
    <xf numFmtId="164" fontId="23" fillId="6" borderId="1" applyAlignment="1" pivotButton="0" quotePrefix="0" xfId="0">
      <alignment horizontal="center"/>
    </xf>
    <xf numFmtId="0" fontId="7" fillId="3" borderId="0" pivotButton="0" quotePrefix="0" xfId="0"/>
    <xf numFmtId="3" fontId="17" fillId="6" borderId="1" applyAlignment="1" pivotButton="0" quotePrefix="0" xfId="0">
      <alignment horizontal="left" vertical="center" indent="1"/>
    </xf>
    <xf numFmtId="3" fontId="17" fillId="6" borderId="1" applyAlignment="1" pivotButton="0" quotePrefix="0" xfId="0">
      <alignment vertical="center"/>
    </xf>
    <xf numFmtId="0" fontId="17" fillId="6" borderId="1" applyAlignment="1" pivotButton="0" quotePrefix="0" xfId="0">
      <alignment vertical="center"/>
    </xf>
    <xf numFmtId="166" fontId="17" fillId="6" borderId="1" applyAlignment="1" pivotButton="0" quotePrefix="0" xfId="3">
      <alignment vertical="center"/>
    </xf>
    <xf numFmtId="0" fontId="7" fillId="6" borderId="0" applyAlignment="1" pivotButton="0" quotePrefix="0" xfId="0">
      <alignment horizontal="left" vertical="center"/>
    </xf>
    <xf numFmtId="0" fontId="3" fillId="6" borderId="0" applyAlignment="1" pivotButton="0" quotePrefix="1" xfId="0">
      <alignment vertical="center"/>
    </xf>
    <xf numFmtId="185" fontId="4" fillId="6" borderId="0" applyAlignment="1" pivotButton="0" quotePrefix="0" xfId="0">
      <alignment horizontal="left"/>
    </xf>
    <xf numFmtId="185" fontId="7" fillId="6" borderId="0" applyAlignment="1" pivotButton="0" quotePrefix="0" xfId="0">
      <alignment horizontal="left"/>
    </xf>
    <xf numFmtId="0" fontId="19" fillId="6" borderId="1" applyAlignment="1" pivotButton="0" quotePrefix="0" xfId="0">
      <alignment horizontal="left" vertical="center"/>
    </xf>
    <xf numFmtId="170" fontId="24" fillId="6" borderId="1" applyAlignment="1" pivotButton="0" quotePrefix="0" xfId="0">
      <alignment vertical="center"/>
    </xf>
    <xf numFmtId="165" fontId="17" fillId="6" borderId="1" applyAlignment="1" pivotButton="0" quotePrefix="0" xfId="0">
      <alignment horizontal="right" vertical="center"/>
    </xf>
    <xf numFmtId="165" fontId="17" fillId="6" borderId="11" applyAlignment="1" pivotButton="0" quotePrefix="0" xfId="3">
      <alignment horizontal="right" vertical="center"/>
    </xf>
    <xf numFmtId="0" fontId="17" fillId="6" borderId="0" applyAlignment="1" pivotButton="0" quotePrefix="0" xfId="0">
      <alignment horizontal="left" vertical="center" wrapText="1"/>
    </xf>
    <xf numFmtId="165" fontId="4" fillId="6" borderId="1" applyAlignment="1" pivotButton="0" quotePrefix="0" xfId="0">
      <alignment vertical="center"/>
    </xf>
    <xf numFmtId="165" fontId="17" fillId="6" borderId="1" applyAlignment="1" pivotButton="0" quotePrefix="0" xfId="3">
      <alignment horizontal="right" vertical="center"/>
    </xf>
    <xf numFmtId="0" fontId="19" fillId="6" borderId="9" applyAlignment="1" pivotButton="0" quotePrefix="0" xfId="0">
      <alignment horizontal="left" vertical="center"/>
    </xf>
    <xf numFmtId="170" fontId="24" fillId="6" borderId="9" applyAlignment="1" pivotButton="0" quotePrefix="0" xfId="0">
      <alignment vertical="center"/>
    </xf>
    <xf numFmtId="37" fontId="17" fillId="6" borderId="9" applyAlignment="1" pivotButton="0" quotePrefix="0" xfId="0">
      <alignment horizontal="right" vertical="center"/>
    </xf>
    <xf numFmtId="37" fontId="17" fillId="6" borderId="11" applyAlignment="1" pivotButton="0" quotePrefix="0" xfId="0">
      <alignment horizontal="right" vertical="center"/>
    </xf>
    <xf numFmtId="37" fontId="17" fillId="6" borderId="0" applyAlignment="1" pivotButton="0" quotePrefix="0" xfId="0">
      <alignment horizontal="right" vertical="center"/>
    </xf>
    <xf numFmtId="37" fontId="17" fillId="6" borderId="1" applyAlignment="1" pivotButton="0" quotePrefix="0" xfId="0">
      <alignment horizontal="right" vertical="center"/>
    </xf>
    <xf numFmtId="165" fontId="4" fillId="6" borderId="9" applyAlignment="1" pivotButton="0" quotePrefix="0" xfId="0">
      <alignment vertical="center"/>
    </xf>
    <xf numFmtId="165" fontId="24" fillId="6" borderId="11" applyAlignment="1" pivotButton="0" quotePrefix="0" xfId="0">
      <alignment vertical="center"/>
    </xf>
    <xf numFmtId="165" fontId="38" fillId="6" borderId="11" applyAlignment="1" pivotButton="0" quotePrefix="0" xfId="0">
      <alignment horizontal="right" vertical="center"/>
    </xf>
    <xf numFmtId="165" fontId="38" fillId="6" borderId="0" applyAlignment="1" pivotButton="0" quotePrefix="0" xfId="0">
      <alignment horizontal="right" vertical="center"/>
    </xf>
    <xf numFmtId="165" fontId="24" fillId="6" borderId="1" applyAlignment="1" pivotButton="0" quotePrefix="0" xfId="0">
      <alignment vertical="center"/>
    </xf>
    <xf numFmtId="165" fontId="38" fillId="6" borderId="1" applyAlignment="1" pivotButton="0" quotePrefix="0" xfId="0">
      <alignment horizontal="right" vertical="center"/>
    </xf>
    <xf numFmtId="165" fontId="17" fillId="6" borderId="9" applyAlignment="1" pivotButton="0" quotePrefix="0" xfId="3">
      <alignment horizontal="right" vertical="center"/>
    </xf>
    <xf numFmtId="0" fontId="19" fillId="6" borderId="11" applyAlignment="1" pivotButton="0" quotePrefix="0" xfId="0">
      <alignment vertical="center"/>
    </xf>
    <xf numFmtId="3" fontId="17" fillId="6" borderId="11" applyAlignment="1" pivotButton="0" quotePrefix="0" xfId="0">
      <alignment vertical="center"/>
    </xf>
    <xf numFmtId="165" fontId="17" fillId="6" borderId="11" applyAlignment="1" pivotButton="0" quotePrefix="0" xfId="0">
      <alignment vertical="center"/>
    </xf>
    <xf numFmtId="0" fontId="17" fillId="6" borderId="1" pivotButton="0" quotePrefix="0" xfId="0"/>
    <xf numFmtId="0" fontId="17" fillId="6" borderId="11" applyAlignment="1" pivotButton="0" quotePrefix="0" xfId="0">
      <alignment horizontal="left" vertical="center" indent="1"/>
    </xf>
    <xf numFmtId="0" fontId="17" fillId="6" borderId="11" applyAlignment="1" pivotButton="0" quotePrefix="0" xfId="0">
      <alignment vertical="center"/>
    </xf>
    <xf numFmtId="0" fontId="24" fillId="6" borderId="1" applyAlignment="1" pivotButton="0" quotePrefix="0" xfId="0">
      <alignment horizontal="left" indent="1"/>
    </xf>
    <xf numFmtId="185" fontId="24" fillId="6" borderId="1" applyAlignment="1" pivotButton="0" quotePrefix="0" xfId="0">
      <alignment horizontal="left"/>
    </xf>
    <xf numFmtId="3" fontId="24" fillId="6" borderId="1" applyAlignment="1" pivotButton="0" quotePrefix="0" xfId="0">
      <alignment horizontal="left" indent="1"/>
    </xf>
    <xf numFmtId="168" fontId="32" fillId="6" borderId="0" pivotButton="0" quotePrefix="0" xfId="2"/>
    <xf numFmtId="0" fontId="0" fillId="6" borderId="0" applyAlignment="1" pivotButton="0" quotePrefix="0" xfId="0">
      <alignment horizontal="right"/>
    </xf>
    <xf numFmtId="169" fontId="7" fillId="3" borderId="0" pivotButton="0" quotePrefix="0" xfId="0"/>
    <xf numFmtId="167" fontId="7" fillId="3" borderId="0" pivotButton="0" quotePrefix="0" xfId="0"/>
    <xf numFmtId="169" fontId="4" fillId="6" borderId="0" pivotButton="0" quotePrefix="0" xfId="0"/>
    <xf numFmtId="167" fontId="4" fillId="6" borderId="0" pivotButton="0" quotePrefix="0" xfId="0"/>
    <xf numFmtId="170" fontId="23" fillId="0" borderId="0" applyAlignment="1" pivotButton="0" quotePrefix="0" xfId="0">
      <alignment vertical="center"/>
    </xf>
    <xf numFmtId="0" fontId="8" fillId="0" borderId="0" pivotButton="0" quotePrefix="0" xfId="0"/>
    <xf numFmtId="167" fontId="0" fillId="0" borderId="0" pivotButton="0" quotePrefix="0" xfId="4"/>
    <xf numFmtId="0" fontId="7" fillId="6" borderId="0" applyAlignment="1" pivotButton="0" quotePrefix="0" xfId="0">
      <alignment vertical="center"/>
    </xf>
    <xf numFmtId="0" fontId="7" fillId="6" borderId="0" applyAlignment="1" pivotButton="0" quotePrefix="0" xfId="0">
      <alignment horizontal="left" vertical="center" indent="1"/>
    </xf>
    <xf numFmtId="3" fontId="7" fillId="6" borderId="0" applyAlignment="1" pivotButton="0" quotePrefix="0" xfId="0">
      <alignment vertical="center"/>
    </xf>
    <xf numFmtId="0" fontId="7" fillId="6" borderId="0" applyAlignment="1" pivotButton="0" quotePrefix="0" xfId="0">
      <alignment horizontal="left" vertical="center" indent="2"/>
    </xf>
    <xf numFmtId="0" fontId="4" fillId="6" borderId="0" applyAlignment="1" pivotButton="0" quotePrefix="0" xfId="0">
      <alignment horizontal="left" vertical="center" indent="3"/>
    </xf>
    <xf numFmtId="184" fontId="4" fillId="6" borderId="0" applyAlignment="1" pivotButton="0" quotePrefix="0" xfId="0">
      <alignment vertical="center"/>
    </xf>
    <xf numFmtId="171" fontId="4" fillId="6" borderId="0" applyAlignment="1" pivotButton="0" quotePrefix="0" xfId="0">
      <alignment vertical="center"/>
    </xf>
    <xf numFmtId="171" fontId="4" fillId="6" borderId="1" applyAlignment="1" pivotButton="0" quotePrefix="0" xfId="0">
      <alignment vertical="center"/>
    </xf>
    <xf numFmtId="171" fontId="4" fillId="6" borderId="0" applyAlignment="1" pivotButton="0" quotePrefix="0" xfId="4">
      <alignment vertical="center"/>
    </xf>
    <xf numFmtId="165" fontId="7" fillId="6" borderId="1" applyAlignment="1" pivotButton="0" quotePrefix="0" xfId="0">
      <alignment vertical="center"/>
    </xf>
    <xf numFmtId="165" fontId="7" fillId="6" borderId="0" applyAlignment="1" pivotButton="0" quotePrefix="0" xfId="0">
      <alignment vertical="center"/>
    </xf>
    <xf numFmtId="0" fontId="4" fillId="6" borderId="0" applyAlignment="1" pivotButton="0" quotePrefix="0" xfId="0">
      <alignment horizontal="left" vertical="center" indent="2"/>
    </xf>
    <xf numFmtId="0" fontId="4" fillId="6" borderId="0" applyAlignment="1" pivotButton="0" quotePrefix="0" xfId="0">
      <alignment horizontal="left" vertical="center" indent="1"/>
    </xf>
    <xf numFmtId="9" fontId="4" fillId="6" borderId="0" applyAlignment="1" pivotButton="0" quotePrefix="0" xfId="4">
      <alignment vertical="center"/>
    </xf>
    <xf numFmtId="0" fontId="7" fillId="6" borderId="0" applyAlignment="1" applyProtection="1" pivotButton="0" quotePrefix="0" xfId="0">
      <alignment horizontal="center"/>
      <protection locked="0" hidden="0"/>
    </xf>
    <xf numFmtId="165" fontId="7" fillId="6" borderId="0" pivotButton="0" quotePrefix="0" xfId="0"/>
    <xf numFmtId="170" fontId="32" fillId="6" borderId="0" pivotButton="0" quotePrefix="0" xfId="0"/>
    <xf numFmtId="9" fontId="41" fillId="6" borderId="14" applyAlignment="1" pivotButton="0" quotePrefix="0" xfId="4">
      <alignment horizontal="center" vertical="center" wrapText="1"/>
    </xf>
    <xf numFmtId="9" fontId="41" fillId="0" borderId="14" applyAlignment="1" pivotButton="0" quotePrefix="0" xfId="4">
      <alignment horizontal="center" vertical="center" wrapText="1"/>
    </xf>
    <xf numFmtId="9" fontId="41" fillId="0" borderId="0" applyAlignment="1" pivotButton="0" quotePrefix="0" xfId="4">
      <alignment horizontal="center" vertical="center" wrapText="1"/>
    </xf>
    <xf numFmtId="180" fontId="41" fillId="0" borderId="16" applyAlignment="1" pivotButton="0" quotePrefix="0" xfId="0">
      <alignment horizontal="center" vertical="center" wrapText="1"/>
    </xf>
    <xf numFmtId="3" fontId="41" fillId="0" borderId="16" applyAlignment="1" pivotButton="0" quotePrefix="0" xfId="0">
      <alignment horizontal="center" vertical="center" wrapText="1"/>
    </xf>
    <xf numFmtId="0" fontId="41" fillId="0" borderId="16" applyAlignment="1" pivotButton="0" quotePrefix="0" xfId="0">
      <alignment horizontal="center" vertical="center" wrapText="1"/>
    </xf>
    <xf numFmtId="2" fontId="41" fillId="0" borderId="16" applyAlignment="1" pivotButton="0" quotePrefix="0" xfId="4">
      <alignment horizontal="center" vertical="center" wrapText="1"/>
    </xf>
    <xf numFmtId="9" fontId="41" fillId="0" borderId="21" applyAlignment="1" pivotButton="0" quotePrefix="0" xfId="4">
      <alignment horizontal="center" vertical="center" wrapText="1"/>
    </xf>
    <xf numFmtId="164" fontId="43" fillId="3" borderId="8" applyAlignment="1" pivotButton="0" quotePrefix="0" xfId="0">
      <alignment horizontal="center" vertical="center" wrapText="1"/>
    </xf>
    <xf numFmtId="9" fontId="43" fillId="3" borderId="17" applyAlignment="1" pivotButton="0" quotePrefix="0" xfId="0">
      <alignment horizontal="center" vertical="center" wrapText="1"/>
    </xf>
    <xf numFmtId="164" fontId="43" fillId="3" borderId="17" applyAlignment="1" pivotButton="0" quotePrefix="0" xfId="0">
      <alignment horizontal="center" vertical="center" wrapText="1"/>
    </xf>
    <xf numFmtId="165" fontId="19" fillId="3" borderId="1" applyAlignment="1" pivotButton="0" quotePrefix="0" xfId="0">
      <alignment horizontal="center" vertical="center"/>
    </xf>
    <xf numFmtId="0" fontId="45" fillId="4" borderId="0" applyAlignment="1" pivotButton="0" quotePrefix="0" xfId="0">
      <alignment horizontal="center" vertical="center"/>
    </xf>
    <xf numFmtId="0" fontId="47" fillId="0" borderId="0" applyAlignment="1" pivotButton="0" quotePrefix="0" xfId="0">
      <alignment vertical="center"/>
    </xf>
    <xf numFmtId="0" fontId="47" fillId="0" borderId="2" applyAlignment="1" pivotButton="0" quotePrefix="0" xfId="0">
      <alignment horizontal="right" vertical="center"/>
    </xf>
    <xf numFmtId="0" fontId="47" fillId="0" borderId="2" applyAlignment="1" pivotButton="0" quotePrefix="0" xfId="0">
      <alignment horizontal="right" vertical="center" wrapText="1"/>
    </xf>
    <xf numFmtId="0" fontId="49" fillId="0" borderId="2" applyAlignment="1" pivotButton="0" quotePrefix="0" xfId="0">
      <alignment horizontal="right" vertical="center"/>
    </xf>
    <xf numFmtId="165" fontId="49" fillId="0" borderId="2" applyAlignment="1" pivotButton="0" quotePrefix="0" xfId="3">
      <alignment horizontal="right" vertical="center"/>
    </xf>
    <xf numFmtId="0" fontId="48" fillId="0" borderId="2" applyAlignment="1" pivotButton="0" quotePrefix="0" xfId="0">
      <alignment vertical="center" justifyLastLine="1"/>
    </xf>
    <xf numFmtId="0" fontId="48" fillId="0" borderId="0" applyAlignment="1" pivotButton="0" quotePrefix="0" xfId="0">
      <alignment horizontal="right" vertical="center" justifyLastLine="1"/>
    </xf>
    <xf numFmtId="0" fontId="49" fillId="0" borderId="2" applyAlignment="1" pivotButton="0" quotePrefix="0" xfId="0">
      <alignment horizontal="right" vertical="center" wrapText="1"/>
    </xf>
    <xf numFmtId="3" fontId="47" fillId="0" borderId="2" applyAlignment="1" pivotButton="0" quotePrefix="0" xfId="2">
      <alignment horizontal="right" vertical="center"/>
    </xf>
    <xf numFmtId="165" fontId="41" fillId="0" borderId="2" applyAlignment="1" pivotButton="0" quotePrefix="0" xfId="3">
      <alignment horizontal="right" vertical="center" wrapText="1"/>
    </xf>
    <xf numFmtId="0" fontId="50" fillId="3" borderId="6" applyAlignment="1" pivotButton="0" quotePrefix="0" xfId="0">
      <alignment vertical="center"/>
    </xf>
    <xf numFmtId="170" fontId="50" fillId="3" borderId="34" applyAlignment="1" pivotButton="0" quotePrefix="0" xfId="3">
      <alignment horizontal="right" vertical="center"/>
    </xf>
    <xf numFmtId="0" fontId="48" fillId="3" borderId="34" applyAlignment="1" pivotButton="0" quotePrefix="0" xfId="0">
      <alignment horizontal="right" vertical="center"/>
    </xf>
    <xf numFmtId="170" fontId="44" fillId="3" borderId="6" applyAlignment="1" pivotButton="0" quotePrefix="0" xfId="3">
      <alignment horizontal="right" vertical="center"/>
    </xf>
    <xf numFmtId="0" fontId="48" fillId="3" borderId="8" applyAlignment="1" pivotButton="0" quotePrefix="0" xfId="0">
      <alignment horizontal="right" vertical="center"/>
    </xf>
    <xf numFmtId="170" fontId="44" fillId="3" borderId="9" applyAlignment="1" pivotButton="0" quotePrefix="0" xfId="3">
      <alignment horizontal="right" vertical="center"/>
    </xf>
    <xf numFmtId="170" fontId="44" fillId="3" borderId="37" applyAlignment="1" pivotButton="0" quotePrefix="0" xfId="3">
      <alignment horizontal="right" vertical="center"/>
    </xf>
    <xf numFmtId="0" fontId="21" fillId="4" borderId="6" applyAlignment="1" pivotButton="0" quotePrefix="0" xfId="0">
      <alignment vertical="center"/>
    </xf>
    <xf numFmtId="0" fontId="47" fillId="4" borderId="34" applyAlignment="1" pivotButton="0" quotePrefix="0" xfId="0">
      <alignment horizontal="right" vertical="center"/>
    </xf>
    <xf numFmtId="0" fontId="48" fillId="4" borderId="34" applyAlignment="1" pivotButton="0" quotePrefix="0" xfId="0">
      <alignment horizontal="right" vertical="center"/>
    </xf>
    <xf numFmtId="0" fontId="48" fillId="4" borderId="6" applyAlignment="1" pivotButton="0" quotePrefix="0" xfId="0">
      <alignment horizontal="right" vertical="center"/>
    </xf>
    <xf numFmtId="0" fontId="48" fillId="4" borderId="2" applyAlignment="1" pivotButton="0" quotePrefix="0" xfId="0">
      <alignment horizontal="right" vertical="center"/>
    </xf>
    <xf numFmtId="0" fontId="48" fillId="4" borderId="0" applyAlignment="1" pivotButton="0" quotePrefix="0" xfId="0">
      <alignment horizontal="right" vertical="center"/>
    </xf>
    <xf numFmtId="0" fontId="48" fillId="4" borderId="37" applyAlignment="1" pivotButton="0" quotePrefix="0" xfId="0">
      <alignment horizontal="right" vertical="center"/>
    </xf>
    <xf numFmtId="0" fontId="47" fillId="0" borderId="6" applyAlignment="1" pivotButton="0" quotePrefix="0" xfId="0">
      <alignment vertical="center"/>
    </xf>
    <xf numFmtId="0" fontId="49" fillId="0" borderId="34" applyAlignment="1" pivotButton="0" quotePrefix="0" xfId="0">
      <alignment horizontal="right" vertical="center"/>
    </xf>
    <xf numFmtId="0" fontId="48" fillId="0" borderId="34" applyAlignment="1" pivotButton="0" quotePrefix="0" xfId="0">
      <alignment horizontal="right" vertical="center"/>
    </xf>
    <xf numFmtId="186" fontId="44" fillId="0" borderId="6" applyAlignment="1" pivotButton="0" quotePrefix="0" xfId="4">
      <alignment horizontal="right" vertical="center"/>
    </xf>
    <xf numFmtId="0" fontId="48" fillId="0" borderId="2" applyAlignment="1" pivotButton="0" quotePrefix="0" xfId="0">
      <alignment horizontal="right" vertical="center"/>
    </xf>
    <xf numFmtId="186" fontId="44" fillId="0" borderId="0" applyAlignment="1" pivotButton="0" quotePrefix="0" xfId="4">
      <alignment horizontal="right" vertical="center"/>
    </xf>
    <xf numFmtId="186" fontId="44" fillId="0" borderId="37" applyAlignment="1" pivotButton="0" quotePrefix="0" xfId="4">
      <alignment horizontal="right" vertical="center"/>
    </xf>
    <xf numFmtId="0" fontId="47" fillId="0" borderId="0" applyAlignment="1" pivotButton="0" quotePrefix="0" xfId="0">
      <alignment horizontal="left" vertical="center"/>
    </xf>
    <xf numFmtId="170" fontId="44" fillId="0" borderId="0" applyAlignment="1" pivotButton="0" quotePrefix="0" xfId="3">
      <alignment horizontal="right" vertical="center"/>
    </xf>
    <xf numFmtId="170" fontId="52" fillId="0" borderId="0" applyAlignment="1" pivotButton="0" quotePrefix="0" xfId="3">
      <alignment horizontal="right" vertical="center"/>
    </xf>
    <xf numFmtId="170" fontId="52" fillId="0" borderId="14" applyAlignment="1" pivotButton="0" quotePrefix="0" xfId="3">
      <alignment horizontal="right" vertical="center"/>
    </xf>
    <xf numFmtId="186" fontId="43" fillId="0" borderId="0" applyAlignment="1" pivotButton="0" quotePrefix="0" xfId="4">
      <alignment horizontal="right" vertical="center"/>
    </xf>
    <xf numFmtId="186" fontId="44" fillId="0" borderId="14" applyAlignment="1" pivotButton="0" quotePrefix="0" xfId="4">
      <alignment horizontal="right" vertical="center"/>
    </xf>
    <xf numFmtId="170" fontId="44" fillId="0" borderId="14" applyAlignment="1" pivotButton="0" quotePrefix="0" xfId="3">
      <alignment horizontal="right" vertical="center"/>
    </xf>
    <xf numFmtId="180" fontId="48" fillId="0" borderId="2" applyAlignment="1" pivotButton="0" quotePrefix="0" xfId="0">
      <alignment horizontal="right" vertical="center"/>
    </xf>
    <xf numFmtId="0" fontId="50" fillId="3" borderId="24" applyAlignment="1" pivotButton="0" quotePrefix="0" xfId="0">
      <alignment vertical="center" wrapText="1"/>
    </xf>
    <xf numFmtId="0" fontId="52" fillId="3" borderId="35" applyAlignment="1" pivotButton="0" quotePrefix="0" xfId="0">
      <alignment horizontal="right" vertical="center" wrapText="1"/>
    </xf>
    <xf numFmtId="0" fontId="48" fillId="3" borderId="35" applyAlignment="1" pivotButton="0" quotePrefix="0" xfId="0">
      <alignment horizontal="right" vertical="center"/>
    </xf>
    <xf numFmtId="0" fontId="52" fillId="3" borderId="24" applyAlignment="1" pivotButton="0" quotePrefix="0" xfId="0">
      <alignment horizontal="right" vertical="center" wrapText="1"/>
    </xf>
    <xf numFmtId="0" fontId="52" fillId="3" borderId="9" applyAlignment="1" pivotButton="0" quotePrefix="0" xfId="0">
      <alignment horizontal="right" vertical="center" wrapText="1"/>
    </xf>
    <xf numFmtId="0" fontId="52" fillId="3" borderId="38" applyAlignment="1" pivotButton="0" quotePrefix="0" xfId="0">
      <alignment horizontal="right" vertical="center" wrapText="1"/>
    </xf>
    <xf numFmtId="9" fontId="50" fillId="3" borderId="24" applyAlignment="1" pivotButton="0" quotePrefix="0" xfId="4">
      <alignment vertical="center"/>
    </xf>
    <xf numFmtId="9" fontId="47" fillId="3" borderId="35" applyAlignment="1" pivotButton="0" quotePrefix="0" xfId="4">
      <alignment horizontal="right" vertical="center"/>
    </xf>
    <xf numFmtId="170" fontId="44" fillId="3" borderId="24" applyAlignment="1" pivotButton="0" quotePrefix="0" xfId="0">
      <alignment horizontal="right" vertical="center"/>
    </xf>
    <xf numFmtId="170" fontId="44" fillId="3" borderId="9" applyAlignment="1" pivotButton="0" quotePrefix="0" xfId="0">
      <alignment horizontal="right" vertical="center"/>
    </xf>
    <xf numFmtId="170" fontId="44" fillId="3" borderId="38" applyAlignment="1" pivotButton="0" quotePrefix="0" xfId="0">
      <alignment horizontal="right" vertical="center"/>
    </xf>
    <xf numFmtId="0" fontId="21" fillId="0" borderId="0" applyAlignment="1" pivotButton="0" quotePrefix="0" xfId="0">
      <alignment vertical="center"/>
    </xf>
    <xf numFmtId="0" fontId="54" fillId="0" borderId="2" applyAlignment="1" pivotButton="0" quotePrefix="0" xfId="0">
      <alignment horizontal="right" vertical="center"/>
    </xf>
    <xf numFmtId="0" fontId="55" fillId="0" borderId="2" applyAlignment="1" pivotButton="0" quotePrefix="0" xfId="0">
      <alignment horizontal="right" vertical="center"/>
    </xf>
    <xf numFmtId="186" fontId="55" fillId="0" borderId="0" applyAlignment="1" pivotButton="0" quotePrefix="0" xfId="0">
      <alignment horizontal="right" vertical="center"/>
    </xf>
    <xf numFmtId="186" fontId="55" fillId="0" borderId="14" applyAlignment="1" pivotButton="0" quotePrefix="0" xfId="0">
      <alignment horizontal="right" vertical="center"/>
    </xf>
    <xf numFmtId="9" fontId="50" fillId="3" borderId="0" applyAlignment="1" pivotButton="0" quotePrefix="0" xfId="4">
      <alignment vertical="center"/>
    </xf>
    <xf numFmtId="1" fontId="52" fillId="3" borderId="2" applyAlignment="1" pivotButton="0" quotePrefix="0" xfId="0">
      <alignment horizontal="right" vertical="center"/>
    </xf>
    <xf numFmtId="0" fontId="44" fillId="3" borderId="2" applyAlignment="1" pivotButton="0" quotePrefix="0" xfId="0">
      <alignment horizontal="right" vertical="center"/>
    </xf>
    <xf numFmtId="186" fontId="43" fillId="3" borderId="0" applyAlignment="1" pivotButton="0" quotePrefix="0" xfId="4">
      <alignment horizontal="right" vertical="center"/>
    </xf>
    <xf numFmtId="186" fontId="43" fillId="3" borderId="14" applyAlignment="1" pivotButton="0" quotePrefix="0" xfId="4">
      <alignment horizontal="right" vertical="center"/>
    </xf>
    <xf numFmtId="0" fontId="54" fillId="0" borderId="0" applyAlignment="1" pivotButton="0" quotePrefix="0" xfId="0">
      <alignment horizontal="left" vertical="center"/>
    </xf>
    <xf numFmtId="1" fontId="56" fillId="0" borderId="2" applyAlignment="1" pivotButton="0" quotePrefix="0" xfId="0">
      <alignment horizontal="right" vertical="center" wrapText="1"/>
    </xf>
    <xf numFmtId="186" fontId="43" fillId="0" borderId="14" applyAlignment="1" pivotButton="0" quotePrefix="0" xfId="4">
      <alignment horizontal="right" vertical="center"/>
    </xf>
    <xf numFmtId="9" fontId="56" fillId="0" borderId="2" applyAlignment="1" pivotButton="0" quotePrefix="0" xfId="4">
      <alignment horizontal="right" vertical="center"/>
    </xf>
    <xf numFmtId="9" fontId="57" fillId="0" borderId="2" applyAlignment="1" pivotButton="0" quotePrefix="0" xfId="0">
      <alignment horizontal="right" vertical="center" wrapText="1"/>
    </xf>
    <xf numFmtId="0" fontId="54" fillId="6" borderId="0" applyAlignment="1" pivotButton="0" quotePrefix="0" xfId="0">
      <alignment horizontal="left" vertical="center"/>
    </xf>
    <xf numFmtId="9" fontId="56" fillId="6" borderId="2" applyAlignment="1" pivotButton="0" quotePrefix="0" xfId="4">
      <alignment horizontal="right" vertical="center" wrapText="1"/>
    </xf>
    <xf numFmtId="0" fontId="50" fillId="3" borderId="0" applyAlignment="1" pivotButton="0" quotePrefix="0" xfId="0">
      <alignment vertical="center"/>
    </xf>
    <xf numFmtId="3" fontId="44" fillId="3" borderId="2" applyAlignment="1" pivotButton="0" quotePrefix="0" xfId="2">
      <alignment horizontal="right" vertical="center"/>
    </xf>
    <xf numFmtId="1" fontId="50" fillId="3" borderId="0" applyAlignment="1" pivotButton="0" quotePrefix="0" xfId="0">
      <alignment vertical="center"/>
    </xf>
    <xf numFmtId="186" fontId="53" fillId="0" borderId="0" applyAlignment="1" pivotButton="0" quotePrefix="0" xfId="4">
      <alignment horizontal="right" vertical="center"/>
    </xf>
    <xf numFmtId="186" fontId="53" fillId="0" borderId="14" applyAlignment="1" pivotButton="0" quotePrefix="0" xfId="4">
      <alignment horizontal="right" vertical="center"/>
    </xf>
    <xf numFmtId="9" fontId="56" fillId="0" borderId="2" applyAlignment="1" pivotButton="0" quotePrefix="0" xfId="4">
      <alignment horizontal="right" vertical="center" wrapText="1"/>
    </xf>
    <xf numFmtId="2" fontId="52" fillId="3" borderId="2" applyAlignment="1" pivotButton="0" quotePrefix="0" xfId="4">
      <alignment horizontal="right" vertical="center" wrapText="1"/>
    </xf>
    <xf numFmtId="2" fontId="52" fillId="3" borderId="2" applyAlignment="1" pivotButton="0" quotePrefix="0" xfId="4">
      <alignment horizontal="right" vertical="center"/>
    </xf>
    <xf numFmtId="1" fontId="56" fillId="6" borderId="2" applyAlignment="1" pivotButton="0" quotePrefix="0" xfId="0">
      <alignment horizontal="right" vertical="center"/>
    </xf>
    <xf numFmtId="10" fontId="56" fillId="0" borderId="2" applyAlignment="1" pivotButton="0" quotePrefix="0" xfId="4">
      <alignment horizontal="right" vertical="center"/>
    </xf>
    <xf numFmtId="168" fontId="56" fillId="0" borderId="2" applyAlignment="1" pivotButton="0" quotePrefix="0" xfId="2">
      <alignment horizontal="right" vertical="center"/>
    </xf>
    <xf numFmtId="0" fontId="43" fillId="3" borderId="2" applyAlignment="1" pivotButton="0" quotePrefix="0" xfId="0">
      <alignment horizontal="right" vertical="center"/>
    </xf>
    <xf numFmtId="186" fontId="52" fillId="3" borderId="0" applyAlignment="1" pivotButton="0" quotePrefix="0" xfId="4">
      <alignment horizontal="right" vertical="center"/>
    </xf>
    <xf numFmtId="186" fontId="52" fillId="3" borderId="14" applyAlignment="1" pivotButton="0" quotePrefix="0" xfId="4">
      <alignment horizontal="right" vertical="center"/>
    </xf>
    <xf numFmtId="0" fontId="56" fillId="0" borderId="2" applyAlignment="1" pivotButton="0" quotePrefix="0" xfId="4">
      <alignment horizontal="right" vertical="center" wrapText="1"/>
    </xf>
    <xf numFmtId="186" fontId="53" fillId="0" borderId="1" applyAlignment="1" pivotButton="0" quotePrefix="0" xfId="4">
      <alignment horizontal="right" vertical="center"/>
    </xf>
    <xf numFmtId="0" fontId="52" fillId="3" borderId="6" applyAlignment="1" pivotButton="0" quotePrefix="0" xfId="0">
      <alignment vertical="center"/>
    </xf>
    <xf numFmtId="0" fontId="52" fillId="3" borderId="34" applyAlignment="1" pivotButton="0" quotePrefix="0" xfId="0">
      <alignment vertical="center"/>
    </xf>
    <xf numFmtId="0" fontId="50" fillId="3" borderId="34" applyAlignment="1" pivotButton="0" quotePrefix="0" xfId="0">
      <alignment vertical="center"/>
    </xf>
    <xf numFmtId="186" fontId="50" fillId="3" borderId="6" applyAlignment="1" pivotButton="0" quotePrefix="0" xfId="3">
      <alignment vertical="center"/>
    </xf>
    <xf numFmtId="0" fontId="50" fillId="3" borderId="45" applyAlignment="1" pivotButton="0" quotePrefix="0" xfId="0">
      <alignment vertical="center"/>
    </xf>
    <xf numFmtId="186" fontId="50" fillId="3" borderId="1" applyAlignment="1" pivotButton="0" quotePrefix="0" xfId="3">
      <alignment vertical="center"/>
    </xf>
    <xf numFmtId="0" fontId="50" fillId="3" borderId="35" applyAlignment="1" pivotButton="0" quotePrefix="0" xfId="0">
      <alignment vertical="center"/>
    </xf>
    <xf numFmtId="186" fontId="50" fillId="3" borderId="38" applyAlignment="1" pivotButton="0" quotePrefix="0" xfId="3">
      <alignment vertical="center"/>
    </xf>
    <xf numFmtId="0" fontId="52" fillId="8" borderId="24" applyAlignment="1" pivotButton="0" quotePrefix="0" xfId="0">
      <alignment vertical="center"/>
    </xf>
    <xf numFmtId="0" fontId="52" fillId="8" borderId="35" applyAlignment="1" pivotButton="0" quotePrefix="0" xfId="0">
      <alignment vertical="center"/>
    </xf>
    <xf numFmtId="0" fontId="50" fillId="8" borderId="35" applyAlignment="1" pivotButton="0" quotePrefix="0" xfId="0">
      <alignment horizontal="right" vertical="center"/>
    </xf>
    <xf numFmtId="170" fontId="50" fillId="8" borderId="24" applyAlignment="1" pivotButton="0" quotePrefix="0" xfId="3">
      <alignment vertical="center"/>
    </xf>
    <xf numFmtId="170" fontId="50" fillId="8" borderId="1" applyAlignment="1" pivotButton="0" quotePrefix="0" xfId="3">
      <alignment vertical="center"/>
    </xf>
    <xf numFmtId="170" fontId="50" fillId="8" borderId="38" applyAlignment="1" pivotButton="0" quotePrefix="0" xfId="3">
      <alignment vertical="center"/>
    </xf>
    <xf numFmtId="0" fontId="44" fillId="3" borderId="2" applyAlignment="1" pivotButton="0" quotePrefix="0" xfId="0">
      <alignment horizontal="right" vertical="center" wrapText="1"/>
    </xf>
    <xf numFmtId="0" fontId="13" fillId="13" borderId="0" applyAlignment="1" pivotButton="0" quotePrefix="0" xfId="0">
      <alignment horizontal="left"/>
    </xf>
    <xf numFmtId="187" fontId="13" fillId="13" borderId="0" applyAlignment="1" pivotButton="0" quotePrefix="0" xfId="0">
      <alignment horizontal="center"/>
    </xf>
    <xf numFmtId="0" fontId="13" fillId="13" borderId="0" applyAlignment="1" pivotButton="0" quotePrefix="0" xfId="0">
      <alignment horizontal="center"/>
    </xf>
    <xf numFmtId="171" fontId="13" fillId="13" borderId="0" applyAlignment="1" pivotButton="0" quotePrefix="0" xfId="4">
      <alignment horizontal="center"/>
    </xf>
    <xf numFmtId="0" fontId="13" fillId="13" borderId="1" applyAlignment="1" pivotButton="0" quotePrefix="0" xfId="0">
      <alignment horizontal="left"/>
    </xf>
    <xf numFmtId="187" fontId="13" fillId="13" borderId="1" applyAlignment="1" pivotButton="0" quotePrefix="0" xfId="0">
      <alignment horizontal="center"/>
    </xf>
    <xf numFmtId="170" fontId="47" fillId="0" borderId="1" pivotButton="0" quotePrefix="0" xfId="0"/>
    <xf numFmtId="0" fontId="48" fillId="4" borderId="9" applyAlignment="1" pivotButton="0" quotePrefix="0" xfId="0">
      <alignment horizontal="right" vertical="center"/>
    </xf>
    <xf numFmtId="0" fontId="48" fillId="3" borderId="0" applyAlignment="1" pivotButton="0" quotePrefix="0" xfId="0">
      <alignment horizontal="right" vertical="center"/>
    </xf>
    <xf numFmtId="170" fontId="44" fillId="3" borderId="0" applyAlignment="1" pivotButton="0" quotePrefix="0" xfId="3">
      <alignment horizontal="right" vertical="center"/>
    </xf>
    <xf numFmtId="0" fontId="48" fillId="0" borderId="0" applyAlignment="1" pivotButton="0" quotePrefix="0" xfId="0">
      <alignment horizontal="right" vertical="center"/>
    </xf>
    <xf numFmtId="186" fontId="51" fillId="0" borderId="0" applyAlignment="1" pivotButton="0" quotePrefix="0" xfId="4">
      <alignment horizontal="right" vertical="center"/>
    </xf>
    <xf numFmtId="0" fontId="53" fillId="0" borderId="0" applyAlignment="1" pivotButton="0" quotePrefix="0" xfId="0">
      <alignment horizontal="right" vertical="center"/>
    </xf>
    <xf numFmtId="180" fontId="53" fillId="0" borderId="0" applyAlignment="1" pivotButton="0" quotePrefix="0" xfId="0">
      <alignment horizontal="right" vertical="center"/>
    </xf>
    <xf numFmtId="0" fontId="52" fillId="3" borderId="0" applyAlignment="1" pivotButton="0" quotePrefix="0" xfId="0">
      <alignment horizontal="right" vertical="center" wrapText="1"/>
    </xf>
    <xf numFmtId="170" fontId="44" fillId="3" borderId="0" applyAlignment="1" pivotButton="0" quotePrefix="0" xfId="0">
      <alignment horizontal="right" vertical="center"/>
    </xf>
    <xf numFmtId="0" fontId="55" fillId="0" borderId="0" applyAlignment="1" pivotButton="0" quotePrefix="0" xfId="0">
      <alignment horizontal="right" vertical="center"/>
    </xf>
    <xf numFmtId="0" fontId="44" fillId="3" borderId="0" applyAlignment="1" pivotButton="0" quotePrefix="0" xfId="0">
      <alignment horizontal="right" vertical="center"/>
    </xf>
    <xf numFmtId="1" fontId="56" fillId="0" borderId="0" applyAlignment="1" pivotButton="0" quotePrefix="0" xfId="0">
      <alignment horizontal="right" vertical="center" wrapText="1"/>
    </xf>
    <xf numFmtId="9" fontId="56" fillId="0" borderId="0" applyAlignment="1" pivotButton="0" quotePrefix="0" xfId="4">
      <alignment horizontal="right" vertical="center"/>
    </xf>
    <xf numFmtId="9" fontId="57" fillId="0" borderId="0" applyAlignment="1" pivotButton="0" quotePrefix="0" xfId="0">
      <alignment horizontal="right" vertical="center" wrapText="1"/>
    </xf>
    <xf numFmtId="9" fontId="56" fillId="6" borderId="0" applyAlignment="1" pivotButton="0" quotePrefix="0" xfId="4">
      <alignment horizontal="right" vertical="center" wrapText="1"/>
    </xf>
    <xf numFmtId="3" fontId="44" fillId="3" borderId="0" applyAlignment="1" pivotButton="0" quotePrefix="0" xfId="2">
      <alignment horizontal="right" vertical="center"/>
    </xf>
    <xf numFmtId="9" fontId="56" fillId="0" borderId="0" applyAlignment="1" pivotButton="0" quotePrefix="0" xfId="4">
      <alignment horizontal="right" vertical="center" wrapText="1"/>
    </xf>
    <xf numFmtId="2" fontId="52" fillId="3" borderId="0" applyAlignment="1" pivotButton="0" quotePrefix="0" xfId="4">
      <alignment horizontal="right" vertical="center"/>
    </xf>
    <xf numFmtId="10" fontId="56" fillId="0" borderId="0" applyAlignment="1" pivotButton="0" quotePrefix="0" xfId="4">
      <alignment horizontal="right" vertical="center"/>
    </xf>
    <xf numFmtId="168" fontId="56" fillId="0" borderId="0" applyAlignment="1" pivotButton="0" quotePrefix="0" xfId="2">
      <alignment horizontal="right" vertical="center"/>
    </xf>
    <xf numFmtId="3" fontId="57" fillId="0" borderId="0" applyAlignment="1" pivotButton="0" quotePrefix="0" xfId="0">
      <alignment horizontal="right" vertical="center" wrapText="1"/>
    </xf>
    <xf numFmtId="186" fontId="50" fillId="3" borderId="0" applyAlignment="1" pivotButton="0" quotePrefix="0" xfId="3">
      <alignment vertical="center"/>
    </xf>
    <xf numFmtId="0" fontId="50" fillId="8" borderId="0" applyAlignment="1" pivotButton="0" quotePrefix="0" xfId="0">
      <alignment horizontal="right" vertical="center"/>
    </xf>
    <xf numFmtId="170" fontId="50" fillId="8" borderId="0" applyAlignment="1" pivotButton="0" quotePrefix="0" xfId="3">
      <alignment vertical="center"/>
    </xf>
    <xf numFmtId="169" fontId="48" fillId="6" borderId="2" applyAlignment="1" pivotButton="0" quotePrefix="0" xfId="3">
      <alignment horizontal="right" vertical="top" justifyLastLine="1"/>
    </xf>
    <xf numFmtId="169" fontId="48" fillId="6" borderId="0" applyAlignment="1" pivotButton="0" quotePrefix="0" xfId="3">
      <alignment horizontal="right" vertical="top" justifyLastLine="1"/>
    </xf>
    <xf numFmtId="0" fontId="47" fillId="6" borderId="0" pivotButton="0" quotePrefix="0" xfId="0"/>
    <xf numFmtId="0" fontId="47" fillId="6" borderId="0" applyAlignment="1" pivotButton="0" quotePrefix="0" xfId="0">
      <alignment vertical="top"/>
    </xf>
    <xf numFmtId="0" fontId="50" fillId="3" borderId="6" pivotButton="0" quotePrefix="0" xfId="0"/>
    <xf numFmtId="170" fontId="44" fillId="3" borderId="6" applyAlignment="1" pivotButton="0" quotePrefix="0" xfId="3">
      <alignment horizontal="right" vertical="top"/>
    </xf>
    <xf numFmtId="170" fontId="44" fillId="3" borderId="37" applyAlignment="1" pivotButton="0" quotePrefix="0" xfId="3">
      <alignment horizontal="right" vertical="top"/>
    </xf>
    <xf numFmtId="0" fontId="48" fillId="3" borderId="6" applyAlignment="1" pivotButton="0" quotePrefix="0" xfId="0">
      <alignment horizontal="right" vertical="top"/>
    </xf>
    <xf numFmtId="0" fontId="48" fillId="4" borderId="6" applyAlignment="1" pivotButton="0" quotePrefix="0" xfId="0">
      <alignment horizontal="right" vertical="top"/>
    </xf>
    <xf numFmtId="0" fontId="47" fillId="6" borderId="6" pivotButton="0" quotePrefix="0" xfId="0"/>
    <xf numFmtId="186" fontId="51" fillId="6" borderId="6" applyAlignment="1" pivotButton="0" quotePrefix="0" xfId="4">
      <alignment horizontal="right" vertical="top"/>
    </xf>
    <xf numFmtId="0" fontId="48" fillId="6" borderId="6" applyAlignment="1" pivotButton="0" quotePrefix="0" xfId="0">
      <alignment horizontal="right" vertical="top"/>
    </xf>
    <xf numFmtId="0" fontId="47" fillId="6" borderId="0" applyAlignment="1" pivotButton="0" quotePrefix="0" xfId="0">
      <alignment horizontal="left" indent="2"/>
    </xf>
    <xf numFmtId="170" fontId="52" fillId="6" borderId="0" applyAlignment="1" pivotButton="0" quotePrefix="0" xfId="3">
      <alignment horizontal="right" vertical="top"/>
    </xf>
    <xf numFmtId="0" fontId="48" fillId="6" borderId="0" applyAlignment="1" pivotButton="0" quotePrefix="0" xfId="0">
      <alignment horizontal="right" vertical="top"/>
    </xf>
    <xf numFmtId="186" fontId="43" fillId="6" borderId="0" applyAlignment="1" pivotButton="0" quotePrefix="0" xfId="4">
      <alignment horizontal="right" vertical="top"/>
    </xf>
    <xf numFmtId="0" fontId="53" fillId="6" borderId="0" applyAlignment="1" pivotButton="0" quotePrefix="0" xfId="0">
      <alignment horizontal="right" vertical="top"/>
    </xf>
    <xf numFmtId="0" fontId="50" fillId="3" borderId="24" applyAlignment="1" pivotButton="0" quotePrefix="0" xfId="0">
      <alignment wrapText="1"/>
    </xf>
    <xf numFmtId="0" fontId="52" fillId="3" borderId="24" applyAlignment="1" pivotButton="0" quotePrefix="0" xfId="0">
      <alignment horizontal="right" vertical="top" wrapText="1"/>
    </xf>
    <xf numFmtId="0" fontId="48" fillId="3" borderId="24" applyAlignment="1" pivotButton="0" quotePrefix="0" xfId="0">
      <alignment horizontal="right" vertical="top"/>
    </xf>
    <xf numFmtId="9" fontId="50" fillId="3" borderId="24" pivotButton="0" quotePrefix="0" xfId="4"/>
    <xf numFmtId="170" fontId="44" fillId="3" borderId="24" applyAlignment="1" pivotButton="0" quotePrefix="0" xfId="0">
      <alignment horizontal="right" vertical="top"/>
    </xf>
    <xf numFmtId="170" fontId="44" fillId="3" borderId="38" applyAlignment="1" pivotButton="0" quotePrefix="0" xfId="0">
      <alignment horizontal="right" vertical="top"/>
    </xf>
    <xf numFmtId="186" fontId="55" fillId="0" borderId="0" applyAlignment="1" pivotButton="0" quotePrefix="0" xfId="0">
      <alignment horizontal="right" vertical="top"/>
    </xf>
    <xf numFmtId="0" fontId="55" fillId="0" borderId="0" applyAlignment="1" pivotButton="0" quotePrefix="0" xfId="0">
      <alignment horizontal="right" vertical="top"/>
    </xf>
    <xf numFmtId="186" fontId="43" fillId="3" borderId="0" applyAlignment="1" pivotButton="0" quotePrefix="0" xfId="4">
      <alignment horizontal="right" vertical="top"/>
    </xf>
    <xf numFmtId="0" fontId="44" fillId="3" borderId="0" applyAlignment="1" pivotButton="0" quotePrefix="0" xfId="0">
      <alignment horizontal="right" vertical="top"/>
    </xf>
    <xf numFmtId="3" fontId="44" fillId="3" borderId="0" applyAlignment="1" pivotButton="0" quotePrefix="0" xfId="2">
      <alignment horizontal="right" vertical="top"/>
    </xf>
    <xf numFmtId="2" fontId="44" fillId="3" borderId="0" applyAlignment="1" pivotButton="0" quotePrefix="0" xfId="0">
      <alignment horizontal="right" vertical="top"/>
    </xf>
    <xf numFmtId="186" fontId="52" fillId="3" borderId="0" applyAlignment="1" pivotButton="0" quotePrefix="0" xfId="4">
      <alignment horizontal="right" vertical="top"/>
    </xf>
    <xf numFmtId="0" fontId="43" fillId="3" borderId="0" applyAlignment="1" pivotButton="0" quotePrefix="0" xfId="0">
      <alignment horizontal="right" vertical="top"/>
    </xf>
    <xf numFmtId="0" fontId="52" fillId="3" borderId="6" pivotButton="0" quotePrefix="0" xfId="0"/>
    <xf numFmtId="186" fontId="50" fillId="3" borderId="6" pivotButton="0" quotePrefix="0" xfId="3"/>
    <xf numFmtId="0" fontId="52" fillId="8" borderId="24" pivotButton="0" quotePrefix="0" xfId="0"/>
    <xf numFmtId="170" fontId="50" fillId="8" borderId="64" pivotButton="0" quotePrefix="0" xfId="3"/>
    <xf numFmtId="170" fontId="50" fillId="8" borderId="39" pivotButton="0" quotePrefix="0" xfId="3"/>
    <xf numFmtId="0" fontId="50" fillId="8" borderId="64" applyAlignment="1" pivotButton="0" quotePrefix="0" xfId="0">
      <alignment horizontal="right" vertical="top"/>
    </xf>
    <xf numFmtId="0" fontId="39" fillId="2" borderId="0" applyAlignment="1" pivotButton="0" quotePrefix="0" xfId="0">
      <alignment horizontal="center" justifyLastLine="1"/>
    </xf>
    <xf numFmtId="167" fontId="17" fillId="6" borderId="0" applyAlignment="1" pivotButton="0" quotePrefix="0" xfId="3">
      <alignment horizontal="center"/>
    </xf>
    <xf numFmtId="171" fontId="19" fillId="0" borderId="0" applyAlignment="1" pivotButton="0" quotePrefix="0" xfId="4">
      <alignment horizontal="center"/>
    </xf>
    <xf numFmtId="0" fontId="18" fillId="6" borderId="0" applyAlignment="1" pivotButton="0" quotePrefix="0" xfId="0">
      <alignment vertical="center"/>
    </xf>
    <xf numFmtId="0" fontId="15" fillId="3" borderId="11" applyAlignment="1" pivotButton="0" quotePrefix="0" xfId="0">
      <alignment vertical="center"/>
    </xf>
    <xf numFmtId="0" fontId="15" fillId="3" borderId="1" applyAlignment="1" pivotButton="0" quotePrefix="0" xfId="0">
      <alignment vertical="center"/>
    </xf>
    <xf numFmtId="169" fontId="0" fillId="0" borderId="0" pivotButton="0" quotePrefix="0" xfId="0"/>
    <xf numFmtId="43" fontId="0" fillId="0" borderId="0" pivotButton="0" quotePrefix="0" xfId="2"/>
    <xf numFmtId="0" fontId="1" fillId="6" borderId="0" pivotButton="0" quotePrefix="0" xfId="8"/>
    <xf numFmtId="0" fontId="1" fillId="6" borderId="0" applyAlignment="1" pivotButton="0" quotePrefix="0" xfId="8">
      <alignment horizontal="right"/>
    </xf>
    <xf numFmtId="0" fontId="1" fillId="6" borderId="0" applyAlignment="1" pivotButton="0" quotePrefix="0" xfId="8">
      <alignment horizontal="center"/>
    </xf>
    <xf numFmtId="1" fontId="1" fillId="6" borderId="0" applyAlignment="1" pivotButton="0" quotePrefix="0" xfId="8">
      <alignment horizontal="right"/>
    </xf>
    <xf numFmtId="3" fontId="1" fillId="6" borderId="0" applyAlignment="1" pivotButton="0" quotePrefix="0" xfId="8">
      <alignment horizontal="right"/>
    </xf>
    <xf numFmtId="3" fontId="1" fillId="6" borderId="0" applyAlignment="1" pivotButton="0" quotePrefix="0" xfId="8">
      <alignment horizontal="center"/>
    </xf>
    <xf numFmtId="188" fontId="1" fillId="6" borderId="0" pivotButton="0" quotePrefix="0" xfId="8"/>
    <xf numFmtId="14" fontId="1" fillId="6" borderId="0" pivotButton="0" quotePrefix="0" xfId="8"/>
    <xf numFmtId="2" fontId="1" fillId="6" borderId="0" applyAlignment="1" pivotButton="0" quotePrefix="0" xfId="8">
      <alignment horizontal="center" vertical="center"/>
    </xf>
    <xf numFmtId="0" fontId="1" fillId="6" borderId="0" applyAlignment="1" pivotButton="0" quotePrefix="0" xfId="8">
      <alignment horizontal="center" vertical="center"/>
    </xf>
    <xf numFmtId="9" fontId="1" fillId="6" borderId="0" applyAlignment="1" pivotButton="0" quotePrefix="0" xfId="4">
      <alignment horizontal="center" vertical="center"/>
    </xf>
    <xf numFmtId="0" fontId="5" fillId="6" borderId="0" applyAlignment="1" pivotButton="0" quotePrefix="0" xfId="8">
      <alignment horizontal="center" vertical="center"/>
    </xf>
    <xf numFmtId="0" fontId="1" fillId="6" borderId="1" pivotButton="0" quotePrefix="0" xfId="8"/>
    <xf numFmtId="167" fontId="5" fillId="6" borderId="1" applyAlignment="1" pivotButton="0" quotePrefix="0" xfId="8">
      <alignment horizontal="right"/>
    </xf>
    <xf numFmtId="0" fontId="1" fillId="6" borderId="1" applyAlignment="1" pivotButton="0" quotePrefix="0" xfId="8">
      <alignment horizontal="center"/>
    </xf>
    <xf numFmtId="1" fontId="1" fillId="6" borderId="1" applyAlignment="1" pivotButton="0" quotePrefix="0" xfId="8">
      <alignment horizontal="right"/>
    </xf>
    <xf numFmtId="3" fontId="1" fillId="6" borderId="1" applyAlignment="1" pivotButton="0" quotePrefix="0" xfId="8">
      <alignment horizontal="right"/>
    </xf>
    <xf numFmtId="3" fontId="1" fillId="6" borderId="1" applyAlignment="1" pivotButton="0" quotePrefix="0" xfId="8">
      <alignment horizontal="center"/>
    </xf>
    <xf numFmtId="188" fontId="1" fillId="6" borderId="1" pivotButton="0" quotePrefix="0" xfId="8"/>
    <xf numFmtId="14" fontId="1" fillId="6" borderId="1" pivotButton="0" quotePrefix="0" xfId="8"/>
    <xf numFmtId="0" fontId="0" fillId="6" borderId="1" pivotButton="0" quotePrefix="0" xfId="8"/>
    <xf numFmtId="167" fontId="5" fillId="6" borderId="0" applyAlignment="1" pivotButton="0" quotePrefix="0" xfId="8">
      <alignment horizontal="right"/>
    </xf>
    <xf numFmtId="10" fontId="1" fillId="6" borderId="0" applyAlignment="1" pivotButton="0" quotePrefix="0" xfId="8">
      <alignment horizontal="center"/>
    </xf>
    <xf numFmtId="0" fontId="0" fillId="6" borderId="0" pivotButton="0" quotePrefix="0" xfId="8"/>
    <xf numFmtId="10" fontId="1" fillId="6" borderId="1" applyAlignment="1" pivotButton="0" quotePrefix="0" xfId="8">
      <alignment horizontal="center" vertical="center"/>
    </xf>
    <xf numFmtId="0" fontId="1" fillId="6" borderId="0" applyAlignment="1" pivotButton="0" quotePrefix="0" xfId="8">
      <alignment vertical="center"/>
    </xf>
    <xf numFmtId="167" fontId="1" fillId="6" borderId="0" applyAlignment="1" pivotButton="0" quotePrefix="0" xfId="8">
      <alignment horizontal="right" vertical="center"/>
    </xf>
    <xf numFmtId="10" fontId="1" fillId="6" borderId="0" applyAlignment="1" pivotButton="0" quotePrefix="0" xfId="8">
      <alignment horizontal="center" vertical="center"/>
    </xf>
    <xf numFmtId="0" fontId="1" fillId="6" borderId="9" applyAlignment="1" pivotButton="0" quotePrefix="0" xfId="8">
      <alignment horizontal="right" vertical="center"/>
    </xf>
    <xf numFmtId="1" fontId="44" fillId="6" borderId="9" applyAlignment="1" pivotButton="0" quotePrefix="0" xfId="8">
      <alignment horizontal="right" vertical="center" wrapText="1"/>
    </xf>
    <xf numFmtId="1" fontId="44" fillId="6" borderId="9" applyAlignment="1" pivotButton="0" quotePrefix="0" xfId="8">
      <alignment horizontal="center" vertical="center" wrapText="1"/>
    </xf>
    <xf numFmtId="1" fontId="44" fillId="14" borderId="9" applyAlignment="1" pivotButton="0" quotePrefix="0" xfId="8">
      <alignment horizontal="center" vertical="center" wrapText="1"/>
    </xf>
    <xf numFmtId="2" fontId="44" fillId="14" borderId="9" applyAlignment="1" pivotButton="0" quotePrefix="0" xfId="8">
      <alignment horizontal="center" vertical="center" wrapText="1"/>
    </xf>
    <xf numFmtId="3" fontId="44" fillId="14" borderId="9" applyAlignment="1" pivotButton="0" quotePrefix="0" xfId="8">
      <alignment horizontal="center" vertical="center" wrapText="1"/>
    </xf>
    <xf numFmtId="3" fontId="44" fillId="6" borderId="9" applyAlignment="1" pivotButton="0" quotePrefix="0" xfId="8">
      <alignment horizontal="right" vertical="center"/>
    </xf>
    <xf numFmtId="0" fontId="44" fillId="6" borderId="9" applyAlignment="1" pivotButton="0" quotePrefix="0" xfId="8">
      <alignment horizontal="left" vertical="center"/>
    </xf>
    <xf numFmtId="1" fontId="44" fillId="6" borderId="1" applyAlignment="1" pivotButton="0" quotePrefix="0" xfId="8">
      <alignment horizontal="center" vertical="center" wrapText="1"/>
    </xf>
    <xf numFmtId="1" fontId="44" fillId="14" borderId="1" applyAlignment="1" pivotButton="0" quotePrefix="0" xfId="8">
      <alignment horizontal="center" vertical="center" wrapText="1"/>
    </xf>
    <xf numFmtId="1" fontId="44" fillId="6" borderId="1" applyAlignment="1" pivotButton="0" quotePrefix="0" xfId="8">
      <alignment horizontal="center"/>
    </xf>
    <xf numFmtId="3" fontId="44" fillId="6" borderId="1" applyAlignment="1" pivotButton="0" quotePrefix="0" xfId="8">
      <alignment horizontal="center" wrapText="1"/>
    </xf>
    <xf numFmtId="3" fontId="44" fillId="6" borderId="1" applyAlignment="1" pivotButton="0" quotePrefix="0" xfId="8">
      <alignment horizontal="center"/>
    </xf>
    <xf numFmtId="188" fontId="44" fillId="6" borderId="1" applyAlignment="1" pivotButton="0" quotePrefix="0" xfId="8">
      <alignment horizontal="center" wrapText="1"/>
    </xf>
    <xf numFmtId="14" fontId="44" fillId="6" borderId="1" applyAlignment="1" pivotButton="0" quotePrefix="0" xfId="8">
      <alignment horizontal="center" wrapText="1"/>
    </xf>
    <xf numFmtId="0" fontId="44" fillId="6" borderId="1" applyAlignment="1" pivotButton="0" quotePrefix="0" xfId="8">
      <alignment horizontal="center" wrapText="1"/>
    </xf>
    <xf numFmtId="0" fontId="44" fillId="6" borderId="1" applyAlignment="1" pivotButton="0" quotePrefix="0" xfId="8">
      <alignment horizontal="center"/>
    </xf>
    <xf numFmtId="0" fontId="5" fillId="0" borderId="18" pivotButton="0" quotePrefix="0" xfId="0"/>
    <xf numFmtId="169" fontId="5" fillId="0" borderId="11" pivotButton="0" quotePrefix="0" xfId="0"/>
    <xf numFmtId="167" fontId="5" fillId="0" borderId="36" pivotButton="0" quotePrefix="0" xfId="0"/>
    <xf numFmtId="0" fontId="5" fillId="0" borderId="3" pivotButton="0" quotePrefix="0" xfId="0"/>
    <xf numFmtId="169" fontId="5" fillId="0" borderId="1" pivotButton="0" quotePrefix="0" xfId="0"/>
    <xf numFmtId="167" fontId="5" fillId="0" borderId="4" pivotButton="0" quotePrefix="0" xfId="0"/>
    <xf numFmtId="0" fontId="44" fillId="6" borderId="9" applyAlignment="1" pivotButton="0" quotePrefix="0" xfId="8">
      <alignment horizontal="center" vertical="center" wrapText="1"/>
    </xf>
    <xf numFmtId="189" fontId="5" fillId="6" borderId="0" applyAlignment="1" pivotButton="0" quotePrefix="0" xfId="8">
      <alignment wrapText="1"/>
    </xf>
    <xf numFmtId="189" fontId="5" fillId="6" borderId="1" applyAlignment="1" pivotButton="0" quotePrefix="0" xfId="8">
      <alignment wrapText="1"/>
    </xf>
    <xf numFmtId="188" fontId="1" fillId="6" borderId="0" applyAlignment="1" pivotButton="0" quotePrefix="0" xfId="8">
      <alignment wrapText="1"/>
    </xf>
    <xf numFmtId="2" fontId="29" fillId="6" borderId="0" applyAlignment="1" pivotButton="0" quotePrefix="0" xfId="0">
      <alignment horizontal="right"/>
    </xf>
    <xf numFmtId="9" fontId="29" fillId="6" borderId="0" applyAlignment="1" pivotButton="0" quotePrefix="0" xfId="4">
      <alignment horizontal="right"/>
    </xf>
    <xf numFmtId="0" fontId="18" fillId="6" borderId="0" applyAlignment="1" pivotButton="0" quotePrefix="0" xfId="0">
      <alignment horizontal="center" vertical="center"/>
    </xf>
    <xf numFmtId="0" fontId="18" fillId="6" borderId="0" applyAlignment="1" pivotButton="0" quotePrefix="0" xfId="0">
      <alignment horizontal="center"/>
    </xf>
    <xf numFmtId="0" fontId="15" fillId="3" borderId="11" applyAlignment="1" pivotButton="0" quotePrefix="0" xfId="0">
      <alignment horizontal="center" vertical="center"/>
    </xf>
    <xf numFmtId="0" fontId="15" fillId="3" borderId="11" applyAlignment="1" pivotButton="0" quotePrefix="0" xfId="0">
      <alignment horizontal="center"/>
    </xf>
    <xf numFmtId="10" fontId="15" fillId="3" borderId="1" applyAlignment="1" pivotButton="0" quotePrefix="0" xfId="0">
      <alignment horizontal="center" vertical="center"/>
    </xf>
    <xf numFmtId="10" fontId="15" fillId="3" borderId="1" applyAlignment="1" pivotButton="0" quotePrefix="0" xfId="0">
      <alignment horizontal="center"/>
    </xf>
    <xf numFmtId="3" fontId="48" fillId="6" borderId="2" applyAlignment="1" pivotButton="0" quotePrefix="0" xfId="0">
      <alignment horizontal="right" vertical="top" justifyLastLine="1"/>
    </xf>
    <xf numFmtId="1" fontId="48" fillId="6" borderId="14" applyAlignment="1" pivotButton="0" quotePrefix="0" xfId="0">
      <alignment horizontal="right" vertical="top" justifyLastLine="1"/>
    </xf>
    <xf numFmtId="1" fontId="49" fillId="6" borderId="14" applyAlignment="1" pivotButton="0" quotePrefix="0" xfId="3">
      <alignment horizontal="right" vertical="top" justifyLastLine="1"/>
    </xf>
    <xf numFmtId="170" fontId="50" fillId="8" borderId="38" applyAlignment="1" pivotButton="0" quotePrefix="0" xfId="3">
      <alignment horizontal="right"/>
    </xf>
    <xf numFmtId="0" fontId="47" fillId="6" borderId="0" applyAlignment="1" pivotButton="0" quotePrefix="0" xfId="0">
      <alignment wrapText="1"/>
    </xf>
    <xf numFmtId="0" fontId="0" fillId="0" borderId="0" applyAlignment="1" pivotButton="0" quotePrefix="0" xfId="0">
      <alignment wrapText="1"/>
    </xf>
    <xf numFmtId="3" fontId="48" fillId="6" borderId="0" applyAlignment="1" pivotButton="0" quotePrefix="0" xfId="0">
      <alignment horizontal="right" vertical="top" justifyLastLine="1"/>
    </xf>
    <xf numFmtId="0" fontId="47" fillId="6" borderId="15" applyAlignment="1" pivotButton="0" quotePrefix="0" xfId="0">
      <alignment horizontal="right" vertical="top" wrapText="1"/>
    </xf>
    <xf numFmtId="0" fontId="47" fillId="6" borderId="15" applyAlignment="1" pivotButton="0" quotePrefix="0" xfId="0">
      <alignment horizontal="right" vertical="top"/>
    </xf>
    <xf numFmtId="0" fontId="49" fillId="6" borderId="15" applyAlignment="1" pivotButton="0" quotePrefix="0" xfId="0">
      <alignment horizontal="right" vertical="top"/>
    </xf>
    <xf numFmtId="169" fontId="49" fillId="6" borderId="15" applyAlignment="1" pivotButton="0" quotePrefix="0" xfId="0">
      <alignment horizontal="right" vertical="top"/>
    </xf>
    <xf numFmtId="0" fontId="49" fillId="6" borderId="15" applyAlignment="1" pivotButton="0" quotePrefix="0" xfId="0">
      <alignment horizontal="right" vertical="top" wrapText="1"/>
    </xf>
    <xf numFmtId="37" fontId="47" fillId="6" borderId="15" applyAlignment="1" pivotButton="0" quotePrefix="0" xfId="2">
      <alignment horizontal="right" vertical="top"/>
    </xf>
    <xf numFmtId="3" fontId="47" fillId="6" borderId="15" applyAlignment="1" pivotButton="0" quotePrefix="0" xfId="2">
      <alignment horizontal="right" vertical="top"/>
    </xf>
    <xf numFmtId="1" fontId="41" fillId="6" borderId="15" applyAlignment="1" pivotButton="0" quotePrefix="0" xfId="3">
      <alignment horizontal="right" vertical="top"/>
    </xf>
    <xf numFmtId="165" fontId="41" fillId="6" borderId="15" applyAlignment="1" pivotButton="0" quotePrefix="0" xfId="3">
      <alignment horizontal="right" vertical="top" wrapText="1"/>
    </xf>
    <xf numFmtId="170" fontId="50" fillId="3" borderId="65" applyAlignment="1" pivotButton="0" quotePrefix="0" xfId="3">
      <alignment horizontal="right" vertical="top"/>
    </xf>
    <xf numFmtId="1" fontId="49" fillId="6" borderId="65" applyAlignment="1" pivotButton="0" quotePrefix="0" xfId="0">
      <alignment horizontal="right" vertical="top"/>
    </xf>
    <xf numFmtId="0" fontId="52" fillId="3" borderId="66" applyAlignment="1" pivotButton="0" quotePrefix="0" xfId="0">
      <alignment horizontal="right" vertical="top" wrapText="1"/>
    </xf>
    <xf numFmtId="9" fontId="47" fillId="3" borderId="66" applyAlignment="1" pivotButton="0" quotePrefix="0" xfId="4">
      <alignment horizontal="right" vertical="top"/>
    </xf>
    <xf numFmtId="0" fontId="52" fillId="3" borderId="65" pivotButton="0" quotePrefix="0" xfId="0"/>
    <xf numFmtId="0" fontId="52" fillId="8" borderId="66" pivotButton="0" quotePrefix="0" xfId="0"/>
    <xf numFmtId="9" fontId="50" fillId="6" borderId="0" pivotButton="0" quotePrefix="0" xfId="4"/>
    <xf numFmtId="1" fontId="50" fillId="6" borderId="0" pivotButton="0" quotePrefix="0" xfId="0"/>
    <xf numFmtId="1" fontId="49" fillId="6" borderId="15" applyAlignment="1" pivotButton="0" quotePrefix="0" xfId="0">
      <alignment horizontal="right" vertical="top"/>
    </xf>
    <xf numFmtId="3" fontId="48" fillId="6" borderId="15" applyAlignment="1" pivotButton="0" quotePrefix="0" xfId="2">
      <alignment horizontal="right" vertical="top"/>
    </xf>
    <xf numFmtId="2" fontId="49" fillId="6" borderId="15" applyAlignment="1" pivotButton="0" quotePrefix="0" xfId="4">
      <alignment horizontal="right" vertical="top"/>
    </xf>
    <xf numFmtId="169" fontId="48" fillId="6" borderId="15" applyAlignment="1" pivotButton="0" quotePrefix="0" xfId="3">
      <alignment horizontal="right" vertical="top" justifyLastLine="1"/>
    </xf>
    <xf numFmtId="0" fontId="48" fillId="6" borderId="15" applyAlignment="1" pivotButton="0" quotePrefix="0" xfId="0">
      <alignment horizontal="right" vertical="top" wrapText="1" justifyLastLine="1"/>
    </xf>
    <xf numFmtId="0" fontId="48" fillId="6" borderId="15" applyAlignment="1" pivotButton="0" quotePrefix="0" xfId="0">
      <alignment horizontal="right" vertical="top" justifyLastLine="1"/>
    </xf>
    <xf numFmtId="180" fontId="49" fillId="6" borderId="15" applyAlignment="1" pivotButton="0" quotePrefix="0" xfId="0">
      <alignment horizontal="right" vertical="top" justifyLastLine="1"/>
    </xf>
    <xf numFmtId="3" fontId="48" fillId="6" borderId="15" applyAlignment="1" pivotButton="0" quotePrefix="0" xfId="2">
      <alignment horizontal="right" vertical="top" justifyLastLine="1"/>
    </xf>
    <xf numFmtId="3" fontId="48" fillId="6" borderId="15" applyAlignment="1" pivotButton="0" quotePrefix="0" xfId="0">
      <alignment horizontal="right" vertical="top" justifyLastLine="1"/>
    </xf>
    <xf numFmtId="170" fontId="50" fillId="8" borderId="66" pivotButton="0" quotePrefix="0" xfId="3"/>
    <xf numFmtId="190" fontId="52" fillId="6" borderId="14" applyAlignment="1" pivotButton="0" quotePrefix="0" xfId="3">
      <alignment horizontal="right" vertical="top"/>
    </xf>
    <xf numFmtId="190" fontId="52" fillId="3" borderId="38" applyAlignment="1" pivotButton="0" quotePrefix="0" xfId="0">
      <alignment horizontal="right" vertical="top" wrapText="1"/>
    </xf>
    <xf numFmtId="190" fontId="50" fillId="3" borderId="37" applyAlignment="1" pivotButton="0" quotePrefix="0" xfId="3">
      <alignment horizontal="right"/>
    </xf>
    <xf numFmtId="190" fontId="50" fillId="3" borderId="37" pivotButton="0" quotePrefix="0" xfId="3"/>
    <xf numFmtId="190" fontId="41" fillId="6" borderId="14" applyAlignment="1" pivotButton="0" quotePrefix="0" xfId="4">
      <alignment horizontal="right" vertical="top"/>
    </xf>
    <xf numFmtId="190" fontId="49" fillId="6" borderId="14" applyAlignment="1" pivotButton="0" quotePrefix="0" xfId="4">
      <alignment horizontal="right" vertical="top"/>
    </xf>
    <xf numFmtId="167" fontId="17" fillId="0" borderId="0" applyAlignment="1" pivotButton="0" quotePrefix="0" xfId="3">
      <alignment horizontal="right"/>
    </xf>
    <xf numFmtId="167" fontId="16" fillId="3" borderId="11" applyAlignment="1" pivotButton="0" quotePrefix="0" xfId="0">
      <alignment horizontal="right" vertical="top"/>
    </xf>
    <xf numFmtId="190" fontId="48" fillId="6" borderId="37" applyAlignment="1" pivotButton="0" quotePrefix="0" xfId="4">
      <alignment horizontal="right" vertical="top"/>
    </xf>
    <xf numFmtId="0" fontId="1" fillId="6" borderId="0" pivotButton="0" quotePrefix="0" xfId="9"/>
    <xf numFmtId="14" fontId="1" fillId="6" borderId="0" pivotButton="0" quotePrefix="0" xfId="9"/>
    <xf numFmtId="188" fontId="1" fillId="6" borderId="0" pivotButton="0" quotePrefix="0" xfId="9"/>
    <xf numFmtId="167" fontId="1" fillId="6" borderId="0" pivotButton="0" quotePrefix="0" xfId="9"/>
    <xf numFmtId="3" fontId="1" fillId="6" borderId="0" pivotButton="0" quotePrefix="0" xfId="9"/>
    <xf numFmtId="1" fontId="49" fillId="6" borderId="15" applyAlignment="1" pivotButton="0" quotePrefix="0" xfId="0">
      <alignment horizontal="right" vertical="top" wrapText="1"/>
    </xf>
    <xf numFmtId="3" fontId="41" fillId="6" borderId="2" applyAlignment="1" pivotButton="0" quotePrefix="0" xfId="0">
      <alignment horizontal="center" vertical="center" wrapText="1"/>
    </xf>
    <xf numFmtId="0" fontId="41" fillId="6" borderId="14" applyAlignment="1" pivotButton="0" quotePrefix="0" xfId="0">
      <alignment vertical="center" wrapText="1"/>
    </xf>
    <xf numFmtId="3" fontId="41" fillId="0" borderId="2" applyAlignment="1" pivotButton="0" quotePrefix="0" xfId="0">
      <alignment horizontal="center" vertical="center" wrapText="1"/>
    </xf>
    <xf numFmtId="0" fontId="42" fillId="4" borderId="0" applyAlignment="1" pivotButton="0" quotePrefix="0" xfId="0">
      <alignment horizontal="center" vertical="center" wrapText="1"/>
    </xf>
    <xf numFmtId="0" fontId="42" fillId="4" borderId="11" applyAlignment="1" pivotButton="0" quotePrefix="0" xfId="0">
      <alignment horizontal="center" vertical="center" wrapText="1"/>
    </xf>
    <xf numFmtId="0" fontId="5" fillId="6" borderId="9" applyAlignment="1" pivotButton="0" quotePrefix="0" xfId="8">
      <alignment horizontal="center" vertical="center"/>
    </xf>
    <xf numFmtId="0" fontId="42" fillId="15" borderId="0" applyAlignment="1" pivotButton="0" quotePrefix="0" xfId="0">
      <alignment horizontal="center" vertical="center" wrapText="1"/>
    </xf>
    <xf numFmtId="0" fontId="42" fillId="15" borderId="11" applyAlignment="1" pivotButton="0" quotePrefix="0" xfId="0">
      <alignment horizontal="center" vertical="center" wrapText="1"/>
    </xf>
    <xf numFmtId="0" fontId="41" fillId="6" borderId="2" applyAlignment="1" pivotButton="0" quotePrefix="0" xfId="0">
      <alignment vertical="center" wrapText="1"/>
    </xf>
    <xf numFmtId="0" fontId="42" fillId="4" borderId="14" applyAlignment="1" pivotButton="0" quotePrefix="0" xfId="0">
      <alignment horizontal="center" vertical="center" wrapText="1"/>
    </xf>
    <xf numFmtId="0" fontId="42" fillId="4" borderId="36" applyAlignment="1" pivotButton="0" quotePrefix="0" xfId="0">
      <alignment horizontal="center" vertical="center" wrapText="1"/>
    </xf>
    <xf numFmtId="9" fontId="5" fillId="0" borderId="14" applyAlignment="1" pivotButton="0" quotePrefix="0" xfId="4">
      <alignment horizontal="center" vertical="center"/>
    </xf>
    <xf numFmtId="0" fontId="45" fillId="15" borderId="0" applyAlignment="1" pivotButton="0" quotePrefix="0" xfId="0">
      <alignment horizontal="center" vertical="center"/>
    </xf>
    <xf numFmtId="0" fontId="21" fillId="15" borderId="6" pivotButton="0" quotePrefix="0" xfId="0"/>
    <xf numFmtId="0" fontId="47" fillId="15" borderId="65" applyAlignment="1" pivotButton="0" quotePrefix="0" xfId="0">
      <alignment horizontal="right" vertical="top"/>
    </xf>
    <xf numFmtId="0" fontId="48" fillId="15" borderId="37" applyAlignment="1" pivotButton="0" quotePrefix="0" xfId="0">
      <alignment horizontal="right" vertical="top"/>
    </xf>
    <xf numFmtId="186" fontId="48" fillId="15" borderId="37" applyAlignment="1" pivotButton="0" quotePrefix="0" xfId="0">
      <alignment horizontal="right" vertical="top"/>
    </xf>
    <xf numFmtId="0" fontId="50" fillId="6" borderId="0" applyAlignment="1" pivotButton="0" quotePrefix="0" xfId="0">
      <alignment vertical="center"/>
    </xf>
    <xf numFmtId="0" fontId="34" fillId="6" borderId="0" applyAlignment="1" pivotButton="0" quotePrefix="0" xfId="0">
      <alignment vertical="top"/>
    </xf>
    <xf numFmtId="0" fontId="34" fillId="6" borderId="0" applyAlignment="1" pivotButton="0" quotePrefix="0" xfId="0">
      <alignment vertical="center"/>
    </xf>
    <xf numFmtId="0" fontId="34" fillId="6" borderId="0" applyAlignment="1" pivotButton="0" quotePrefix="0" xfId="0">
      <alignment horizontal="left" vertical="top"/>
    </xf>
    <xf numFmtId="0" fontId="34" fillId="6" borderId="1" applyAlignment="1" pivotButton="0" quotePrefix="0" xfId="0">
      <alignment horizontal="left" vertical="top"/>
    </xf>
    <xf numFmtId="0" fontId="32" fillId="6" borderId="0" applyAlignment="1" pivotButton="0" quotePrefix="0" xfId="0">
      <alignment vertical="top"/>
    </xf>
    <xf numFmtId="0" fontId="34" fillId="6" borderId="0" applyAlignment="1" pivotButton="0" quotePrefix="0" xfId="0">
      <alignment horizontal="left" vertical="top" indent="1"/>
    </xf>
    <xf numFmtId="0" fontId="32" fillId="6" borderId="0" applyAlignment="1" pivotButton="0" quotePrefix="0" xfId="0">
      <alignment horizontal="justify" vertical="center" wrapText="1"/>
    </xf>
    <xf numFmtId="0" fontId="32" fillId="6" borderId="0" applyAlignment="1" pivotButton="0" quotePrefix="0" xfId="0">
      <alignment horizontal="justify" vertical="center"/>
    </xf>
    <xf numFmtId="0" fontId="32" fillId="0" borderId="0" applyAlignment="1" pivotButton="0" quotePrefix="0" xfId="0">
      <alignment wrapText="1"/>
    </xf>
    <xf numFmtId="0" fontId="32" fillId="0" borderId="68" pivotButton="0" quotePrefix="0" xfId="0"/>
    <xf numFmtId="0" fontId="32" fillId="0" borderId="68" applyAlignment="1" pivotButton="0" quotePrefix="0" xfId="0">
      <alignment wrapText="1"/>
    </xf>
    <xf numFmtId="0" fontId="34" fillId="0" borderId="19" applyAlignment="1" pivotButton="0" quotePrefix="0" xfId="0">
      <alignment horizontal="left" vertical="top" indent="1"/>
    </xf>
    <xf numFmtId="0" fontId="34" fillId="0" borderId="15" applyAlignment="1" pivotButton="0" quotePrefix="0" xfId="0">
      <alignment horizontal="left" vertical="top" indent="1"/>
    </xf>
    <xf numFmtId="0" fontId="34" fillId="0" borderId="22" applyAlignment="1" pivotButton="0" quotePrefix="0" xfId="0">
      <alignment horizontal="left" vertical="top" indent="1"/>
    </xf>
    <xf numFmtId="0" fontId="21" fillId="16" borderId="8" applyAlignment="1" pivotButton="0" quotePrefix="0" xfId="0">
      <alignment vertical="top"/>
    </xf>
    <xf numFmtId="0" fontId="63" fillId="16" borderId="17" applyAlignment="1" pivotButton="0" quotePrefix="0" xfId="0">
      <alignment horizontal="left"/>
    </xf>
    <xf numFmtId="0" fontId="0" fillId="6" borderId="0" pivotButton="0" quotePrefix="0" xfId="0"/>
    <xf numFmtId="0" fontId="34" fillId="6" borderId="0" applyAlignment="1" pivotButton="0" quotePrefix="0" xfId="0">
      <alignment horizontal="left"/>
    </xf>
    <xf numFmtId="0" fontId="32" fillId="6" borderId="0" applyAlignment="1" pivotButton="0" quotePrefix="0" xfId="0">
      <alignment horizontal="justify" vertical="top"/>
    </xf>
    <xf numFmtId="0" fontId="34" fillId="6" borderId="0" applyAlignment="1" pivotButton="0" quotePrefix="0" xfId="0">
      <alignment horizontal="left" vertical="center"/>
    </xf>
    <xf numFmtId="0" fontId="65" fillId="6" borderId="0" applyAlignment="1" pivotButton="0" quotePrefix="0" xfId="0">
      <alignment horizontal="justify" vertical="center" wrapText="1"/>
    </xf>
    <xf numFmtId="0" fontId="65" fillId="6" borderId="0" applyAlignment="1" pivotButton="0" quotePrefix="0" xfId="0">
      <alignment horizontal="justify" vertical="center"/>
    </xf>
    <xf numFmtId="0" fontId="21" fillId="17" borderId="0" applyAlignment="1" pivotButton="0" quotePrefix="0" xfId="0">
      <alignment horizontal="center" wrapText="1"/>
    </xf>
    <xf numFmtId="0" fontId="32" fillId="6" borderId="0" applyAlignment="1" pivotButton="0" quotePrefix="0" xfId="0">
      <alignment horizontal="left" vertical="top" wrapText="1"/>
    </xf>
    <xf numFmtId="171" fontId="13" fillId="13" borderId="1" applyAlignment="1" pivotButton="0" quotePrefix="0" xfId="4">
      <alignment horizontal="center"/>
    </xf>
    <xf numFmtId="0" fontId="13" fillId="18" borderId="0" applyAlignment="1" pivotButton="0" quotePrefix="0" xfId="0">
      <alignment horizontal="left"/>
    </xf>
    <xf numFmtId="187" fontId="13" fillId="18" borderId="0" applyAlignment="1" pivotButton="0" quotePrefix="0" xfId="0">
      <alignment horizontal="center"/>
    </xf>
    <xf numFmtId="171" fontId="13" fillId="18" borderId="0" applyAlignment="1" pivotButton="0" quotePrefix="0" xfId="4">
      <alignment horizontal="center"/>
    </xf>
    <xf numFmtId="0" fontId="32" fillId="6" borderId="0" applyAlignment="1" pivotButton="0" quotePrefix="0" xfId="0">
      <alignment horizontal="left" vertical="top"/>
    </xf>
    <xf numFmtId="191" fontId="32" fillId="6" borderId="0" applyAlignment="1" pivotButton="0" quotePrefix="0" xfId="0">
      <alignment horizontal="left" vertical="top" wrapText="1"/>
    </xf>
    <xf numFmtId="192" fontId="32" fillId="6" borderId="0" applyAlignment="1" pivotButton="0" quotePrefix="0" xfId="0">
      <alignment horizontal="left" vertical="top" wrapText="1"/>
    </xf>
    <xf numFmtId="191" fontId="34" fillId="6" borderId="11" applyAlignment="1" pivotButton="0" quotePrefix="0" xfId="0">
      <alignment horizontal="left" vertical="top" wrapText="1"/>
    </xf>
    <xf numFmtId="192" fontId="34" fillId="6" borderId="11" applyAlignment="1" pivotButton="0" quotePrefix="0" xfId="0">
      <alignment horizontal="left" vertical="top" wrapText="1"/>
    </xf>
    <xf numFmtId="0" fontId="47" fillId="6" borderId="0" applyAlignment="1" pivotButton="0" quotePrefix="0" xfId="0">
      <alignment vertical="center"/>
    </xf>
    <xf numFmtId="0" fontId="47" fillId="6" borderId="2" applyAlignment="1" pivotButton="0" quotePrefix="0" xfId="0">
      <alignment horizontal="right" vertical="center"/>
    </xf>
    <xf numFmtId="0" fontId="47" fillId="6" borderId="2" applyAlignment="1" pivotButton="0" quotePrefix="0" xfId="0">
      <alignment horizontal="right" vertical="center" wrapText="1"/>
    </xf>
    <xf numFmtId="3" fontId="47" fillId="6" borderId="2" applyAlignment="1" pivotButton="0" quotePrefix="0" xfId="2">
      <alignment horizontal="right" vertical="center"/>
    </xf>
    <xf numFmtId="0" fontId="47" fillId="6" borderId="6" applyAlignment="1" pivotButton="0" quotePrefix="0" xfId="0">
      <alignment vertical="center"/>
    </xf>
    <xf numFmtId="0" fontId="48" fillId="6" borderId="34" applyAlignment="1" pivotButton="0" quotePrefix="0" xfId="0">
      <alignment horizontal="right" vertical="center"/>
    </xf>
    <xf numFmtId="186" fontId="51" fillId="6" borderId="6" applyAlignment="1" pivotButton="0" quotePrefix="0" xfId="4">
      <alignment horizontal="right" vertical="center"/>
    </xf>
    <xf numFmtId="0" fontId="47" fillId="6" borderId="0" applyAlignment="1" pivotButton="0" quotePrefix="0" xfId="0">
      <alignment horizontal="left" vertical="center"/>
    </xf>
    <xf numFmtId="0" fontId="48" fillId="6" borderId="2" applyAlignment="1" pivotButton="0" quotePrefix="0" xfId="0">
      <alignment horizontal="right" vertical="center"/>
    </xf>
    <xf numFmtId="170" fontId="52" fillId="6" borderId="0" applyAlignment="1" pivotButton="0" quotePrefix="0" xfId="3">
      <alignment horizontal="right" vertical="center"/>
    </xf>
    <xf numFmtId="170" fontId="52" fillId="6" borderId="14" applyAlignment="1" pivotButton="0" quotePrefix="0" xfId="3">
      <alignment horizontal="right" vertical="center"/>
    </xf>
    <xf numFmtId="186" fontId="44" fillId="6" borderId="0" applyAlignment="1" pivotButton="0" quotePrefix="0" xfId="4">
      <alignment horizontal="right" vertical="center"/>
    </xf>
    <xf numFmtId="170" fontId="44" fillId="6" borderId="0" applyAlignment="1" pivotButton="0" quotePrefix="0" xfId="3">
      <alignment horizontal="right" vertical="center"/>
    </xf>
    <xf numFmtId="180" fontId="48" fillId="6" borderId="2" applyAlignment="1" pivotButton="0" quotePrefix="0" xfId="0">
      <alignment horizontal="right" vertical="center"/>
    </xf>
    <xf numFmtId="1" fontId="56" fillId="6" borderId="2" applyAlignment="1" pivotButton="0" quotePrefix="0" xfId="0">
      <alignment horizontal="right" vertical="center" wrapText="1"/>
    </xf>
    <xf numFmtId="186" fontId="43" fillId="6" borderId="0" applyAlignment="1" pivotButton="0" quotePrefix="0" xfId="4">
      <alignment horizontal="right" vertical="center"/>
    </xf>
    <xf numFmtId="9" fontId="56" fillId="6" borderId="2" applyAlignment="1" pivotButton="0" quotePrefix="0" xfId="4">
      <alignment horizontal="right" vertical="center"/>
    </xf>
    <xf numFmtId="9" fontId="57" fillId="6" borderId="2" applyAlignment="1" pivotButton="0" quotePrefix="0" xfId="0">
      <alignment horizontal="right" vertical="center" wrapText="1"/>
    </xf>
    <xf numFmtId="186" fontId="53" fillId="6" borderId="0" applyAlignment="1" pivotButton="0" quotePrefix="0" xfId="4">
      <alignment horizontal="right" vertical="center"/>
    </xf>
    <xf numFmtId="0" fontId="56" fillId="6" borderId="2" applyAlignment="1" pivotButton="0" quotePrefix="0" xfId="4">
      <alignment horizontal="right" vertical="center" wrapText="1"/>
    </xf>
    <xf numFmtId="0" fontId="56" fillId="6" borderId="2" applyAlignment="1" pivotButton="0" quotePrefix="0" xfId="4">
      <alignment horizontal="right" vertical="center"/>
    </xf>
    <xf numFmtId="186" fontId="50" fillId="3" borderId="24" applyAlignment="1" pivotButton="0" quotePrefix="0" xfId="3">
      <alignment vertical="center"/>
    </xf>
    <xf numFmtId="0" fontId="21" fillId="15" borderId="6" applyAlignment="1" pivotButton="0" quotePrefix="0" xfId="0">
      <alignment vertical="center"/>
    </xf>
    <xf numFmtId="0" fontId="47" fillId="15" borderId="34" applyAlignment="1" pivotButton="0" quotePrefix="0" xfId="0">
      <alignment horizontal="right" vertical="center"/>
    </xf>
    <xf numFmtId="0" fontId="48" fillId="15" borderId="34" applyAlignment="1" pivotButton="0" quotePrefix="0" xfId="0">
      <alignment horizontal="right" vertical="center"/>
    </xf>
    <xf numFmtId="0" fontId="48" fillId="15" borderId="6" applyAlignment="1" pivotButton="0" quotePrefix="0" xfId="0">
      <alignment horizontal="right" vertical="center"/>
    </xf>
    <xf numFmtId="186" fontId="53" fillId="6" borderId="14" applyAlignment="1" pivotButton="0" quotePrefix="0" xfId="4">
      <alignment horizontal="right" vertical="center"/>
    </xf>
    <xf numFmtId="181" fontId="0" fillId="0" borderId="0" pivotButton="0" quotePrefix="0" xfId="0"/>
    <xf numFmtId="0" fontId="7" fillId="6" borderId="0" applyAlignment="1" pivotButton="0" quotePrefix="0" xfId="0">
      <alignment horizontal="left"/>
    </xf>
    <xf numFmtId="165" fontId="7" fillId="6" borderId="9" applyAlignment="1" pivotButton="0" quotePrefix="0" xfId="0">
      <alignment vertical="center"/>
    </xf>
    <xf numFmtId="0" fontId="32" fillId="6" borderId="0" applyAlignment="1" pivotButton="0" quotePrefix="0" xfId="11">
      <alignment horizontal="justify" vertical="top" wrapText="1"/>
    </xf>
    <xf numFmtId="0" fontId="0" fillId="6" borderId="0" applyAlignment="1" pivotButton="0" quotePrefix="0" xfId="0">
      <alignment horizontal="justify" vertical="top" wrapText="1"/>
    </xf>
    <xf numFmtId="191" fontId="32" fillId="6" borderId="0" applyAlignment="1" pivotButton="0" quotePrefix="0" xfId="11">
      <alignment horizontal="justify" vertical="top" wrapText="1"/>
    </xf>
    <xf numFmtId="170" fontId="17" fillId="6" borderId="0" applyAlignment="1" pivotButton="0" quotePrefix="0" xfId="3">
      <alignment vertical="center"/>
    </xf>
    <xf numFmtId="0" fontId="32" fillId="16" borderId="9" pivotButton="0" quotePrefix="0" xfId="0"/>
    <xf numFmtId="4" fontId="32" fillId="6" borderId="0" applyAlignment="1" pivotButton="0" quotePrefix="0" xfId="11">
      <alignment horizontal="justify" vertical="top" wrapText="1"/>
    </xf>
    <xf numFmtId="0" fontId="45" fillId="15" borderId="0" applyAlignment="1" pivotButton="0" quotePrefix="0" xfId="0">
      <alignment horizontal="center" vertical="center" justifyLastLine="1"/>
    </xf>
    <xf numFmtId="180" fontId="49" fillId="6" borderId="0" applyAlignment="1" pivotButton="0" quotePrefix="0" xfId="0">
      <alignment horizontal="right" vertical="top" justifyLastLine="1"/>
    </xf>
    <xf numFmtId="0" fontId="48" fillId="6" borderId="0" applyAlignment="1" pivotButton="0" quotePrefix="0" xfId="0">
      <alignment horizontal="right" vertical="top" wrapText="1" justifyLastLine="1"/>
    </xf>
    <xf numFmtId="0" fontId="48" fillId="6" borderId="0" applyAlignment="1" pivotButton="0" quotePrefix="0" xfId="0">
      <alignment horizontal="right" vertical="top" justifyLastLine="1"/>
    </xf>
    <xf numFmtId="3" fontId="48" fillId="6" borderId="0" applyAlignment="1" pivotButton="0" quotePrefix="0" xfId="2">
      <alignment horizontal="right" vertical="top" justifyLastLine="1"/>
    </xf>
    <xf numFmtId="3" fontId="48" fillId="6" borderId="2" applyAlignment="1" pivotButton="0" quotePrefix="0" xfId="2">
      <alignment horizontal="right" vertical="top" justifyLastLine="1"/>
    </xf>
    <xf numFmtId="169" fontId="49" fillId="6" borderId="41" applyAlignment="1" pivotButton="0" quotePrefix="0" xfId="3">
      <alignment horizontal="right" vertical="top" wrapText="1" justifyLastLine="1"/>
    </xf>
    <xf numFmtId="0" fontId="48" fillId="6" borderId="2" applyAlignment="1" pivotButton="0" quotePrefix="0" xfId="0">
      <alignment horizontal="right" vertical="top" wrapText="1" justifyLastLine="1"/>
    </xf>
    <xf numFmtId="0" fontId="48" fillId="6" borderId="2" applyAlignment="1" pivotButton="0" quotePrefix="0" xfId="0">
      <alignment horizontal="right" vertical="top" justifyLastLine="1"/>
    </xf>
    <xf numFmtId="180" fontId="49" fillId="6" borderId="2" applyAlignment="1" pivotButton="0" quotePrefix="0" xfId="0">
      <alignment horizontal="right" vertical="top" justifyLastLine="1"/>
    </xf>
    <xf numFmtId="0" fontId="34" fillId="6" borderId="1" applyAlignment="1" pivotButton="0" quotePrefix="0" xfId="0">
      <alignment horizontal="left" vertical="center"/>
    </xf>
    <xf numFmtId="0" fontId="34" fillId="0" borderId="10" applyAlignment="1" pivotButton="0" quotePrefix="0" xfId="0">
      <alignment horizontal="left" vertical="center"/>
    </xf>
    <xf numFmtId="0" fontId="58" fillId="19" borderId="0" applyAlignment="1" pivotButton="0" quotePrefix="0" xfId="0">
      <alignment horizontal="center" vertical="top" wrapText="1"/>
    </xf>
    <xf numFmtId="0" fontId="44" fillId="10" borderId="0" pivotButton="0" quotePrefix="0" xfId="0"/>
    <xf numFmtId="179" fontId="53" fillId="5" borderId="0" applyAlignment="1" pivotButton="0" quotePrefix="0" xfId="0">
      <alignment horizontal="center"/>
    </xf>
    <xf numFmtId="193" fontId="53" fillId="5" borderId="0" applyAlignment="1" pivotButton="0" quotePrefix="0" xfId="0">
      <alignment horizontal="center"/>
    </xf>
    <xf numFmtId="164" fontId="48" fillId="5" borderId="0" applyAlignment="1" pivotButton="0" quotePrefix="0" xfId="0">
      <alignment horizontal="center"/>
    </xf>
    <xf numFmtId="179" fontId="53" fillId="5" borderId="1" applyAlignment="1" pivotButton="0" quotePrefix="0" xfId="0">
      <alignment horizontal="center"/>
    </xf>
    <xf numFmtId="193" fontId="53" fillId="5" borderId="1" applyAlignment="1" pivotButton="0" quotePrefix="0" xfId="0">
      <alignment horizontal="center"/>
    </xf>
    <xf numFmtId="164" fontId="48" fillId="5" borderId="1" applyAlignment="1" pivotButton="0" quotePrefix="0" xfId="0">
      <alignment horizontal="center"/>
    </xf>
    <xf numFmtId="0" fontId="44" fillId="10" borderId="0" applyAlignment="1" pivotButton="0" quotePrefix="0" xfId="0">
      <alignment vertical="top"/>
    </xf>
    <xf numFmtId="0" fontId="44" fillId="10" borderId="1" applyAlignment="1" pivotButton="0" quotePrefix="0" xfId="0">
      <alignment vertical="top"/>
    </xf>
    <xf numFmtId="194" fontId="32" fillId="0" borderId="1" pivotButton="0" quotePrefix="0" xfId="0"/>
    <xf numFmtId="0" fontId="50" fillId="0" borderId="11" pivotButton="0" quotePrefix="0" xfId="0"/>
    <xf numFmtId="165" fontId="47" fillId="0" borderId="0" pivotButton="0" quotePrefix="0" xfId="0"/>
    <xf numFmtId="0" fontId="47" fillId="0" borderId="1" pivotButton="0" quotePrefix="0" xfId="0"/>
    <xf numFmtId="165" fontId="47" fillId="0" borderId="1" pivotButton="0" quotePrefix="0" xfId="0"/>
    <xf numFmtId="0" fontId="50" fillId="0" borderId="9" pivotButton="0" quotePrefix="0" xfId="0"/>
    <xf numFmtId="165" fontId="50" fillId="0" borderId="11" pivotButton="0" quotePrefix="0" xfId="0"/>
    <xf numFmtId="174" fontId="5" fillId="3" borderId="11" applyAlignment="1" applyProtection="1" pivotButton="0" quotePrefix="0" xfId="0">
      <alignment horizontal="left"/>
      <protection locked="0" hidden="0"/>
    </xf>
    <xf numFmtId="165" fontId="34" fillId="3" borderId="11" pivotButton="0" quotePrefix="0" xfId="0"/>
    <xf numFmtId="0" fontId="34" fillId="3" borderId="1" applyAlignment="1" pivotButton="0" quotePrefix="0" xfId="0">
      <alignment horizontal="left"/>
    </xf>
    <xf numFmtId="170" fontId="34" fillId="3" borderId="1" pivotButton="0" quotePrefix="0" xfId="0"/>
    <xf numFmtId="10" fontId="0" fillId="0" borderId="0" pivotButton="0" quotePrefix="0" xfId="0"/>
    <xf numFmtId="0" fontId="58" fillId="19" borderId="0" applyAlignment="1" pivotButton="0" quotePrefix="0" xfId="0">
      <alignment horizontal="left" vertical="top" wrapText="1"/>
    </xf>
    <xf numFmtId="0" fontId="53" fillId="10" borderId="1" applyAlignment="1" pivotButton="0" quotePrefix="0" xfId="0">
      <alignment horizontal="center"/>
    </xf>
    <xf numFmtId="164" fontId="53" fillId="10" borderId="1" applyAlignment="1" pivotButton="0" quotePrefix="0" xfId="0">
      <alignment horizontal="center"/>
    </xf>
    <xf numFmtId="38" fontId="32" fillId="0" borderId="0" pivotButton="0" quotePrefix="0" xfId="2"/>
    <xf numFmtId="0" fontId="41" fillId="0" borderId="0" pivotButton="0" quotePrefix="0" xfId="0"/>
    <xf numFmtId="193" fontId="32" fillId="0" borderId="0" pivotButton="0" quotePrefix="0" xfId="3"/>
    <xf numFmtId="0" fontId="40" fillId="0" borderId="0" applyAlignment="1" pivotButton="0" quotePrefix="0" xfId="0">
      <alignment horizontal="center" vertical="center" wrapText="1"/>
    </xf>
    <xf numFmtId="0" fontId="40" fillId="15" borderId="0" applyAlignment="1" pivotButton="0" quotePrefix="0" xfId="0">
      <alignment vertical="center" wrapText="1"/>
    </xf>
    <xf numFmtId="0" fontId="40" fillId="0" borderId="0" applyAlignment="1" pivotButton="0" quotePrefix="0" xfId="0">
      <alignment vertical="center" wrapText="1"/>
    </xf>
    <xf numFmtId="0" fontId="67" fillId="6" borderId="9" applyAlignment="1" pivotButton="0" quotePrefix="0" xfId="0">
      <alignment vertical="center" wrapText="1"/>
    </xf>
    <xf numFmtId="3" fontId="68" fillId="6" borderId="9" applyAlignment="1" pivotButton="0" quotePrefix="0" xfId="0">
      <alignment horizontal="center" vertical="center" wrapText="1"/>
    </xf>
    <xf numFmtId="193" fontId="68" fillId="0" borderId="0" applyAlignment="1" pivotButton="0" quotePrefix="0" xfId="0">
      <alignment horizontal="center" vertical="center" wrapText="1"/>
    </xf>
    <xf numFmtId="0" fontId="68" fillId="0" borderId="0" applyAlignment="1" pivotButton="0" quotePrefix="0" xfId="0">
      <alignment vertical="center" wrapText="1"/>
    </xf>
    <xf numFmtId="3" fontId="68" fillId="0" borderId="0" applyAlignment="1" pivotButton="0" quotePrefix="0" xfId="0">
      <alignment horizontal="center" vertical="center" wrapText="1"/>
    </xf>
    <xf numFmtId="164" fontId="68" fillId="0" borderId="0" applyAlignment="1" pivotButton="0" quotePrefix="0" xfId="0">
      <alignment horizontal="center" vertical="center" wrapText="1"/>
    </xf>
    <xf numFmtId="0" fontId="32" fillId="6" borderId="48" applyAlignment="1" pivotButton="0" quotePrefix="0" xfId="0">
      <alignment horizontal="left" wrapText="1"/>
    </xf>
    <xf numFmtId="193" fontId="32" fillId="0" borderId="0" applyAlignment="1" pivotButton="0" quotePrefix="0" xfId="3">
      <alignment horizontal="left"/>
    </xf>
    <xf numFmtId="0" fontId="32" fillId="0" borderId="0" applyAlignment="1" pivotButton="0" quotePrefix="0" xfId="0">
      <alignment horizontal="left"/>
    </xf>
    <xf numFmtId="10" fontId="32" fillId="6" borderId="47" applyAlignment="1" pivotButton="0" quotePrefix="0" xfId="4">
      <alignment horizontal="right" vertical="top"/>
    </xf>
    <xf numFmtId="10" fontId="32" fillId="6" borderId="48" applyAlignment="1" pivotButton="0" quotePrefix="0" xfId="4">
      <alignment horizontal="right" vertical="top"/>
    </xf>
    <xf numFmtId="0" fontId="32" fillId="6" borderId="5" applyAlignment="1" pivotButton="0" quotePrefix="0" xfId="0">
      <alignment horizontal="left" wrapText="1"/>
    </xf>
    <xf numFmtId="10" fontId="32" fillId="6" borderId="5" applyAlignment="1" pivotButton="0" quotePrefix="0" xfId="4">
      <alignment horizontal="right" vertical="top"/>
    </xf>
    <xf numFmtId="0" fontId="39" fillId="15" borderId="1" pivotButton="0" quotePrefix="0" xfId="0"/>
    <xf numFmtId="0" fontId="39" fillId="15" borderId="1" applyAlignment="1" pivotButton="0" quotePrefix="0" xfId="0">
      <alignment horizontal="center"/>
    </xf>
    <xf numFmtId="167" fontId="32" fillId="0" borderId="0" applyAlignment="1" pivotButton="0" quotePrefix="0" xfId="3">
      <alignment horizontal="center"/>
    </xf>
    <xf numFmtId="193" fontId="48" fillId="0" borderId="0" applyAlignment="1" pivotButton="0" quotePrefix="0" xfId="3">
      <alignment horizontal="right"/>
    </xf>
    <xf numFmtId="0" fontId="32" fillId="0" borderId="0" applyAlignment="1" pivotButton="0" quotePrefix="0" xfId="0">
      <alignment horizontal="right"/>
    </xf>
    <xf numFmtId="49" fontId="32" fillId="0" borderId="0" pivotButton="0" quotePrefix="0" xfId="0"/>
    <xf numFmtId="0" fontId="32" fillId="3" borderId="9" pivotButton="0" quotePrefix="0" xfId="0"/>
    <xf numFmtId="167" fontId="32" fillId="3" borderId="9" applyAlignment="1" pivotButton="0" quotePrefix="0" xfId="0">
      <alignment horizontal="center"/>
    </xf>
    <xf numFmtId="164" fontId="32" fillId="0" borderId="0" pivotButton="0" quotePrefix="0" xfId="0"/>
    <xf numFmtId="10" fontId="32" fillId="0" borderId="0" applyAlignment="1" pivotButton="0" quotePrefix="0" xfId="4">
      <alignment horizontal="center"/>
    </xf>
    <xf numFmtId="167" fontId="32" fillId="0" borderId="0" applyAlignment="1" pivotButton="0" quotePrefix="0" xfId="0">
      <alignment horizontal="center"/>
    </xf>
    <xf numFmtId="0" fontId="34" fillId="3" borderId="9" pivotButton="0" quotePrefix="0" xfId="0"/>
    <xf numFmtId="10" fontId="34" fillId="3" borderId="9" pivotButton="0" quotePrefix="0" xfId="4"/>
    <xf numFmtId="0" fontId="40" fillId="15" borderId="0" applyAlignment="1" pivotButton="0" quotePrefix="0" xfId="0">
      <alignment horizontal="right" vertical="center" wrapText="1"/>
    </xf>
    <xf numFmtId="0" fontId="68" fillId="0" borderId="14" applyAlignment="1" pivotButton="0" quotePrefix="0" xfId="0">
      <alignment vertical="center" wrapText="1"/>
    </xf>
    <xf numFmtId="0" fontId="68" fillId="0" borderId="50" applyAlignment="1" pivotButton="0" quotePrefix="0" xfId="0">
      <alignment vertical="center" wrapText="1"/>
    </xf>
    <xf numFmtId="0" fontId="68" fillId="0" borderId="47" applyAlignment="1" pivotButton="0" quotePrefix="0" xfId="0">
      <alignment horizontal="right" vertical="center" wrapText="1"/>
    </xf>
    <xf numFmtId="193" fontId="68" fillId="0" borderId="47" applyAlignment="1" pivotButton="0" quotePrefix="0" xfId="0">
      <alignment horizontal="right" vertical="center" wrapText="1"/>
    </xf>
    <xf numFmtId="167" fontId="68" fillId="0" borderId="47" applyAlignment="1" pivotButton="0" quotePrefix="0" xfId="3">
      <alignment horizontal="right" vertical="center" wrapText="1"/>
    </xf>
    <xf numFmtId="167" fontId="32" fillId="0" borderId="0" pivotButton="0" quotePrefix="0" xfId="0"/>
    <xf numFmtId="0" fontId="68" fillId="0" borderId="51" applyAlignment="1" pivotButton="0" quotePrefix="0" xfId="0">
      <alignment vertical="center" wrapText="1"/>
    </xf>
    <xf numFmtId="0" fontId="68" fillId="0" borderId="48" applyAlignment="1" pivotButton="0" quotePrefix="0" xfId="0">
      <alignment horizontal="right" vertical="center" wrapText="1"/>
    </xf>
    <xf numFmtId="193" fontId="68" fillId="0" borderId="48" applyAlignment="1" pivotButton="0" quotePrefix="0" xfId="0">
      <alignment horizontal="right" vertical="center" wrapText="1"/>
    </xf>
    <xf numFmtId="167" fontId="68" fillId="0" borderId="48" applyAlignment="1" pivotButton="0" quotePrefix="0" xfId="3">
      <alignment horizontal="right" vertical="center" wrapText="1"/>
    </xf>
    <xf numFmtId="0" fontId="68" fillId="0" borderId="4" applyAlignment="1" pivotButton="0" quotePrefix="0" xfId="0">
      <alignment vertical="center" wrapText="1"/>
    </xf>
    <xf numFmtId="0" fontId="68" fillId="0" borderId="52" applyAlignment="1" pivotButton="0" quotePrefix="0" xfId="0">
      <alignment vertical="center" wrapText="1"/>
    </xf>
    <xf numFmtId="0" fontId="68" fillId="0" borderId="49" applyAlignment="1" pivotButton="0" quotePrefix="0" xfId="0">
      <alignment horizontal="right" vertical="center" wrapText="1"/>
    </xf>
    <xf numFmtId="193" fontId="68" fillId="0" borderId="49" applyAlignment="1" pivotButton="0" quotePrefix="0" xfId="0">
      <alignment horizontal="right" vertical="center" wrapText="1"/>
    </xf>
    <xf numFmtId="167" fontId="68" fillId="0" borderId="49" applyAlignment="1" pivotButton="0" quotePrefix="0" xfId="3">
      <alignment horizontal="right" vertical="center" wrapText="1"/>
    </xf>
    <xf numFmtId="0" fontId="68" fillId="11" borderId="17" applyAlignment="1" pivotButton="0" quotePrefix="0" xfId="0">
      <alignment vertical="center" wrapText="1"/>
    </xf>
    <xf numFmtId="0" fontId="68" fillId="11" borderId="8" applyAlignment="1" pivotButton="0" quotePrefix="0" xfId="0">
      <alignment vertical="center" wrapText="1"/>
    </xf>
    <xf numFmtId="0" fontId="68" fillId="11" borderId="9" applyAlignment="1" pivotButton="0" quotePrefix="0" xfId="0">
      <alignment horizontal="right" vertical="center" wrapText="1"/>
    </xf>
    <xf numFmtId="193" fontId="68" fillId="11" borderId="9" applyAlignment="1" pivotButton="0" quotePrefix="0" xfId="0">
      <alignment horizontal="right" vertical="center" wrapText="1"/>
    </xf>
    <xf numFmtId="167" fontId="68" fillId="3" borderId="9" applyAlignment="1" pivotButton="0" quotePrefix="0" xfId="3">
      <alignment horizontal="right" vertical="center" wrapText="1"/>
    </xf>
    <xf numFmtId="10" fontId="68" fillId="0" borderId="2" applyAlignment="1" pivotButton="0" quotePrefix="0" xfId="4">
      <alignment vertical="center" wrapText="1"/>
    </xf>
    <xf numFmtId="164" fontId="48" fillId="0" borderId="0" applyAlignment="1" pivotButton="0" quotePrefix="0" xfId="0">
      <alignment horizontal="right" vertical="center" wrapText="1"/>
    </xf>
    <xf numFmtId="0" fontId="68" fillId="0" borderId="0" applyAlignment="1" pivotButton="0" quotePrefix="0" xfId="0">
      <alignment horizontal="right" vertical="center" wrapText="1"/>
    </xf>
    <xf numFmtId="164" fontId="68" fillId="0" borderId="9" applyAlignment="1" pivotButton="0" quotePrefix="0" xfId="3">
      <alignment horizontal="right" vertical="center" wrapText="1"/>
    </xf>
    <xf numFmtId="0" fontId="40" fillId="15" borderId="17" applyAlignment="1" pivotButton="0" quotePrefix="0" xfId="0">
      <alignment vertical="center" wrapText="1"/>
    </xf>
    <xf numFmtId="0" fontId="40" fillId="15" borderId="8" applyAlignment="1" pivotButton="0" quotePrefix="0" xfId="0">
      <alignment vertical="center" wrapText="1"/>
    </xf>
    <xf numFmtId="0" fontId="40" fillId="15" borderId="9" applyAlignment="1" pivotButton="0" quotePrefix="0" xfId="0">
      <alignment horizontal="right" vertical="center" wrapText="1"/>
    </xf>
    <xf numFmtId="0" fontId="68" fillId="0" borderId="36" applyAlignment="1" pivotButton="0" quotePrefix="0" xfId="0">
      <alignment vertical="center" wrapText="1"/>
    </xf>
    <xf numFmtId="10" fontId="68" fillId="0" borderId="42" applyAlignment="1" pivotButton="0" quotePrefix="0" xfId="4">
      <alignment vertical="center" wrapText="1"/>
    </xf>
    <xf numFmtId="164" fontId="68" fillId="0" borderId="43" applyAlignment="1" pivotButton="0" quotePrefix="0" xfId="3">
      <alignment horizontal="right" vertical="center" wrapText="1"/>
    </xf>
    <xf numFmtId="0" fontId="68" fillId="10" borderId="43" applyAlignment="1" pivotButton="0" quotePrefix="0" xfId="0">
      <alignment horizontal="right" vertical="center" wrapText="1"/>
    </xf>
    <xf numFmtId="10" fontId="68" fillId="0" borderId="52" applyAlignment="1" pivotButton="0" quotePrefix="0" xfId="4">
      <alignment vertical="center" wrapText="1"/>
    </xf>
    <xf numFmtId="0" fontId="68" fillId="10" borderId="49" applyAlignment="1" pivotButton="0" quotePrefix="0" xfId="0">
      <alignment horizontal="right" vertical="center" wrapText="1"/>
    </xf>
    <xf numFmtId="164" fontId="68" fillId="0" borderId="49" applyAlignment="1" pivotButton="0" quotePrefix="0" xfId="3">
      <alignment horizontal="right" vertical="center" wrapText="1"/>
    </xf>
    <xf numFmtId="0" fontId="67" fillId="11" borderId="43" applyAlignment="1" pivotButton="0" quotePrefix="0" xfId="0">
      <alignment vertical="center" wrapText="1"/>
    </xf>
    <xf numFmtId="193" fontId="67" fillId="11" borderId="43" applyAlignment="1" pivotButton="0" quotePrefix="0" xfId="0">
      <alignment horizontal="right" vertical="center" wrapText="1"/>
    </xf>
    <xf numFmtId="0" fontId="67" fillId="3" borderId="43" applyAlignment="1" pivotButton="0" quotePrefix="0" xfId="0">
      <alignment horizontal="right" vertical="center" wrapText="1"/>
    </xf>
    <xf numFmtId="164" fontId="67" fillId="3" borderId="43" applyAlignment="1" pivotButton="0" quotePrefix="0" xfId="3">
      <alignment horizontal="right" vertical="center" wrapText="1"/>
    </xf>
    <xf numFmtId="0" fontId="67" fillId="11" borderId="49" applyAlignment="1" pivotButton="0" quotePrefix="0" xfId="0">
      <alignment vertical="center" wrapText="1"/>
    </xf>
    <xf numFmtId="193" fontId="67" fillId="11" borderId="49" applyAlignment="1" pivotButton="0" quotePrefix="0" xfId="0">
      <alignment horizontal="right" vertical="center" wrapText="1"/>
    </xf>
    <xf numFmtId="193" fontId="67" fillId="3" borderId="49" applyAlignment="1" pivotButton="0" quotePrefix="0" xfId="0">
      <alignment horizontal="right" vertical="center" wrapText="1"/>
    </xf>
    <xf numFmtId="167" fontId="67" fillId="3" borderId="49" applyAlignment="1" pivotButton="0" quotePrefix="0" xfId="3">
      <alignment horizontal="right" vertical="center" wrapText="1"/>
    </xf>
    <xf numFmtId="10" fontId="32" fillId="0" borderId="0" pivotButton="0" quotePrefix="0" xfId="4"/>
    <xf numFmtId="0" fontId="39" fillId="15" borderId="0" applyAlignment="1" pivotButton="0" quotePrefix="0" xfId="0">
      <alignment horizontal="left"/>
    </xf>
    <xf numFmtId="0" fontId="39" fillId="15" borderId="0" applyAlignment="1" pivotButton="0" quotePrefix="0" xfId="0">
      <alignment horizontal="center"/>
    </xf>
    <xf numFmtId="0" fontId="48" fillId="6" borderId="0" applyAlignment="1" pivotButton="0" quotePrefix="0" xfId="0">
      <alignment vertical="center"/>
    </xf>
    <xf numFmtId="0" fontId="48" fillId="6" borderId="0" applyAlignment="1" pivotButton="0" quotePrefix="0" xfId="0">
      <alignment horizontal="center" vertical="center" wrapText="1"/>
    </xf>
    <xf numFmtId="0" fontId="48" fillId="6" borderId="0" applyAlignment="1" pivotButton="0" quotePrefix="0" xfId="0">
      <alignment vertical="center" wrapText="1"/>
    </xf>
    <xf numFmtId="0" fontId="40" fillId="12" borderId="20" applyAlignment="1" pivotButton="0" quotePrefix="0" xfId="0">
      <alignment vertical="center" wrapText="1"/>
    </xf>
    <xf numFmtId="0" fontId="48" fillId="6" borderId="0" applyAlignment="1" pivotButton="0" quotePrefix="0" xfId="0">
      <alignment horizontal="center"/>
    </xf>
    <xf numFmtId="0" fontId="48" fillId="0" borderId="56" applyAlignment="1" pivotButton="0" quotePrefix="0" xfId="0">
      <alignment vertical="center" wrapText="1"/>
    </xf>
    <xf numFmtId="193" fontId="48" fillId="0" borderId="57" applyAlignment="1" pivotButton="0" quotePrefix="0" xfId="0">
      <alignment horizontal="center" vertical="center" wrapText="1"/>
    </xf>
    <xf numFmtId="193" fontId="48" fillId="0" borderId="58" applyAlignment="1" pivotButton="0" quotePrefix="0" xfId="0">
      <alignment horizontal="center" vertical="center" wrapText="1"/>
    </xf>
    <xf numFmtId="0" fontId="48" fillId="6" borderId="0" applyAlignment="1" pivotButton="0" quotePrefix="0" xfId="0">
      <alignment horizontal="center" vertical="center"/>
    </xf>
    <xf numFmtId="0" fontId="48" fillId="0" borderId="22" applyAlignment="1" pivotButton="0" quotePrefix="0" xfId="0">
      <alignment vertical="center" wrapText="1"/>
    </xf>
    <xf numFmtId="10" fontId="48" fillId="0" borderId="5" applyAlignment="1" pivotButton="0" quotePrefix="0" xfId="0">
      <alignment horizontal="center" vertical="center" wrapText="1"/>
    </xf>
    <xf numFmtId="10" fontId="48" fillId="0" borderId="59" applyAlignment="1" pivotButton="0" quotePrefix="0" xfId="0">
      <alignment horizontal="center" vertical="center" wrapText="1"/>
    </xf>
    <xf numFmtId="0" fontId="44" fillId="3" borderId="11" applyAlignment="1" pivotButton="0" quotePrefix="0" xfId="0">
      <alignment vertical="center"/>
    </xf>
    <xf numFmtId="0" fontId="44" fillId="3" borderId="11" applyAlignment="1" pivotButton="0" quotePrefix="0" xfId="0">
      <alignment horizontal="center" vertical="center"/>
    </xf>
    <xf numFmtId="0" fontId="44" fillId="3" borderId="11" applyAlignment="1" pivotButton="0" quotePrefix="0" xfId="0">
      <alignment horizontal="center"/>
    </xf>
    <xf numFmtId="0" fontId="48" fillId="11" borderId="42" applyAlignment="1" pivotButton="0" quotePrefix="0" xfId="0">
      <alignment vertical="center" wrapText="1"/>
    </xf>
    <xf numFmtId="193" fontId="48" fillId="11" borderId="43" applyAlignment="1" pivotButton="0" quotePrefix="0" xfId="0">
      <alignment horizontal="center" vertical="center" wrapText="1"/>
    </xf>
    <xf numFmtId="193" fontId="48" fillId="11" borderId="44" applyAlignment="1" pivotButton="0" quotePrefix="0" xfId="0">
      <alignment horizontal="center" vertical="center" wrapText="1"/>
    </xf>
    <xf numFmtId="0" fontId="44" fillId="3" borderId="1" applyAlignment="1" pivotButton="0" quotePrefix="0" xfId="0">
      <alignment vertical="center"/>
    </xf>
    <xf numFmtId="10" fontId="44" fillId="3" borderId="1" applyAlignment="1" pivotButton="0" quotePrefix="0" xfId="0">
      <alignment horizontal="center" vertical="center"/>
    </xf>
    <xf numFmtId="10" fontId="44" fillId="3" borderId="1" applyAlignment="1" pivotButton="0" quotePrefix="0" xfId="0">
      <alignment horizontal="center"/>
    </xf>
    <xf numFmtId="10" fontId="44" fillId="3" borderId="1" applyAlignment="1" pivotButton="0" quotePrefix="0" xfId="0">
      <alignment vertical="center"/>
    </xf>
    <xf numFmtId="0" fontId="44" fillId="11" borderId="52" applyAlignment="1" pivotButton="0" quotePrefix="0" xfId="0">
      <alignment vertical="center" wrapText="1"/>
    </xf>
    <xf numFmtId="193" fontId="44" fillId="11" borderId="49" applyAlignment="1" pivotButton="0" quotePrefix="0" xfId="0">
      <alignment horizontal="center" vertical="center" wrapText="1"/>
    </xf>
    <xf numFmtId="193" fontId="44" fillId="11" borderId="60" applyAlignment="1" pivotButton="0" quotePrefix="0" xfId="0">
      <alignment horizontal="center" vertical="center" wrapText="1"/>
    </xf>
    <xf numFmtId="0" fontId="44" fillId="6" borderId="9" applyAlignment="1" pivotButton="0" quotePrefix="0" xfId="0">
      <alignment vertical="center"/>
    </xf>
    <xf numFmtId="10" fontId="44" fillId="6" borderId="9" applyAlignment="1" pivotButton="0" quotePrefix="0" xfId="0">
      <alignment horizontal="center" vertical="center"/>
    </xf>
    <xf numFmtId="10" fontId="44" fillId="6" borderId="9" applyAlignment="1" pivotButton="0" quotePrefix="0" xfId="0">
      <alignment horizontal="center"/>
    </xf>
    <xf numFmtId="0" fontId="32" fillId="0" borderId="9" pivotButton="0" quotePrefix="0" xfId="0"/>
    <xf numFmtId="2" fontId="31" fillId="6" borderId="0" pivotButton="0" quotePrefix="0" xfId="0"/>
    <xf numFmtId="0" fontId="44" fillId="11" borderId="0" applyAlignment="1" pivotButton="0" quotePrefix="0" xfId="0">
      <alignment vertical="center" wrapText="1"/>
    </xf>
    <xf numFmtId="193" fontId="44" fillId="11" borderId="0" applyAlignment="1" pivotButton="0" quotePrefix="0" xfId="0">
      <alignment horizontal="center" vertical="center" wrapText="1"/>
    </xf>
    <xf numFmtId="0" fontId="44" fillId="6" borderId="0" applyAlignment="1" pivotButton="0" quotePrefix="0" xfId="0">
      <alignment vertical="center"/>
    </xf>
    <xf numFmtId="10" fontId="44" fillId="6" borderId="0" applyAlignment="1" pivotButton="0" quotePrefix="0" xfId="0">
      <alignment horizontal="center" vertical="center"/>
    </xf>
    <xf numFmtId="10" fontId="44" fillId="6" borderId="0" applyAlignment="1" pivotButton="0" quotePrefix="0" xfId="0">
      <alignment horizontal="center"/>
    </xf>
    <xf numFmtId="10" fontId="44" fillId="6" borderId="0" applyAlignment="1" pivotButton="0" quotePrefix="0" xfId="0">
      <alignment vertical="center"/>
    </xf>
    <xf numFmtId="0" fontId="50" fillId="3" borderId="1" applyAlignment="1" pivotButton="0" quotePrefix="0" xfId="0">
      <alignment vertical="center"/>
    </xf>
    <xf numFmtId="165" fontId="50" fillId="3" borderId="1" applyAlignment="1" pivotButton="0" quotePrefix="0" xfId="0">
      <alignment horizontal="center" vertical="center"/>
    </xf>
    <xf numFmtId="178" fontId="5" fillId="0" borderId="9" applyAlignment="1" applyProtection="1" pivotButton="0" quotePrefix="0" xfId="0">
      <alignment horizontal="left"/>
      <protection locked="0" hidden="0"/>
    </xf>
    <xf numFmtId="0" fontId="5" fillId="0" borderId="9" applyAlignment="1" pivotButton="0" quotePrefix="0" xfId="0">
      <alignment horizontal="center"/>
    </xf>
    <xf numFmtId="175" fontId="47" fillId="0" borderId="0" applyAlignment="1" pivotButton="0" quotePrefix="0" xfId="0">
      <alignment horizontal="left"/>
    </xf>
    <xf numFmtId="176" fontId="32" fillId="0" borderId="0" applyAlignment="1" pivotButton="0" quotePrefix="0" xfId="0">
      <alignment horizontal="left"/>
    </xf>
    <xf numFmtId="176" fontId="47" fillId="0" borderId="0" applyAlignment="1" applyProtection="1" pivotButton="0" quotePrefix="0" xfId="0">
      <alignment horizontal="left"/>
      <protection locked="0" hidden="0"/>
    </xf>
    <xf numFmtId="177" fontId="47" fillId="0" borderId="0" applyAlignment="1" pivotButton="0" quotePrefix="0" xfId="0">
      <alignment horizontal="left"/>
    </xf>
    <xf numFmtId="174" fontId="5" fillId="3" borderId="9" applyAlignment="1" applyProtection="1" pivotButton="0" quotePrefix="0" xfId="0">
      <alignment horizontal="left"/>
      <protection locked="0" hidden="0"/>
    </xf>
    <xf numFmtId="174" fontId="50" fillId="3" borderId="9" applyAlignment="1" applyProtection="1" pivotButton="0" quotePrefix="0" xfId="0">
      <alignment horizontal="left"/>
      <protection locked="0" hidden="0"/>
    </xf>
    <xf numFmtId="165" fontId="50" fillId="3" borderId="9" pivotButton="0" quotePrefix="0" xfId="0"/>
    <xf numFmtId="0" fontId="21" fillId="17" borderId="0" applyAlignment="1" pivotButton="0" quotePrefix="0" xfId="0">
      <alignment wrapText="1"/>
    </xf>
    <xf numFmtId="168" fontId="47" fillId="0" borderId="1" pivotButton="0" quotePrefix="0" xfId="0"/>
    <xf numFmtId="37" fontId="47" fillId="0" borderId="1" pivotButton="0" quotePrefix="0" xfId="0"/>
    <xf numFmtId="165" fontId="47" fillId="0" borderId="1" applyAlignment="1" pivotButton="0" quotePrefix="0" xfId="0">
      <alignment horizontal="right"/>
    </xf>
    <xf numFmtId="171" fontId="47" fillId="0" borderId="1" applyAlignment="1" pivotButton="0" quotePrefix="0" xfId="0">
      <alignment horizontal="right"/>
    </xf>
    <xf numFmtId="0" fontId="32" fillId="0" borderId="0" applyAlignment="1" pivotButton="0" quotePrefix="0" xfId="1">
      <alignment horizontal="left" vertical="top"/>
    </xf>
    <xf numFmtId="1" fontId="32" fillId="0" borderId="0" applyAlignment="1" pivotButton="0" quotePrefix="0" xfId="1">
      <alignment horizontal="left" vertical="top"/>
    </xf>
    <xf numFmtId="165" fontId="32" fillId="0" borderId="0" applyAlignment="1" pivotButton="0" quotePrefix="0" xfId="1">
      <alignment horizontal="left" vertical="top"/>
    </xf>
    <xf numFmtId="164" fontId="32" fillId="0" borderId="0" applyAlignment="1" pivotButton="0" quotePrefix="0" xfId="1">
      <alignment horizontal="left" vertical="top"/>
    </xf>
    <xf numFmtId="0" fontId="32" fillId="0" borderId="0" applyAlignment="1" pivotButton="0" quotePrefix="0" xfId="0">
      <alignment horizontal="left" vertical="top"/>
    </xf>
    <xf numFmtId="0" fontId="32" fillId="0" borderId="0" applyAlignment="1" pivotButton="0" quotePrefix="0" xfId="1">
      <alignment horizontal="left" vertical="center"/>
    </xf>
    <xf numFmtId="0" fontId="70" fillId="0" borderId="0" applyAlignment="1" pivotButton="0" quotePrefix="0" xfId="0">
      <alignment horizontal="left" vertical="top"/>
    </xf>
    <xf numFmtId="0" fontId="32" fillId="0" borderId="1" applyAlignment="1" pivotButton="0" quotePrefix="0" xfId="0">
      <alignment horizontal="left" vertical="top"/>
    </xf>
    <xf numFmtId="0" fontId="44" fillId="6" borderId="0" pivotButton="0" quotePrefix="0" xfId="0"/>
    <xf numFmtId="0" fontId="44" fillId="6" borderId="1" pivotButton="0" quotePrefix="0" xfId="0"/>
    <xf numFmtId="0" fontId="44" fillId="6" borderId="0" applyAlignment="1" pivotButton="0" quotePrefix="0" xfId="0">
      <alignment vertical="top"/>
    </xf>
    <xf numFmtId="0" fontId="44" fillId="6" borderId="0" applyAlignment="1" pivotButton="0" quotePrefix="0" xfId="0">
      <alignment horizontal="left" vertical="top"/>
    </xf>
    <xf numFmtId="0" fontId="48" fillId="6" borderId="0" applyAlignment="1" pivotButton="0" quotePrefix="0" xfId="0">
      <alignment vertical="top"/>
    </xf>
    <xf numFmtId="0" fontId="0" fillId="6" borderId="0" applyAlignment="1" pivotButton="0" quotePrefix="0" xfId="0">
      <alignment horizontal="left" indent="1"/>
    </xf>
    <xf numFmtId="0" fontId="0" fillId="6" borderId="1" applyAlignment="1" pivotButton="0" quotePrefix="0" xfId="0">
      <alignment horizontal="left"/>
    </xf>
    <xf numFmtId="0" fontId="34" fillId="6" borderId="1" applyAlignment="1" pivotButton="0" quotePrefix="0" xfId="0">
      <alignment horizontal="left" vertical="top" wrapText="1" indent="1"/>
    </xf>
    <xf numFmtId="0" fontId="34" fillId="6" borderId="0" applyAlignment="1" pivotButton="0" quotePrefix="0" xfId="0">
      <alignment horizontal="left" vertical="top" wrapText="1" indent="1"/>
    </xf>
    <xf numFmtId="0" fontId="50" fillId="22" borderId="11" pivotButton="0" quotePrefix="0" xfId="0"/>
    <xf numFmtId="165" fontId="47" fillId="22" borderId="0" pivotButton="0" quotePrefix="0" xfId="0"/>
    <xf numFmtId="0" fontId="47" fillId="22" borderId="1" pivotButton="0" quotePrefix="0" xfId="0"/>
    <xf numFmtId="165" fontId="47" fillId="22" borderId="1" pivotButton="0" quotePrefix="0" xfId="0"/>
    <xf numFmtId="0" fontId="0" fillId="6" borderId="0" pivotButton="0" quotePrefix="0" xfId="9"/>
    <xf numFmtId="0" fontId="39" fillId="19" borderId="0" applyAlignment="1" pivotButton="0" quotePrefix="0" xfId="0">
      <alignment horizontal="center"/>
    </xf>
    <xf numFmtId="169" fontId="32" fillId="0" borderId="1" applyAlignment="1" pivotButton="0" quotePrefix="0" xfId="0">
      <alignment horizontal="center" vertical="center"/>
    </xf>
    <xf numFmtId="0" fontId="32" fillId="0" borderId="1" applyAlignment="1" pivotButton="0" quotePrefix="0" xfId="0">
      <alignment horizontal="center"/>
    </xf>
    <xf numFmtId="179" fontId="32" fillId="0" borderId="1" applyAlignment="1" pivotButton="0" quotePrefix="0" xfId="0">
      <alignment horizontal="center"/>
    </xf>
    <xf numFmtId="165" fontId="32" fillId="0" borderId="1" applyAlignment="1" pivotButton="0" quotePrefix="0" xfId="3">
      <alignment horizontal="center"/>
    </xf>
    <xf numFmtId="194" fontId="32" fillId="6" borderId="1" pivotButton="0" quotePrefix="0" xfId="0"/>
    <xf numFmtId="0" fontId="50" fillId="6" borderId="9" pivotButton="0" quotePrefix="0" xfId="0"/>
    <xf numFmtId="165" fontId="50" fillId="6" borderId="11" pivotButton="0" quotePrefix="0" xfId="0"/>
    <xf numFmtId="0" fontId="44" fillId="6" borderId="0" applyAlignment="1" pivotButton="0" quotePrefix="0" xfId="0">
      <alignment vertical="top" wrapText="1"/>
    </xf>
    <xf numFmtId="0" fontId="34" fillId="6" borderId="0" applyAlignment="1" pivotButton="0" quotePrefix="0" xfId="0">
      <alignment vertical="top" wrapText="1"/>
    </xf>
    <xf numFmtId="0" fontId="0" fillId="0" borderId="0" applyAlignment="1" pivotButton="0" quotePrefix="0" xfId="0">
      <alignment horizontal="left"/>
    </xf>
    <xf numFmtId="0" fontId="48" fillId="6" borderId="2" applyAlignment="1" pivotButton="0" quotePrefix="0" xfId="0">
      <alignment vertical="center" justifyLastLine="1"/>
    </xf>
    <xf numFmtId="0" fontId="48" fillId="6" borderId="2" applyAlignment="1" pivotButton="0" quotePrefix="0" xfId="0">
      <alignment vertical="center" wrapText="1" justifyLastLine="1"/>
    </xf>
    <xf numFmtId="180" fontId="49" fillId="6" borderId="2" applyAlignment="1" pivotButton="0" quotePrefix="0" xfId="0">
      <alignment vertical="center" justifyLastLine="1"/>
    </xf>
    <xf numFmtId="3" fontId="48" fillId="6" borderId="2" applyAlignment="1" pivotButton="0" quotePrefix="0" xfId="2">
      <alignment vertical="center" justifyLastLine="1"/>
    </xf>
    <xf numFmtId="169" fontId="49" fillId="6" borderId="40" applyAlignment="1" pivotButton="0" quotePrefix="0" xfId="3">
      <alignment vertical="center" wrapText="1" justifyLastLine="1"/>
    </xf>
    <xf numFmtId="169" fontId="48" fillId="6" borderId="2" applyAlignment="1" pivotButton="0" quotePrefix="0" xfId="3">
      <alignment vertical="center" justifyLastLine="1"/>
    </xf>
    <xf numFmtId="0" fontId="0" fillId="0" borderId="0" applyAlignment="1" pivotButton="0" quotePrefix="0" xfId="0">
      <alignment horizontal="right"/>
    </xf>
    <xf numFmtId="186" fontId="50" fillId="3" borderId="37" applyAlignment="1" pivotButton="0" quotePrefix="0" xfId="3">
      <alignment horizontal="right" vertical="center"/>
    </xf>
    <xf numFmtId="170" fontId="50" fillId="8" borderId="38" applyAlignment="1" pivotButton="0" quotePrefix="0" xfId="3">
      <alignment horizontal="right" vertical="center"/>
    </xf>
    <xf numFmtId="9" fontId="50" fillId="6" borderId="0" applyAlignment="1" pivotButton="0" quotePrefix="0" xfId="4">
      <alignment vertical="center"/>
    </xf>
    <xf numFmtId="0" fontId="44" fillId="6" borderId="2" applyAlignment="1" pivotButton="0" quotePrefix="0" xfId="0">
      <alignment horizontal="right" vertical="center"/>
    </xf>
    <xf numFmtId="3" fontId="44" fillId="6" borderId="2" applyAlignment="1" pivotButton="0" quotePrefix="0" xfId="2">
      <alignment horizontal="right" vertical="center"/>
    </xf>
    <xf numFmtId="1" fontId="50" fillId="6" borderId="0" applyAlignment="1" pivotButton="0" quotePrefix="0" xfId="0">
      <alignment vertical="center"/>
    </xf>
    <xf numFmtId="3" fontId="44" fillId="6" borderId="2" applyAlignment="1" pivotButton="0" quotePrefix="0" xfId="0">
      <alignment horizontal="right" vertical="center" wrapText="1"/>
    </xf>
    <xf numFmtId="0" fontId="43" fillId="6" borderId="2" applyAlignment="1" pivotButton="0" quotePrefix="0" xfId="0">
      <alignment horizontal="right" vertical="center"/>
    </xf>
    <xf numFmtId="0" fontId="49" fillId="6" borderId="65" applyAlignment="1" pivotButton="0" quotePrefix="0" xfId="0">
      <alignment horizontal="right" vertical="center"/>
    </xf>
    <xf numFmtId="0" fontId="49" fillId="6" borderId="15" applyAlignment="1" pivotButton="0" quotePrefix="0" xfId="0">
      <alignment horizontal="right" vertical="center"/>
    </xf>
    <xf numFmtId="0" fontId="52" fillId="3" borderId="66" applyAlignment="1" pivotButton="0" quotePrefix="0" xfId="0">
      <alignment horizontal="right" vertical="center" wrapText="1"/>
    </xf>
    <xf numFmtId="9" fontId="47" fillId="3" borderId="66" applyAlignment="1" pivotButton="0" quotePrefix="0" xfId="4">
      <alignment horizontal="right" vertical="center"/>
    </xf>
    <xf numFmtId="1" fontId="52" fillId="6" borderId="15" applyAlignment="1" pivotButton="0" quotePrefix="0" xfId="0">
      <alignment horizontal="right" vertical="center"/>
    </xf>
    <xf numFmtId="1" fontId="56" fillId="6" borderId="15" applyAlignment="1" pivotButton="0" quotePrefix="0" xfId="0">
      <alignment horizontal="right" vertical="center" wrapText="1"/>
    </xf>
    <xf numFmtId="9" fontId="56" fillId="6" borderId="15" applyAlignment="1" pivotButton="0" quotePrefix="0" xfId="4">
      <alignment horizontal="right" vertical="center"/>
    </xf>
    <xf numFmtId="9" fontId="57" fillId="6" borderId="15" applyAlignment="1" pivotButton="0" quotePrefix="0" xfId="0">
      <alignment horizontal="right" vertical="center" wrapText="1"/>
    </xf>
    <xf numFmtId="9" fontId="56" fillId="6" borderId="15" applyAlignment="1" pivotButton="0" quotePrefix="0" xfId="4">
      <alignment horizontal="right" vertical="center" wrapText="1"/>
    </xf>
    <xf numFmtId="3" fontId="44" fillId="6" borderId="15" applyAlignment="1" pivotButton="0" quotePrefix="0" xfId="2">
      <alignment horizontal="right" vertical="center"/>
    </xf>
    <xf numFmtId="0" fontId="56" fillId="6" borderId="15" applyAlignment="1" pivotButton="0" quotePrefix="0" xfId="4">
      <alignment horizontal="right" vertical="center" wrapText="1"/>
    </xf>
    <xf numFmtId="0" fontId="56" fillId="6" borderId="15" applyAlignment="1" pivotButton="0" quotePrefix="0" xfId="4">
      <alignment horizontal="right" vertical="center"/>
    </xf>
    <xf numFmtId="0" fontId="52" fillId="3" borderId="65" applyAlignment="1" pivotButton="0" quotePrefix="0" xfId="0">
      <alignment vertical="center"/>
    </xf>
    <xf numFmtId="0" fontId="52" fillId="8" borderId="66" applyAlignment="1" pivotButton="0" quotePrefix="0" xfId="0">
      <alignment vertical="center"/>
    </xf>
    <xf numFmtId="0" fontId="50" fillId="3" borderId="24" applyAlignment="1" pivotButton="0" quotePrefix="0" xfId="0">
      <alignment vertical="center"/>
    </xf>
    <xf numFmtId="0" fontId="50" fillId="8" borderId="24" applyAlignment="1" pivotButton="0" quotePrefix="0" xfId="0">
      <alignment horizontal="right" vertical="center"/>
    </xf>
    <xf numFmtId="0" fontId="48" fillId="6" borderId="6" applyAlignment="1" pivotButton="0" quotePrefix="0" xfId="0">
      <alignment horizontal="right" vertical="center"/>
    </xf>
    <xf numFmtId="0" fontId="48" fillId="6" borderId="0" applyAlignment="1" pivotButton="0" quotePrefix="0" xfId="0">
      <alignment horizontal="right" vertical="center"/>
    </xf>
    <xf numFmtId="180" fontId="48" fillId="6" borderId="0" applyAlignment="1" pivotButton="0" quotePrefix="0" xfId="0">
      <alignment horizontal="right" vertical="center"/>
    </xf>
    <xf numFmtId="0" fontId="48" fillId="3" borderId="24" applyAlignment="1" pivotButton="0" quotePrefix="0" xfId="0">
      <alignment horizontal="right" vertical="center"/>
    </xf>
    <xf numFmtId="0" fontId="44" fillId="6" borderId="0" applyAlignment="1" pivotButton="0" quotePrefix="0" xfId="0">
      <alignment horizontal="right" vertical="center"/>
    </xf>
    <xf numFmtId="1" fontId="56" fillId="6" borderId="0" applyAlignment="1" pivotButton="0" quotePrefix="0" xfId="0">
      <alignment horizontal="right" vertical="center" wrapText="1"/>
    </xf>
    <xf numFmtId="9" fontId="56" fillId="6" borderId="0" applyAlignment="1" pivotButton="0" quotePrefix="0" xfId="4">
      <alignment horizontal="right" vertical="center"/>
    </xf>
    <xf numFmtId="9" fontId="57" fillId="6" borderId="0" applyAlignment="1" pivotButton="0" quotePrefix="0" xfId="0">
      <alignment horizontal="right" vertical="center" wrapText="1"/>
    </xf>
    <xf numFmtId="3" fontId="44" fillId="6" borderId="0" applyAlignment="1" pivotButton="0" quotePrefix="0" xfId="2">
      <alignment horizontal="right" vertical="center"/>
    </xf>
    <xf numFmtId="3" fontId="44" fillId="6" borderId="0" applyAlignment="1" pivotButton="0" quotePrefix="0" xfId="0">
      <alignment horizontal="right" vertical="center" wrapText="1"/>
    </xf>
    <xf numFmtId="0" fontId="43" fillId="6" borderId="0" applyAlignment="1" pivotButton="0" quotePrefix="0" xfId="0">
      <alignment horizontal="right" vertical="center"/>
    </xf>
    <xf numFmtId="0" fontId="56" fillId="6" borderId="0" applyAlignment="1" pivotButton="0" quotePrefix="0" xfId="4">
      <alignment horizontal="right" vertical="center" wrapText="1"/>
    </xf>
    <xf numFmtId="0" fontId="56" fillId="6" borderId="0" applyAlignment="1" pivotButton="0" quotePrefix="0" xfId="4">
      <alignment horizontal="right" vertical="center"/>
    </xf>
    <xf numFmtId="0" fontId="50" fillId="8" borderId="64" applyAlignment="1" pivotButton="0" quotePrefix="0" xfId="0">
      <alignment horizontal="right" vertical="center"/>
    </xf>
    <xf numFmtId="186" fontId="50" fillId="3" borderId="36" applyAlignment="1" pivotButton="0" quotePrefix="0" xfId="3">
      <alignment horizontal="right" vertical="center"/>
    </xf>
    <xf numFmtId="170" fontId="50" fillId="8" borderId="17" applyAlignment="1" pivotButton="0" quotePrefix="0" xfId="3">
      <alignment horizontal="right" vertical="center"/>
    </xf>
    <xf numFmtId="186" fontId="50" fillId="3" borderId="17" applyAlignment="1" pivotButton="0" quotePrefix="0" xfId="3">
      <alignment horizontal="right" vertical="center"/>
    </xf>
    <xf numFmtId="0" fontId="32" fillId="6" borderId="0" applyAlignment="1" pivotButton="0" quotePrefix="0" xfId="0">
      <alignment horizontal="left" wrapText="1"/>
    </xf>
    <xf numFmtId="0" fontId="44" fillId="3" borderId="0" applyAlignment="1" pivotButton="0" quotePrefix="0" xfId="0">
      <alignment horizontal="right" vertical="center" wrapText="1"/>
    </xf>
    <xf numFmtId="3" fontId="57" fillId="6" borderId="0" applyAlignment="1" pivotButton="0" quotePrefix="0" xfId="0">
      <alignment horizontal="right" vertical="center" wrapText="1"/>
    </xf>
    <xf numFmtId="3" fontId="57" fillId="6" borderId="0" applyAlignment="1" pivotButton="0" quotePrefix="0" xfId="0">
      <alignment horizontal="right" vertical="center"/>
    </xf>
    <xf numFmtId="170" fontId="52" fillId="6" borderId="2" applyAlignment="1" pivotButton="0" quotePrefix="0" xfId="3">
      <alignment horizontal="right" vertical="center"/>
    </xf>
    <xf numFmtId="186" fontId="53" fillId="6" borderId="2" applyAlignment="1" pivotButton="0" quotePrefix="0" xfId="4">
      <alignment horizontal="right" vertical="center"/>
    </xf>
    <xf numFmtId="186" fontId="50" fillId="3" borderId="11" applyAlignment="1" pivotButton="0" quotePrefix="0" xfId="3">
      <alignment horizontal="right" vertical="center"/>
    </xf>
    <xf numFmtId="170" fontId="50" fillId="8" borderId="9" applyAlignment="1" pivotButton="0" quotePrefix="0" xfId="3">
      <alignment horizontal="right" vertical="center"/>
    </xf>
    <xf numFmtId="0" fontId="48" fillId="3" borderId="6" applyAlignment="1" pivotButton="0" quotePrefix="0" xfId="0">
      <alignment horizontal="right" vertical="center"/>
    </xf>
    <xf numFmtId="170" fontId="44" fillId="3" borderId="11" applyAlignment="1" pivotButton="0" quotePrefix="0" xfId="3">
      <alignment horizontal="right" vertical="center"/>
    </xf>
    <xf numFmtId="0" fontId="48" fillId="15" borderId="9" applyAlignment="1" pivotButton="0" quotePrefix="0" xfId="0">
      <alignment horizontal="right" vertical="center"/>
    </xf>
    <xf numFmtId="0" fontId="40" fillId="15" borderId="0" applyAlignment="1" pivotButton="0" quotePrefix="0" xfId="0">
      <alignment horizontal="center" vertical="center" wrapText="1"/>
    </xf>
    <xf numFmtId="0" fontId="0" fillId="5" borderId="0" applyAlignment="1" pivotButton="0" quotePrefix="0" xfId="0">
      <alignment horizontal="right"/>
    </xf>
    <xf numFmtId="1" fontId="0" fillId="5" borderId="0" pivotButton="0" quotePrefix="0" xfId="0"/>
    <xf numFmtId="3" fontId="0" fillId="5" borderId="0" applyAlignment="1" pivotButton="0" quotePrefix="0" xfId="0">
      <alignment horizontal="right"/>
    </xf>
    <xf numFmtId="0" fontId="0" fillId="5" borderId="0" applyAlignment="1" pivotButton="0" quotePrefix="0" xfId="0">
      <alignment horizontal="right" wrapText="1"/>
    </xf>
    <xf numFmtId="0" fontId="0" fillId="5" borderId="0" pivotButton="0" quotePrefix="0" xfId="0"/>
    <xf numFmtId="9" fontId="0" fillId="5" borderId="0" applyAlignment="1" pivotButton="0" quotePrefix="0" xfId="4">
      <alignment horizontal="right"/>
    </xf>
    <xf numFmtId="169" fontId="0" fillId="5" borderId="0" pivotButton="0" quotePrefix="0" xfId="0"/>
    <xf numFmtId="14" fontId="0" fillId="5" borderId="0" pivotButton="0" quotePrefix="0" xfId="0"/>
    <xf numFmtId="14" fontId="0" fillId="5" borderId="0" applyAlignment="1" pivotButton="0" quotePrefix="0" xfId="0">
      <alignment horizontal="right"/>
    </xf>
    <xf numFmtId="0" fontId="5" fillId="5" borderId="0" pivotButton="0" quotePrefix="0" xfId="0"/>
    <xf numFmtId="169" fontId="0" fillId="6" borderId="0" applyAlignment="1" pivotButton="0" quotePrefix="0" xfId="0">
      <alignment horizontal="right"/>
    </xf>
    <xf numFmtId="0" fontId="62" fillId="6" borderId="0" applyAlignment="1" pivotButton="0" quotePrefix="0" xfId="0">
      <alignment horizontal="left" vertical="center"/>
    </xf>
    <xf numFmtId="0" fontId="32" fillId="6" borderId="0" applyAlignment="1" pivotButton="0" quotePrefix="0" xfId="0">
      <alignment horizontal="left" vertical="center"/>
    </xf>
    <xf numFmtId="0" fontId="32" fillId="6" borderId="0" applyAlignment="1" pivotButton="0" quotePrefix="0" xfId="0">
      <alignment horizontal="left" vertical="center" wrapText="1"/>
    </xf>
    <xf numFmtId="191" fontId="32" fillId="6" borderId="0" applyAlignment="1" pivotButton="0" quotePrefix="0" xfId="0">
      <alignment horizontal="left" vertical="center" wrapText="1"/>
    </xf>
    <xf numFmtId="195" fontId="32" fillId="6" borderId="0" applyAlignment="1" pivotButton="0" quotePrefix="0" xfId="0">
      <alignment horizontal="left" vertical="center"/>
    </xf>
    <xf numFmtId="0" fontId="60" fillId="10" borderId="0" pivotButton="0" quotePrefix="0" xfId="0"/>
    <xf numFmtId="0" fontId="59" fillId="10" borderId="0" applyAlignment="1" pivotButton="0" quotePrefix="0" xfId="0">
      <alignment horizontal="right"/>
    </xf>
    <xf numFmtId="179" fontId="59" fillId="10" borderId="0" applyAlignment="1" pivotButton="0" quotePrefix="0" xfId="0">
      <alignment horizontal="right"/>
    </xf>
    <xf numFmtId="0" fontId="60" fillId="9" borderId="0" pivotButton="0" quotePrefix="0" xfId="0"/>
    <xf numFmtId="0" fontId="59" fillId="9" borderId="0" applyAlignment="1" pivotButton="0" quotePrefix="0" xfId="0">
      <alignment horizontal="right"/>
    </xf>
    <xf numFmtId="3" fontId="59" fillId="10" borderId="0" applyAlignment="1" pivotButton="0" quotePrefix="0" xfId="0">
      <alignment horizontal="right"/>
    </xf>
    <xf numFmtId="1" fontId="59" fillId="10" borderId="0" applyAlignment="1" pivotButton="0" quotePrefix="0" xfId="0">
      <alignment horizontal="right"/>
    </xf>
    <xf numFmtId="0" fontId="59" fillId="10" borderId="0" applyAlignment="1" pivotButton="0" quotePrefix="0" xfId="0">
      <alignment horizontal="right" wrapText="1"/>
    </xf>
    <xf numFmtId="9" fontId="59" fillId="10" borderId="0" applyAlignment="1" pivotButton="0" quotePrefix="0" xfId="0">
      <alignment horizontal="right"/>
    </xf>
    <xf numFmtId="0" fontId="60" fillId="10" borderId="1" pivotButton="0" quotePrefix="0" xfId="0"/>
    <xf numFmtId="9" fontId="59" fillId="10" borderId="1" applyAlignment="1" pivotButton="0" quotePrefix="0" xfId="0">
      <alignment horizontal="right"/>
    </xf>
    <xf numFmtId="0" fontId="58" fillId="9" borderId="0" applyAlignment="1" pivotButton="0" quotePrefix="0" xfId="0">
      <alignment horizontal="center"/>
    </xf>
    <xf numFmtId="0" fontId="60" fillId="6" borderId="0" pivotButton="0" quotePrefix="0" xfId="0"/>
    <xf numFmtId="193" fontId="59" fillId="6" borderId="0" applyAlignment="1" pivotButton="0" quotePrefix="0" xfId="0">
      <alignment horizontal="center"/>
    </xf>
    <xf numFmtId="164" fontId="59" fillId="6" borderId="0" applyAlignment="1" pivotButton="0" quotePrefix="0" xfId="0">
      <alignment horizontal="center"/>
    </xf>
    <xf numFmtId="0" fontId="60" fillId="6" borderId="1" pivotButton="0" quotePrefix="0" xfId="0"/>
    <xf numFmtId="193" fontId="59" fillId="6" borderId="1" applyAlignment="1" pivotButton="0" quotePrefix="0" xfId="0">
      <alignment horizontal="center"/>
    </xf>
    <xf numFmtId="164" fontId="59" fillId="6" borderId="1" applyAlignment="1" pivotButton="0" quotePrefix="0" xfId="0">
      <alignment horizontal="center"/>
    </xf>
    <xf numFmtId="0" fontId="39" fillId="6" borderId="0" applyAlignment="1" pivotButton="0" quotePrefix="0" xfId="10">
      <alignment horizontal="center"/>
    </xf>
    <xf numFmtId="0" fontId="50" fillId="6" borderId="0" pivotButton="0" quotePrefix="0" xfId="0"/>
    <xf numFmtId="0" fontId="47" fillId="6" borderId="0" applyAlignment="1" pivotButton="0" quotePrefix="0" xfId="11">
      <alignment horizontal="left" wrapText="1"/>
    </xf>
    <xf numFmtId="0" fontId="0" fillId="6" borderId="0" applyAlignment="1" pivotButton="0" quotePrefix="0" xfId="0">
      <alignment horizontal="justify" wrapText="1"/>
    </xf>
    <xf numFmtId="0" fontId="0" fillId="5" borderId="0" applyAlignment="1" pivotButton="0" quotePrefix="0" xfId="0">
      <alignment horizontal="justify" wrapText="1"/>
    </xf>
    <xf numFmtId="179" fontId="47" fillId="6" borderId="0" applyAlignment="1" pivotButton="0" quotePrefix="0" xfId="11">
      <alignment horizontal="left" wrapText="1"/>
    </xf>
    <xf numFmtId="196" fontId="47" fillId="6" borderId="0" applyAlignment="1" pivotButton="0" quotePrefix="0" xfId="11">
      <alignment horizontal="left" wrapText="1"/>
    </xf>
    <xf numFmtId="0" fontId="47" fillId="6" borderId="0" applyAlignment="1" pivotButton="0" quotePrefix="0" xfId="11">
      <alignment horizontal="justify" wrapText="1"/>
    </xf>
    <xf numFmtId="0" fontId="61" fillId="6" borderId="0" applyAlignment="1" pivotButton="0" quotePrefix="0" xfId="0">
      <alignment horizontal="justify" wrapText="1"/>
    </xf>
    <xf numFmtId="0" fontId="50" fillId="6" borderId="0" applyAlignment="1" pivotButton="0" quotePrefix="0" xfId="0">
      <alignment horizontal="left"/>
    </xf>
    <xf numFmtId="0" fontId="50" fillId="6" borderId="1" applyAlignment="1" pivotButton="0" quotePrefix="0" xfId="0">
      <alignment horizontal="left"/>
    </xf>
    <xf numFmtId="0" fontId="5" fillId="6" borderId="0" applyAlignment="1" pivotButton="0" quotePrefix="0" xfId="0">
      <alignment wrapText="1"/>
    </xf>
    <xf numFmtId="0" fontId="47" fillId="6" borderId="0" applyAlignment="1" pivotButton="0" quotePrefix="0" xfId="11">
      <alignment wrapText="1"/>
    </xf>
    <xf numFmtId="0" fontId="62" fillId="6" borderId="0" applyAlignment="1" pivotButton="0" quotePrefix="0" xfId="0">
      <alignment horizontal="left"/>
    </xf>
    <xf numFmtId="0" fontId="32" fillId="6" borderId="0" applyAlignment="1" pivotButton="0" quotePrefix="0" xfId="0">
      <alignment horizontal="left"/>
    </xf>
    <xf numFmtId="191" fontId="32" fillId="6" borderId="0" applyAlignment="1" pivotButton="0" quotePrefix="0" xfId="0">
      <alignment horizontal="left" wrapText="1"/>
    </xf>
    <xf numFmtId="195" fontId="32" fillId="6" borderId="0" applyAlignment="1" pivotButton="0" quotePrefix="0" xfId="0">
      <alignment horizontal="left"/>
    </xf>
    <xf numFmtId="191" fontId="34" fillId="6" borderId="11" applyAlignment="1" pivotButton="0" quotePrefix="0" xfId="0">
      <alignment horizontal="left" wrapText="1"/>
    </xf>
    <xf numFmtId="195" fontId="34" fillId="6" borderId="11" applyAlignment="1" pivotButton="0" quotePrefix="0" xfId="0">
      <alignment horizontal="left"/>
    </xf>
    <xf numFmtId="0" fontId="34" fillId="6" borderId="1" applyAlignment="1" pivotButton="0" quotePrefix="0" xfId="0">
      <alignment horizontal="left"/>
    </xf>
    <xf numFmtId="0" fontId="34" fillId="17" borderId="0" pivotButton="0" quotePrefix="0" xfId="0"/>
    <xf numFmtId="0" fontId="39" fillId="17" borderId="0" applyAlignment="1" pivotButton="0" quotePrefix="0" xfId="10">
      <alignment horizontal="center"/>
    </xf>
    <xf numFmtId="169" fontId="32" fillId="6" borderId="0" applyAlignment="1" pivotButton="0" quotePrefix="0" xfId="11">
      <alignment horizontal="center" wrapText="1"/>
    </xf>
    <xf numFmtId="169" fontId="0" fillId="6" borderId="0" applyAlignment="1" pivotButton="0" quotePrefix="0" xfId="0">
      <alignment horizontal="center" wrapText="1"/>
    </xf>
    <xf numFmtId="0" fontId="39" fillId="19" borderId="0" pivotButton="0" quotePrefix="0" xfId="0"/>
    <xf numFmtId="169" fontId="31" fillId="19" borderId="0" applyAlignment="1" pivotButton="0" quotePrefix="0" xfId="11">
      <alignment horizontal="center" wrapText="1"/>
    </xf>
    <xf numFmtId="0" fontId="5" fillId="6" borderId="0" pivotButton="0" quotePrefix="0" xfId="0"/>
    <xf numFmtId="0" fontId="34" fillId="6" borderId="1" pivotButton="0" quotePrefix="0" xfId="0"/>
    <xf numFmtId="169" fontId="32" fillId="6" borderId="1" applyAlignment="1" pivotButton="0" quotePrefix="0" xfId="0">
      <alignment horizontal="center" wrapText="1"/>
    </xf>
    <xf numFmtId="169" fontId="0" fillId="6" borderId="1" applyAlignment="1" pivotButton="0" quotePrefix="0" xfId="0">
      <alignment horizontal="center" wrapText="1"/>
    </xf>
    <xf numFmtId="169" fontId="32" fillId="5" borderId="0" applyAlignment="1" pivotButton="0" quotePrefix="0" xfId="0">
      <alignment horizontal="center" wrapText="1"/>
    </xf>
    <xf numFmtId="169" fontId="0" fillId="5" borderId="0" applyAlignment="1" pivotButton="0" quotePrefix="0" xfId="0">
      <alignment horizontal="center" wrapText="1"/>
    </xf>
    <xf numFmtId="169" fontId="32" fillId="5" borderId="1" applyAlignment="1" pivotButton="0" quotePrefix="0" xfId="11">
      <alignment horizontal="center" wrapText="1"/>
    </xf>
    <xf numFmtId="169" fontId="0" fillId="5" borderId="1" applyAlignment="1" pivotButton="0" quotePrefix="0" xfId="0">
      <alignment horizontal="center" wrapText="1"/>
    </xf>
    <xf numFmtId="0" fontId="58" fillId="19" borderId="0" applyAlignment="1" pivotButton="0" quotePrefix="0" xfId="0">
      <alignment horizontal="center" wrapText="1"/>
    </xf>
    <xf numFmtId="0" fontId="44" fillId="10" borderId="1" pivotButton="0" quotePrefix="0" xfId="0"/>
    <xf numFmtId="0" fontId="0" fillId="6" borderId="0" applyAlignment="1" pivotButton="0" quotePrefix="0" xfId="0">
      <alignment horizontal="left" wrapText="1" indent="1"/>
    </xf>
    <xf numFmtId="0" fontId="47" fillId="5" borderId="0" applyAlignment="1" pivotButton="0" quotePrefix="0" xfId="11">
      <alignment horizontal="left" wrapText="1"/>
    </xf>
    <xf numFmtId="0" fontId="5" fillId="5" borderId="0" applyAlignment="1" pivotButton="0" quotePrefix="0" xfId="0">
      <alignment wrapText="1"/>
    </xf>
    <xf numFmtId="0" fontId="32" fillId="6" borderId="0" applyAlignment="1" pivotButton="0" quotePrefix="0" xfId="0">
      <alignment horizontal="left" vertical="center" indent="1"/>
    </xf>
    <xf numFmtId="191" fontId="34" fillId="6" borderId="9" applyAlignment="1" pivotButton="0" quotePrefix="0" xfId="0">
      <alignment horizontal="left" vertical="center" wrapText="1"/>
    </xf>
    <xf numFmtId="195" fontId="34" fillId="6" borderId="9" applyAlignment="1" pivotButton="0" quotePrefix="0" xfId="0">
      <alignment horizontal="left" vertical="center"/>
    </xf>
    <xf numFmtId="0" fontId="48" fillId="5" borderId="0" pivotButton="0" quotePrefix="0" xfId="0"/>
    <xf numFmtId="0" fontId="48" fillId="5" borderId="0" applyAlignment="1" pivotButton="0" quotePrefix="0" xfId="0">
      <alignment horizontal="left"/>
    </xf>
    <xf numFmtId="10" fontId="48" fillId="5" borderId="0" applyAlignment="1" pivotButton="0" quotePrefix="0" xfId="0">
      <alignment horizontal="left"/>
    </xf>
    <xf numFmtId="0" fontId="32" fillId="5" borderId="0" applyAlignment="1" pivotButton="0" quotePrefix="0" xfId="0">
      <alignment horizontal="justify" vertical="top" wrapText="1"/>
    </xf>
    <xf numFmtId="0" fontId="32" fillId="5" borderId="0" applyAlignment="1" pivotButton="0" quotePrefix="0" xfId="0">
      <alignment horizontal="justify" vertical="top"/>
    </xf>
    <xf numFmtId="179" fontId="32" fillId="5" borderId="0" applyAlignment="1" pivotButton="0" quotePrefix="0" xfId="0">
      <alignment horizontal="justify" vertical="top"/>
    </xf>
    <xf numFmtId="0" fontId="48" fillId="5" borderId="0" applyAlignment="1" pivotButton="0" quotePrefix="0" xfId="11">
      <alignment horizontal="justify" vertical="top" wrapText="1"/>
    </xf>
    <xf numFmtId="0" fontId="48" fillId="5" borderId="67" applyAlignment="1" pivotButton="0" quotePrefix="0" xfId="11">
      <alignment horizontal="justify" vertical="top" wrapText="1"/>
    </xf>
    <xf numFmtId="0" fontId="48" fillId="5" borderId="0" applyAlignment="1" pivotButton="0" quotePrefix="0" xfId="0">
      <alignment vertical="top"/>
    </xf>
    <xf numFmtId="0" fontId="48" fillId="5" borderId="0" applyAlignment="1" pivotButton="0" quotePrefix="0" xfId="0">
      <alignment horizontal="justify" vertical="top" wrapText="1"/>
    </xf>
    <xf numFmtId="0" fontId="1" fillId="5" borderId="0" pivotButton="0" quotePrefix="0" xfId="0"/>
    <xf numFmtId="0" fontId="0" fillId="5" borderId="0" applyAlignment="1" pivotButton="0" quotePrefix="0" xfId="0">
      <alignment wrapText="1"/>
    </xf>
    <xf numFmtId="0" fontId="0" fillId="5" borderId="1" pivotButton="0" quotePrefix="0" xfId="0"/>
    <xf numFmtId="0" fontId="32" fillId="5" borderId="0" applyAlignment="1" pivotButton="0" quotePrefix="0" xfId="0">
      <alignment horizontal="justify" vertical="center" wrapText="1"/>
    </xf>
    <xf numFmtId="37" fontId="32" fillId="5" borderId="0" applyAlignment="1" pivotButton="0" quotePrefix="0" xfId="0">
      <alignment horizontal="justify" vertical="center" wrapText="1"/>
    </xf>
    <xf numFmtId="0" fontId="32" fillId="5" borderId="69" applyAlignment="1" pivotButton="0" quotePrefix="0" xfId="0">
      <alignment horizontal="left" vertical="top" wrapText="1"/>
    </xf>
    <xf numFmtId="0" fontId="32" fillId="5" borderId="70" applyAlignment="1" pivotButton="0" quotePrefix="0" xfId="0">
      <alignment horizontal="left" vertical="top" wrapText="1"/>
    </xf>
    <xf numFmtId="0" fontId="48" fillId="5" borderId="70" applyAlignment="1" pivotButton="0" quotePrefix="0" xfId="0">
      <alignment horizontal="left" vertical="top" wrapText="1"/>
    </xf>
    <xf numFmtId="0" fontId="48" fillId="5" borderId="71" applyAlignment="1" pivotButton="0" quotePrefix="0" xfId="0">
      <alignment horizontal="left" vertical="top" wrapText="1"/>
    </xf>
    <xf numFmtId="197" fontId="17" fillId="0" borderId="0" applyAlignment="1" pivotButton="0" quotePrefix="0" xfId="3">
      <alignment horizontal="right"/>
    </xf>
    <xf numFmtId="197" fontId="19" fillId="3" borderId="1" applyAlignment="1" pivotButton="0" quotePrefix="0" xfId="3">
      <alignment horizontal="right"/>
    </xf>
    <xf numFmtId="3" fontId="60" fillId="10" borderId="0" applyAlignment="1" pivotButton="0" quotePrefix="0" xfId="0">
      <alignment horizontal="left" indent="1"/>
    </xf>
    <xf numFmtId="0" fontId="34" fillId="5" borderId="74" pivotButton="0" quotePrefix="0" xfId="0"/>
    <xf numFmtId="0" fontId="34" fillId="5" borderId="0" pivotButton="0" quotePrefix="0" xfId="0"/>
    <xf numFmtId="0" fontId="32" fillId="6" borderId="61" pivotButton="0" quotePrefix="0" xfId="0"/>
    <xf numFmtId="0" fontId="32" fillId="6" borderId="62" pivotButton="0" quotePrefix="0" xfId="0"/>
    <xf numFmtId="0" fontId="34" fillId="5" borderId="63" pivotButton="0" quotePrefix="0" xfId="0"/>
    <xf numFmtId="0" fontId="32" fillId="6" borderId="12" pivotButton="0" quotePrefix="0" xfId="0"/>
    <xf numFmtId="0" fontId="34" fillId="5" borderId="13" pivotButton="0" quotePrefix="0" xfId="0"/>
    <xf numFmtId="0" fontId="32" fillId="0" borderId="13" pivotButton="0" quotePrefix="0" xfId="0"/>
    <xf numFmtId="0" fontId="32" fillId="6" borderId="13" pivotButton="0" quotePrefix="0" xfId="0"/>
    <xf numFmtId="0" fontId="32" fillId="6" borderId="31" pivotButton="0" quotePrefix="0" xfId="0"/>
    <xf numFmtId="0" fontId="32" fillId="6" borderId="33" pivotButton="0" quotePrefix="0" xfId="0"/>
    <xf numFmtId="0" fontId="32" fillId="6" borderId="32" pivotButton="0" quotePrefix="0" xfId="0"/>
    <xf numFmtId="0" fontId="34" fillId="5" borderId="72" pivotButton="0" quotePrefix="0" xfId="0"/>
    <xf numFmtId="9" fontId="32" fillId="0" borderId="0" pivotButton="0" quotePrefix="0" xfId="4"/>
    <xf numFmtId="3" fontId="17" fillId="0" borderId="0" pivotButton="0" quotePrefix="0" xfId="0"/>
    <xf numFmtId="0" fontId="47" fillId="5" borderId="2" applyAlignment="1" pivotButton="0" quotePrefix="0" xfId="0">
      <alignment horizontal="right" vertical="center" wrapText="1"/>
    </xf>
    <xf numFmtId="0" fontId="49" fillId="5" borderId="2" applyAlignment="1" pivotButton="0" quotePrefix="0" xfId="0">
      <alignment horizontal="right" vertical="center"/>
    </xf>
    <xf numFmtId="165" fontId="49" fillId="5" borderId="2" applyAlignment="1" pivotButton="0" quotePrefix="0" xfId="3">
      <alignment horizontal="right" vertical="center"/>
    </xf>
    <xf numFmtId="0" fontId="49" fillId="5" borderId="2" applyAlignment="1" pivotButton="0" quotePrefix="0" xfId="0">
      <alignment horizontal="right" vertical="center" wrapText="1"/>
    </xf>
    <xf numFmtId="165" fontId="41" fillId="5" borderId="2" applyAlignment="1" pivotButton="0" quotePrefix="0" xfId="3">
      <alignment horizontal="right" vertical="center" wrapText="1"/>
    </xf>
    <xf numFmtId="0" fontId="48" fillId="5" borderId="2" applyAlignment="1" pivotButton="0" quotePrefix="0" xfId="0">
      <alignment horizontal="right" vertical="center" wrapText="1" justifyLastLine="1"/>
    </xf>
    <xf numFmtId="0" fontId="48" fillId="5" borderId="2" applyAlignment="1" pivotButton="0" quotePrefix="0" xfId="0">
      <alignment horizontal="right" vertical="center" justifyLastLine="1"/>
    </xf>
    <xf numFmtId="180" fontId="49" fillId="5" borderId="2" applyAlignment="1" pivotButton="0" quotePrefix="0" xfId="0">
      <alignment horizontal="right" vertical="center" justifyLastLine="1"/>
    </xf>
    <xf numFmtId="169" fontId="48" fillId="5" borderId="2" applyAlignment="1" pivotButton="0" quotePrefix="0" xfId="3">
      <alignment horizontal="right" vertical="center" justifyLastLine="1"/>
    </xf>
    <xf numFmtId="3" fontId="48" fillId="5" borderId="2" applyAlignment="1" pivotButton="0" quotePrefix="0" xfId="2">
      <alignment horizontal="right" vertical="center" justifyLastLine="1"/>
    </xf>
    <xf numFmtId="169" fontId="49" fillId="5" borderId="40" applyAlignment="1" pivotButton="0" quotePrefix="0" xfId="3">
      <alignment horizontal="right" vertical="center" wrapText="1" justifyLastLine="1"/>
    </xf>
    <xf numFmtId="169" fontId="49" fillId="5" borderId="2" applyAlignment="1" pivotButton="0" quotePrefix="0" xfId="3">
      <alignment horizontal="right" vertical="center" wrapText="1" justifyLastLine="1"/>
    </xf>
    <xf numFmtId="1" fontId="52" fillId="5" borderId="15" applyAlignment="1" pivotButton="0" quotePrefix="0" xfId="0">
      <alignment horizontal="right" vertical="center"/>
    </xf>
    <xf numFmtId="186" fontId="44" fillId="5" borderId="37" applyAlignment="1" pivotButton="0" quotePrefix="0" xfId="4">
      <alignment horizontal="right" vertical="center"/>
    </xf>
    <xf numFmtId="170" fontId="52" fillId="5" borderId="14" applyAlignment="1" pivotButton="0" quotePrefix="0" xfId="3">
      <alignment horizontal="right" vertical="center"/>
    </xf>
    <xf numFmtId="186" fontId="44" fillId="5" borderId="14" applyAlignment="1" pivotButton="0" quotePrefix="0" xfId="4">
      <alignment horizontal="right" vertical="center"/>
    </xf>
    <xf numFmtId="170" fontId="44" fillId="5" borderId="14" applyAlignment="1" pivotButton="0" quotePrefix="0" xfId="3">
      <alignment horizontal="right" vertical="center"/>
    </xf>
    <xf numFmtId="186" fontId="44" fillId="5" borderId="2" applyAlignment="1" pivotButton="0" quotePrefix="0" xfId="4">
      <alignment horizontal="right" vertical="center"/>
    </xf>
    <xf numFmtId="170" fontId="52" fillId="5" borderId="2" applyAlignment="1" pivotButton="0" quotePrefix="0" xfId="3">
      <alignment horizontal="right" vertical="center"/>
    </xf>
    <xf numFmtId="170" fontId="44" fillId="5" borderId="2" applyAlignment="1" pivotButton="0" quotePrefix="0" xfId="3">
      <alignment horizontal="right" vertical="center"/>
    </xf>
    <xf numFmtId="186" fontId="43" fillId="5" borderId="14" applyAlignment="1" pivotButton="0" quotePrefix="0" xfId="4">
      <alignment horizontal="right" vertical="center"/>
    </xf>
    <xf numFmtId="186" fontId="53" fillId="5" borderId="14" applyAlignment="1" pivotButton="0" quotePrefix="0" xfId="4">
      <alignment horizontal="right" vertical="center"/>
    </xf>
    <xf numFmtId="186" fontId="52" fillId="5" borderId="14" applyAlignment="1" pivotButton="0" quotePrefix="0" xfId="4">
      <alignment horizontal="right" vertical="center"/>
    </xf>
    <xf numFmtId="186" fontId="43" fillId="5" borderId="2" applyAlignment="1" pivotButton="0" quotePrefix="0" xfId="4">
      <alignment horizontal="right" vertical="center"/>
    </xf>
    <xf numFmtId="186" fontId="53" fillId="5" borderId="2" applyAlignment="1" pivotButton="0" quotePrefix="0" xfId="4">
      <alignment horizontal="right" vertical="center"/>
    </xf>
    <xf numFmtId="186" fontId="52" fillId="5" borderId="2" applyAlignment="1" pivotButton="0" quotePrefix="0" xfId="4">
      <alignment horizontal="right" vertical="center"/>
    </xf>
    <xf numFmtId="0" fontId="5" fillId="5" borderId="61" pivotButton="0" quotePrefix="0" xfId="0"/>
    <xf numFmtId="0" fontId="5" fillId="5" borderId="62" pivotButton="0" quotePrefix="0" xfId="0"/>
    <xf numFmtId="0" fontId="5" fillId="5" borderId="63" applyAlignment="1" pivotButton="0" quotePrefix="0" xfId="0">
      <alignment horizontal="right"/>
    </xf>
    <xf numFmtId="0" fontId="5" fillId="5" borderId="12" pivotButton="0" quotePrefix="0" xfId="0"/>
    <xf numFmtId="0" fontId="5" fillId="5" borderId="13" applyAlignment="1" pivotButton="0" quotePrefix="0" xfId="0">
      <alignment horizontal="right"/>
    </xf>
    <xf numFmtId="0" fontId="5" fillId="5" borderId="31" pivotButton="0" quotePrefix="0" xfId="0"/>
    <xf numFmtId="0" fontId="5" fillId="5" borderId="33" pivotButton="0" quotePrefix="0" xfId="0"/>
    <xf numFmtId="0" fontId="5" fillId="5" borderId="32" applyAlignment="1" pivotButton="0" quotePrefix="0" xfId="0">
      <alignment horizontal="right"/>
    </xf>
    <xf numFmtId="170" fontId="0" fillId="5" borderId="0" pivotButton="0" quotePrefix="0" xfId="0"/>
    <xf numFmtId="170" fontId="4" fillId="5" borderId="0" applyAlignment="1" pivotButton="0" quotePrefix="0" xfId="0">
      <alignment vertical="center"/>
    </xf>
    <xf numFmtId="37" fontId="4" fillId="5" borderId="0" pivotButton="0" quotePrefix="0" xfId="0"/>
    <xf numFmtId="3" fontId="4" fillId="5" borderId="0" applyAlignment="1" pivotButton="0" quotePrefix="0" xfId="0">
      <alignment vertical="center"/>
    </xf>
    <xf numFmtId="3" fontId="19" fillId="5" borderId="11" applyAlignment="1" pivotButton="0" quotePrefix="0" xfId="0">
      <alignment horizontal="center"/>
    </xf>
    <xf numFmtId="165" fontId="19" fillId="5" borderId="11" applyAlignment="1" pivotButton="0" quotePrefix="0" xfId="0">
      <alignment horizontal="center"/>
    </xf>
    <xf numFmtId="3" fontId="17" fillId="5" borderId="0" applyAlignment="1" pivotButton="0" quotePrefix="0" xfId="0">
      <alignment horizontal="center"/>
    </xf>
    <xf numFmtId="165" fontId="17" fillId="5" borderId="0" applyAlignment="1" pivotButton="0" quotePrefix="0" xfId="0">
      <alignment horizontal="center"/>
    </xf>
    <xf numFmtId="165" fontId="17" fillId="5" borderId="0" applyAlignment="1" pivotButton="0" quotePrefix="0" xfId="0">
      <alignment vertical="center"/>
    </xf>
    <xf numFmtId="0" fontId="4" fillId="5" borderId="1" pivotButton="0" quotePrefix="0" xfId="0"/>
    <xf numFmtId="3" fontId="4" fillId="5" borderId="1" applyAlignment="1" pivotButton="0" quotePrefix="0" xfId="0">
      <alignment horizontal="left"/>
    </xf>
    <xf numFmtId="3" fontId="4" fillId="5" borderId="1" applyAlignment="1" pivotButton="0" quotePrefix="0" xfId="0">
      <alignment horizontal="center"/>
    </xf>
    <xf numFmtId="165" fontId="4" fillId="5" borderId="1" pivotButton="0" quotePrefix="0" xfId="0"/>
    <xf numFmtId="0" fontId="32" fillId="5" borderId="0" pivotButton="0" quotePrefix="0" xfId="0"/>
    <xf numFmtId="0" fontId="3" fillId="5" borderId="0" pivotButton="0" quotePrefix="0" xfId="0"/>
    <xf numFmtId="0" fontId="3" fillId="5" borderId="0" applyAlignment="1" pivotButton="0" quotePrefix="0" xfId="0">
      <alignment vertical="center"/>
    </xf>
    <xf numFmtId="0" fontId="33" fillId="5" borderId="61" applyAlignment="1" pivotButton="0" quotePrefix="0" xfId="0">
      <alignment horizontal="left" vertical="center"/>
    </xf>
    <xf numFmtId="0" fontId="34" fillId="5" borderId="62" pivotButton="0" quotePrefix="0" xfId="0"/>
    <xf numFmtId="0" fontId="3" fillId="5" borderId="13" pivotButton="0" quotePrefix="0" xfId="0"/>
    <xf numFmtId="0" fontId="3" fillId="5" borderId="13" applyAlignment="1" pivotButton="0" quotePrefix="0" xfId="0">
      <alignment vertical="center"/>
    </xf>
    <xf numFmtId="0" fontId="3" fillId="5" borderId="12" pivotButton="0" quotePrefix="0" xfId="0"/>
    <xf numFmtId="0" fontId="3" fillId="5" borderId="31" pivotButton="0" quotePrefix="0" xfId="0"/>
    <xf numFmtId="0" fontId="3" fillId="5" borderId="33" pivotButton="0" quotePrefix="0" xfId="0"/>
    <xf numFmtId="0" fontId="3" fillId="5" borderId="32" pivotButton="0" quotePrefix="0" xfId="0"/>
    <xf numFmtId="0" fontId="8" fillId="0" borderId="0" applyAlignment="1" pivotButton="0" quotePrefix="1" xfId="0">
      <alignment horizontal="center" vertical="center"/>
    </xf>
    <xf numFmtId="164" fontId="23" fillId="0" borderId="0" applyAlignment="1" pivotButton="0" quotePrefix="0" xfId="0">
      <alignment horizontal="center"/>
    </xf>
    <xf numFmtId="0" fontId="25" fillId="0" borderId="0" applyAlignment="1" pivotButton="0" quotePrefix="0" xfId="0">
      <alignment horizontal="center"/>
    </xf>
    <xf numFmtId="169" fontId="32" fillId="0" borderId="0" pivotButton="0" quotePrefix="0" xfId="0"/>
    <xf numFmtId="169" fontId="4" fillId="0" borderId="0" pivotButton="0" quotePrefix="0" xfId="0"/>
    <xf numFmtId="0" fontId="3" fillId="0" borderId="0" pivotButton="0" quotePrefix="0" xfId="0"/>
    <xf numFmtId="0" fontId="32" fillId="0" borderId="0" applyAlignment="1" pivotButton="0" quotePrefix="0" xfId="0">
      <alignment horizontal="center"/>
    </xf>
    <xf numFmtId="0" fontId="23" fillId="0" borderId="0" applyAlignment="1" pivotButton="0" quotePrefix="0" xfId="0">
      <alignment horizontal="center"/>
    </xf>
    <xf numFmtId="169" fontId="7" fillId="0" borderId="0" pivotButton="0" quotePrefix="0" xfId="0"/>
    <xf numFmtId="0" fontId="3" fillId="0" borderId="0" applyAlignment="1" pivotButton="0" quotePrefix="0" xfId="0">
      <alignment vertical="center"/>
    </xf>
    <xf numFmtId="169" fontId="23" fillId="0" borderId="0" applyAlignment="1" pivotButton="0" quotePrefix="0" xfId="0">
      <alignment vertical="center"/>
    </xf>
    <xf numFmtId="14" fontId="44" fillId="5" borderId="9" applyAlignment="1" pivotButton="0" quotePrefix="0" xfId="8">
      <alignment horizontal="center" vertical="center" wrapText="1"/>
    </xf>
    <xf numFmtId="188" fontId="44" fillId="5" borderId="9" applyAlignment="1" pivotButton="0" quotePrefix="0" xfId="8">
      <alignment horizontal="right" vertical="center"/>
    </xf>
    <xf numFmtId="189" fontId="44" fillId="5" borderId="9" applyAlignment="1" pivotButton="0" quotePrefix="0" xfId="8">
      <alignment horizontal="right" vertical="center" wrapText="1"/>
    </xf>
    <xf numFmtId="3" fontId="44" fillId="5" borderId="9" applyAlignment="1" pivotButton="0" quotePrefix="0" xfId="8">
      <alignment horizontal="right" vertical="center"/>
    </xf>
    <xf numFmtId="3" fontId="44" fillId="5" borderId="9" applyAlignment="1" pivotButton="0" quotePrefix="0" xfId="8">
      <alignment horizontal="center" vertical="center"/>
    </xf>
    <xf numFmtId="1" fontId="44" fillId="5" borderId="9" applyAlignment="1" pivotButton="0" quotePrefix="0" xfId="8">
      <alignment horizontal="center" vertical="center" wrapText="1"/>
    </xf>
    <xf numFmtId="10" fontId="1" fillId="5" borderId="0" applyAlignment="1" pivotButton="0" quotePrefix="0" xfId="8">
      <alignment horizontal="center" vertical="center"/>
    </xf>
    <xf numFmtId="10" fontId="48" fillId="5" borderId="0" applyAlignment="1" pivotButton="0" quotePrefix="0" xfId="8">
      <alignment horizontal="center" vertical="center" wrapText="1"/>
    </xf>
    <xf numFmtId="10" fontId="1" fillId="5" borderId="1" applyAlignment="1" pivotButton="0" quotePrefix="0" xfId="8">
      <alignment horizontal="center" vertical="center"/>
    </xf>
    <xf numFmtId="10" fontId="48" fillId="5" borderId="1" applyAlignment="1" pivotButton="0" quotePrefix="0" xfId="8">
      <alignment horizontal="center" vertical="center" wrapText="1"/>
    </xf>
    <xf numFmtId="0" fontId="1" fillId="6" borderId="1" pivotButton="0" quotePrefix="0" xfId="9"/>
    <xf numFmtId="14" fontId="1" fillId="6" borderId="1" pivotButton="0" quotePrefix="0" xfId="9"/>
    <xf numFmtId="188" fontId="1" fillId="6" borderId="1" pivotButton="0" quotePrefix="0" xfId="9"/>
    <xf numFmtId="167" fontId="1" fillId="6" borderId="1" pivotButton="0" quotePrefix="0" xfId="9"/>
    <xf numFmtId="3" fontId="1" fillId="6" borderId="1" pivotButton="0" quotePrefix="0" xfId="9"/>
    <xf numFmtId="0" fontId="5" fillId="6" borderId="0" applyAlignment="1" pivotButton="0" quotePrefix="0" xfId="8">
      <alignment horizontal="center"/>
    </xf>
    <xf numFmtId="0" fontId="48" fillId="5" borderId="1" pivotButton="0" quotePrefix="0" xfId="0"/>
    <xf numFmtId="0" fontId="48" fillId="5" borderId="0" applyAlignment="1" pivotButton="0" quotePrefix="0" xfId="0">
      <alignment horizontal="center"/>
    </xf>
    <xf numFmtId="0" fontId="44" fillId="5" borderId="9" applyAlignment="1" pivotButton="0" quotePrefix="0" xfId="0">
      <alignment horizontal="center"/>
    </xf>
    <xf numFmtId="167" fontId="48" fillId="5" borderId="9" applyAlignment="1" pivotButton="0" quotePrefix="0" xfId="0">
      <alignment horizontal="center"/>
    </xf>
    <xf numFmtId="0" fontId="48" fillId="5" borderId="9" applyAlignment="1" pivotButton="0" quotePrefix="0" xfId="0">
      <alignment horizontal="center"/>
    </xf>
    <xf numFmtId="0" fontId="48" fillId="5" borderId="1" applyAlignment="1" pivotButton="0" quotePrefix="0" xfId="0">
      <alignment horizontal="center"/>
    </xf>
    <xf numFmtId="0" fontId="30" fillId="19" borderId="0" applyAlignment="1" pivotButton="0" quotePrefix="0" xfId="0">
      <alignment horizontal="center" vertical="center"/>
    </xf>
    <xf numFmtId="0" fontId="30" fillId="19"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right" vertical="center"/>
    </xf>
    <xf numFmtId="180" fontId="41" fillId="5" borderId="16" applyAlignment="1" pivotButton="0" quotePrefix="0" xfId="0">
      <alignment horizontal="center" vertical="center" wrapText="1"/>
    </xf>
    <xf numFmtId="9" fontId="5" fillId="5" borderId="0" applyAlignment="1" pivotButton="0" quotePrefix="0" xfId="4">
      <alignment horizontal="center" vertical="center"/>
    </xf>
    <xf numFmtId="3" fontId="41" fillId="5" borderId="16" applyAlignment="1" pivotButton="0" quotePrefix="0" xfId="0">
      <alignment horizontal="center" vertical="center" wrapText="1"/>
    </xf>
    <xf numFmtId="0" fontId="41" fillId="5" borderId="16" applyAlignment="1" pivotButton="0" quotePrefix="0" xfId="0">
      <alignment horizontal="center" vertical="center" wrapText="1"/>
    </xf>
    <xf numFmtId="2" fontId="41" fillId="5" borderId="16" applyAlignment="1" pivotButton="0" quotePrefix="0" xfId="4">
      <alignment horizontal="center" vertical="center" wrapText="1"/>
    </xf>
    <xf numFmtId="9" fontId="41" fillId="5" borderId="21" applyAlignment="1" pivotButton="0" quotePrefix="0" xfId="4">
      <alignment horizontal="center" vertical="center" wrapText="1"/>
    </xf>
    <xf numFmtId="9" fontId="5" fillId="5" borderId="14" applyAlignment="1" pivotButton="0" quotePrefix="0" xfId="4">
      <alignment horizontal="center" vertical="center"/>
    </xf>
    <xf numFmtId="0" fontId="32" fillId="5" borderId="0" applyAlignment="1" pivotButton="0" quotePrefix="0" xfId="1">
      <alignment horizontal="left" vertical="top" wrapText="1"/>
    </xf>
    <xf numFmtId="0" fontId="32" fillId="5" borderId="0" applyAlignment="1" pivotButton="0" quotePrefix="0" xfId="1">
      <alignment horizontal="left" vertical="top"/>
    </xf>
    <xf numFmtId="3" fontId="32" fillId="5" borderId="0" applyAlignment="1" pivotButton="0" quotePrefix="0" xfId="1">
      <alignment horizontal="left" vertical="top"/>
    </xf>
    <xf numFmtId="14" fontId="32" fillId="5" borderId="0" applyAlignment="1" pivotButton="0" quotePrefix="0" xfId="1">
      <alignment horizontal="left" vertical="top"/>
    </xf>
    <xf numFmtId="14" fontId="39" fillId="19" borderId="18" pivotButton="0" quotePrefix="0" xfId="0"/>
    <xf numFmtId="0" fontId="31" fillId="19" borderId="36" pivotButton="0" quotePrefix="0" xfId="0"/>
    <xf numFmtId="0" fontId="5" fillId="0" borderId="4" pivotButton="0" quotePrefix="0" xfId="0"/>
    <xf numFmtId="0" fontId="0" fillId="5" borderId="2" pivotButton="0" quotePrefix="0" xfId="0"/>
    <xf numFmtId="169" fontId="0" fillId="5" borderId="14" pivotButton="0" quotePrefix="0" xfId="0"/>
    <xf numFmtId="0" fontId="0" fillId="5" borderId="3" pivotButton="0" quotePrefix="0" xfId="0"/>
    <xf numFmtId="169" fontId="0" fillId="5" borderId="4" pivotButton="0" quotePrefix="0" xfId="0"/>
    <xf numFmtId="0" fontId="0" fillId="0" borderId="2" pivotButton="0" quotePrefix="0" xfId="0"/>
    <xf numFmtId="169" fontId="0" fillId="0" borderId="14" pivotButton="0" quotePrefix="0" xfId="3"/>
    <xf numFmtId="0" fontId="0" fillId="0" borderId="3" pivotButton="0" quotePrefix="0" xfId="0"/>
    <xf numFmtId="167" fontId="0" fillId="0" borderId="4" pivotButton="0" quotePrefix="0" xfId="3"/>
    <xf numFmtId="0" fontId="32" fillId="5" borderId="0" applyAlignment="1" pivotButton="0" quotePrefix="0" xfId="1">
      <alignment horizontal="left" vertical="center"/>
    </xf>
    <xf numFmtId="0" fontId="32" fillId="5" borderId="0" applyAlignment="1" pivotButton="0" quotePrefix="0" xfId="0">
      <alignment horizontal="left" vertical="top" wrapText="1"/>
    </xf>
    <xf numFmtId="0" fontId="32" fillId="5" borderId="1" applyAlignment="1" pivotButton="0" quotePrefix="0" xfId="1">
      <alignment horizontal="left" vertical="top" wrapText="1"/>
    </xf>
    <xf numFmtId="0" fontId="34" fillId="6" borderId="9" applyAlignment="1" pivotButton="0" quotePrefix="0" xfId="0">
      <alignment horizontal="center" wrapText="1"/>
    </xf>
    <xf numFmtId="0" fontId="34" fillId="6" borderId="9" applyAlignment="1" pivotButton="0" quotePrefix="0" xfId="0">
      <alignment horizontal="left" wrapText="1"/>
    </xf>
    <xf numFmtId="167" fontId="32" fillId="5" borderId="0" applyAlignment="1" pivotButton="0" quotePrefix="0" xfId="3">
      <alignment horizontal="center"/>
    </xf>
    <xf numFmtId="193" fontId="32" fillId="5" borderId="0" pivotButton="0" quotePrefix="0" xfId="3"/>
    <xf numFmtId="0" fontId="41" fillId="5" borderId="0" pivotButton="0" quotePrefix="0" xfId="0"/>
    <xf numFmtId="0" fontId="48" fillId="5" borderId="0" applyAlignment="1" pivotButton="0" quotePrefix="0" xfId="0">
      <alignment horizontal="center" vertical="center" wrapText="1"/>
    </xf>
    <xf numFmtId="0" fontId="48" fillId="5" borderId="0" applyAlignment="1" pivotButton="0" quotePrefix="0" xfId="0">
      <alignment horizontal="center" wrapText="1"/>
    </xf>
    <xf numFmtId="0" fontId="48" fillId="5" borderId="0" applyAlignment="1" pivotButton="0" quotePrefix="0" xfId="0">
      <alignment horizontal="center" vertical="center"/>
    </xf>
    <xf numFmtId="10" fontId="44" fillId="5" borderId="9" applyAlignment="1" pivotButton="0" quotePrefix="0" xfId="0">
      <alignment horizontal="center" vertical="center"/>
    </xf>
    <xf numFmtId="0" fontId="69" fillId="6" borderId="72" pivotButton="0" quotePrefix="0" xfId="0"/>
    <xf numFmtId="0" fontId="69" fillId="6" borderId="73" pivotButton="0" quotePrefix="0" xfId="0"/>
    <xf numFmtId="0" fontId="69" fillId="6" borderId="74" pivotButton="0" quotePrefix="0" xfId="0"/>
    <xf numFmtId="164" fontId="68" fillId="5" borderId="9" applyAlignment="1" pivotButton="0" quotePrefix="0" xfId="0">
      <alignment horizontal="center" vertical="center" wrapText="1"/>
    </xf>
    <xf numFmtId="0" fontId="25" fillId="19" borderId="6" applyAlignment="1" pivotButton="0" quotePrefix="0" xfId="0">
      <alignment horizontal="center"/>
    </xf>
    <xf numFmtId="0" fontId="6" fillId="19" borderId="0" applyAlignment="1" pivotButton="0" quotePrefix="0" xfId="0">
      <alignment horizontal="left" vertical="center" indent="1"/>
    </xf>
    <xf numFmtId="0" fontId="6" fillId="19" borderId="0" applyAlignment="1" applyProtection="1" pivotButton="0" quotePrefix="0" xfId="0">
      <alignment horizontal="left" vertical="center"/>
      <protection locked="0" hidden="0"/>
    </xf>
    <xf numFmtId="0" fontId="6" fillId="19" borderId="0" applyAlignment="1" applyProtection="1" pivotButton="0" quotePrefix="0" xfId="0">
      <alignment horizontal="centerContinuous"/>
      <protection locked="0" hidden="0"/>
    </xf>
    <xf numFmtId="196" fontId="6" fillId="19" borderId="0" applyAlignment="1" applyProtection="1" pivotButton="0" quotePrefix="0" xfId="0">
      <alignment horizontal="centerContinuous"/>
      <protection locked="0" hidden="0"/>
    </xf>
    <xf numFmtId="0" fontId="6" fillId="19" borderId="0" applyAlignment="1" pivotButton="0" quotePrefix="0" xfId="0">
      <alignment horizontal="left" vertical="center"/>
    </xf>
    <xf numFmtId="0" fontId="22" fillId="19" borderId="0" applyAlignment="1" pivotButton="0" quotePrefix="0" xfId="0">
      <alignment horizontal="left"/>
    </xf>
    <xf numFmtId="0" fontId="6" fillId="19" borderId="0" applyAlignment="1" pivotButton="0" quotePrefix="0" xfId="0">
      <alignment horizontal="centerContinuous"/>
    </xf>
    <xf numFmtId="0" fontId="6" fillId="19" borderId="0" applyAlignment="1" pivotButton="0" quotePrefix="0" xfId="0">
      <alignment horizontal="center" wrapText="1"/>
    </xf>
    <xf numFmtId="0" fontId="6" fillId="19" borderId="0" applyAlignment="1" pivotButton="0" quotePrefix="0" xfId="0">
      <alignment horizontal="center"/>
    </xf>
    <xf numFmtId="0" fontId="25" fillId="19" borderId="0" pivotButton="0" quotePrefix="0" xfId="0"/>
    <xf numFmtId="165" fontId="4" fillId="19" borderId="0" pivotButton="0" quotePrefix="0" xfId="3"/>
    <xf numFmtId="166" fontId="4" fillId="19" borderId="0" pivotButton="0" quotePrefix="0" xfId="3"/>
    <xf numFmtId="0" fontId="4" fillId="19" borderId="0" applyAlignment="1" pivotButton="0" quotePrefix="0" xfId="0">
      <alignment horizontal="center"/>
    </xf>
    <xf numFmtId="167" fontId="4" fillId="19" borderId="0" pivotButton="0" quotePrefix="0" xfId="0"/>
    <xf numFmtId="168" fontId="4" fillId="19" borderId="0" pivotButton="0" quotePrefix="0" xfId="2"/>
    <xf numFmtId="193" fontId="32" fillId="6" borderId="0" pivotButton="0" quotePrefix="0" xfId="3"/>
    <xf numFmtId="193" fontId="1" fillId="6" borderId="0" pivotButton="0" quotePrefix="0" xfId="9"/>
    <xf numFmtId="0" fontId="64" fillId="6" borderId="0" applyAlignment="1" pivotButton="0" quotePrefix="0" xfId="0">
      <alignment horizontal="left" wrapText="1"/>
    </xf>
    <xf numFmtId="0" fontId="0" fillId="6" borderId="0" applyAlignment="1" pivotButton="0" quotePrefix="0" xfId="0">
      <alignment horizontal="left" wrapText="1"/>
    </xf>
    <xf numFmtId="0" fontId="72" fillId="0" borderId="0" pivotButton="0" quotePrefix="0" xfId="0"/>
    <xf numFmtId="0" fontId="0" fillId="6" borderId="0" applyAlignment="1" pivotButton="0" quotePrefix="0" xfId="0">
      <alignment vertical="top"/>
    </xf>
    <xf numFmtId="0" fontId="74" fillId="6" borderId="10" applyAlignment="1" pivotButton="0" quotePrefix="0" xfId="14">
      <alignment horizontal="center" vertical="center" wrapText="1"/>
    </xf>
    <xf numFmtId="0" fontId="15" fillId="6" borderId="0" applyAlignment="1" pivotButton="0" quotePrefix="0" xfId="0">
      <alignment vertical="top"/>
    </xf>
    <xf numFmtId="0" fontId="18" fillId="6" borderId="0" applyAlignment="1" pivotButton="0" quotePrefix="0" xfId="0">
      <alignment horizontal="justify" vertical="top" wrapText="1"/>
    </xf>
    <xf numFmtId="0" fontId="75" fillId="6" borderId="0" pivotButton="0" quotePrefix="0" xfId="0"/>
    <xf numFmtId="0" fontId="48" fillId="6" borderId="0" applyAlignment="1" pivotButton="0" quotePrefix="0" xfId="0">
      <alignment horizontal="justify" vertical="top" wrapText="1"/>
    </xf>
    <xf numFmtId="0" fontId="58" fillId="6" borderId="0" applyAlignment="1" pivotButton="0" quotePrefix="0" xfId="0">
      <alignment horizontal="center" wrapText="1"/>
    </xf>
    <xf numFmtId="49" fontId="0" fillId="5" borderId="0" applyAlignment="1" pivotButton="0" quotePrefix="0" xfId="0">
      <alignment horizontal="center"/>
    </xf>
    <xf numFmtId="167" fontId="0" fillId="5" borderId="0" applyAlignment="1" pivotButton="0" quotePrefix="0" xfId="0">
      <alignment horizontal="center"/>
    </xf>
    <xf numFmtId="198" fontId="0" fillId="5" borderId="0" applyAlignment="1" pivotButton="0" quotePrefix="0" xfId="0">
      <alignment horizontal="center"/>
    </xf>
    <xf numFmtId="198" fontId="0" fillId="0" borderId="0" pivotButton="0" quotePrefix="0" xfId="0"/>
    <xf numFmtId="198" fontId="0" fillId="10" borderId="0" pivotButton="0" quotePrefix="0" xfId="0"/>
    <xf numFmtId="0" fontId="29" fillId="0" borderId="0" applyAlignment="1" pivotButton="0" quotePrefix="0" xfId="0">
      <alignment horizontal="right"/>
    </xf>
    <xf numFmtId="171" fontId="0" fillId="5" borderId="0" applyAlignment="1" pivotButton="0" quotePrefix="0" xfId="0">
      <alignment horizontal="center"/>
    </xf>
    <xf numFmtId="199" fontId="0" fillId="5" borderId="0" applyAlignment="1" pivotButton="0" quotePrefix="0" xfId="0">
      <alignment horizontal="center"/>
    </xf>
    <xf numFmtId="0" fontId="5" fillId="24" borderId="0" pivotButton="0" quotePrefix="0" xfId="0"/>
    <xf numFmtId="49" fontId="0" fillId="0" borderId="0" pivotButton="0" quotePrefix="0" xfId="0"/>
    <xf numFmtId="167" fontId="17" fillId="10" borderId="0" applyAlignment="1" pivotButton="0" quotePrefix="0" xfId="0">
      <alignment vertical="center"/>
    </xf>
    <xf numFmtId="167" fontId="4" fillId="10" borderId="0" applyAlignment="1" pivotButton="0" quotePrefix="0" xfId="0">
      <alignment vertical="center"/>
    </xf>
    <xf numFmtId="198" fontId="4" fillId="10" borderId="0" applyAlignment="1" pivotButton="0" quotePrefix="0" xfId="2">
      <alignment vertical="center"/>
    </xf>
    <xf numFmtId="198" fontId="4" fillId="10" borderId="1" applyAlignment="1" pivotButton="0" quotePrefix="0" xfId="2">
      <alignment vertical="center"/>
    </xf>
    <xf numFmtId="171" fontId="4" fillId="10" borderId="0" applyAlignment="1" pivotButton="0" quotePrefix="0" xfId="0">
      <alignment vertical="center"/>
    </xf>
    <xf numFmtId="199" fontId="4" fillId="10" borderId="0" applyAlignment="1" pivotButton="0" quotePrefix="0" xfId="0">
      <alignment vertical="center"/>
    </xf>
    <xf numFmtId="171" fontId="4" fillId="10" borderId="1" applyAlignment="1" pivotButton="0" quotePrefix="0" xfId="0">
      <alignment vertical="center"/>
    </xf>
    <xf numFmtId="0" fontId="17" fillId="10" borderId="11" applyAlignment="1" pivotButton="0" quotePrefix="0" xfId="0">
      <alignment vertical="center"/>
    </xf>
    <xf numFmtId="3" fontId="17" fillId="10" borderId="11" applyAlignment="1" pivotButton="0" quotePrefix="0" xfId="0">
      <alignment horizontal="left"/>
    </xf>
    <xf numFmtId="0" fontId="17" fillId="10" borderId="0" applyAlignment="1" pivotButton="0" quotePrefix="0" xfId="0">
      <alignment vertical="center"/>
    </xf>
    <xf numFmtId="3" fontId="4" fillId="10" borderId="0" applyAlignment="1" pivotButton="0" quotePrefix="0" xfId="0">
      <alignment horizontal="left"/>
    </xf>
    <xf numFmtId="3" fontId="17" fillId="10" borderId="0" applyAlignment="1" pivotButton="0" quotePrefix="0" xfId="0">
      <alignment horizontal="left" vertical="center"/>
    </xf>
    <xf numFmtId="3" fontId="4" fillId="10" borderId="1" applyAlignment="1" pivotButton="0" quotePrefix="0" xfId="0">
      <alignment horizontal="left"/>
    </xf>
    <xf numFmtId="0" fontId="79" fillId="0" borderId="0" pivotButton="0" quotePrefix="0" xfId="0"/>
    <xf numFmtId="0" fontId="80" fillId="0" borderId="0" pivotButton="0" quotePrefix="0" xfId="0"/>
    <xf numFmtId="167" fontId="81" fillId="5" borderId="0" applyAlignment="1" pivotButton="0" quotePrefix="0" xfId="0">
      <alignment horizontal="center"/>
    </xf>
    <xf numFmtId="198" fontId="81" fillId="5" borderId="0" applyAlignment="1" pivotButton="0" quotePrefix="0" xfId="0">
      <alignment horizontal="center"/>
    </xf>
    <xf numFmtId="0" fontId="79"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0" pivotButton="0" quotePrefix="0" xfId="0"/>
    <xf numFmtId="0" fontId="0" fillId="31" borderId="0" pivotButton="0" quotePrefix="0" xfId="0"/>
    <xf numFmtId="0" fontId="0" fillId="32" borderId="0" pivotButton="0" quotePrefix="0" xfId="0"/>
    <xf numFmtId="0" fontId="0" fillId="33" borderId="0" pivotButton="0" quotePrefix="0" xfId="0"/>
    <xf numFmtId="0" fontId="0" fillId="34" borderId="0" pivotButton="0" quotePrefix="0" xfId="0"/>
    <xf numFmtId="0" fontId="32" fillId="6" borderId="0" applyAlignment="1" pivotButton="0" quotePrefix="0" xfId="11">
      <alignment horizontal="left" wrapText="1"/>
    </xf>
    <xf numFmtId="0" fontId="0" fillId="0" borderId="0" pivotButton="0" quotePrefix="0" xfId="0"/>
    <xf numFmtId="191" fontId="32" fillId="6" borderId="0" applyAlignment="1" pivotButton="0" quotePrefix="0" xfId="11">
      <alignment horizontal="left" vertical="center" wrapText="1"/>
    </xf>
    <xf numFmtId="0" fontId="47" fillId="5" borderId="0" applyAlignment="1" pivotButton="0" quotePrefix="0" xfId="11">
      <alignment horizontal="left" wrapText="1"/>
    </xf>
    <xf numFmtId="0" fontId="32" fillId="6" borderId="0" applyAlignment="1" pivotButton="0" quotePrefix="0" xfId="11">
      <alignment horizontal="left" vertical="center" wrapText="1"/>
    </xf>
    <xf numFmtId="0" fontId="0" fillId="6" borderId="0" applyAlignment="1" pivotButton="0" quotePrefix="0" xfId="0">
      <alignment horizontal="left" wrapText="1"/>
    </xf>
    <xf numFmtId="0" fontId="0" fillId="6" borderId="0" pivotButton="0" quotePrefix="0" xfId="0"/>
    <xf numFmtId="0" fontId="32" fillId="5" borderId="0" applyAlignment="1" pivotButton="0" quotePrefix="0" xfId="11">
      <alignment horizontal="left" vertical="center" wrapText="1"/>
    </xf>
    <xf numFmtId="191" fontId="32" fillId="6" borderId="0" applyAlignment="1" pivotButton="0" quotePrefix="0" xfId="11">
      <alignment horizontal="left" wrapText="1"/>
    </xf>
    <xf numFmtId="1" fontId="39" fillId="19" borderId="0" applyAlignment="1" pivotButton="0" quotePrefix="0" xfId="11">
      <alignment horizontal="left" wrapText="1"/>
    </xf>
    <xf numFmtId="0" fontId="48" fillId="5" borderId="0" applyAlignment="1" pivotButton="0" quotePrefix="0" xfId="0">
      <alignment horizontal="left" vertical="top" wrapText="1"/>
    </xf>
    <xf numFmtId="196" fontId="47" fillId="6" borderId="0" applyAlignment="1" pivotButton="0" quotePrefix="0" xfId="11">
      <alignment horizontal="left" wrapText="1"/>
    </xf>
    <xf numFmtId="0" fontId="64" fillId="6" borderId="0" applyAlignment="1" pivotButton="0" quotePrefix="0" xfId="0">
      <alignment horizontal="left" wrapText="1"/>
    </xf>
    <xf numFmtId="179" fontId="47" fillId="5" borderId="0" applyAlignment="1" pivotButton="0" quotePrefix="0" xfId="11">
      <alignment horizontal="left" wrapText="1"/>
    </xf>
    <xf numFmtId="0" fontId="0" fillId="5" borderId="0" applyAlignment="1" pivotButton="0" quotePrefix="0" xfId="0">
      <alignment horizontal="left" wrapText="1"/>
    </xf>
    <xf numFmtId="0" fontId="0" fillId="5" borderId="1" applyAlignment="1" pivotButton="0" quotePrefix="0" xfId="0">
      <alignment horizontal="center"/>
    </xf>
    <xf numFmtId="0" fontId="0" fillId="0" borderId="1" pivotButton="0" quotePrefix="0" xfId="0"/>
    <xf numFmtId="0" fontId="32" fillId="5" borderId="0" applyAlignment="1" pivotButton="0" quotePrefix="0" xfId="11">
      <alignment horizontal="left" wrapText="1"/>
    </xf>
    <xf numFmtId="0" fontId="18" fillId="5" borderId="1" applyAlignment="1" pivotButton="0" quotePrefix="0" xfId="0">
      <alignment horizontal="left" vertical="top" wrapText="1"/>
    </xf>
    <xf numFmtId="1" fontId="32" fillId="6" borderId="0" applyAlignment="1" pivotButton="0" quotePrefix="0" xfId="11">
      <alignment horizontal="left" vertical="center" wrapText="1"/>
    </xf>
    <xf numFmtId="0" fontId="32" fillId="6" borderId="0" applyAlignment="1" pivotButton="0" quotePrefix="0" xfId="0">
      <alignment horizontal="left" vertical="center" wrapText="1"/>
    </xf>
    <xf numFmtId="171" fontId="32" fillId="6" borderId="0" applyAlignment="1" pivotButton="0" quotePrefix="0" xfId="4">
      <alignment horizontal="left" wrapText="1"/>
    </xf>
    <xf numFmtId="0" fontId="47" fillId="6" borderId="0" applyAlignment="1" pivotButton="0" quotePrefix="0" xfId="11">
      <alignment horizontal="left" wrapText="1"/>
    </xf>
    <xf numFmtId="0" fontId="47" fillId="5" borderId="1" applyAlignment="1" pivotButton="0" quotePrefix="0" xfId="11">
      <alignment horizontal="left" wrapText="1"/>
    </xf>
    <xf numFmtId="0" fontId="32" fillId="6" borderId="1" applyAlignment="1" pivotButton="0" quotePrefix="0" xfId="11">
      <alignment horizontal="left" wrapText="1"/>
    </xf>
    <xf numFmtId="0" fontId="48" fillId="6" borderId="0" applyAlignment="1" pivotButton="0" quotePrefix="0" xfId="0">
      <alignment horizontal="justify" vertical="top" wrapText="1"/>
    </xf>
    <xf numFmtId="0" fontId="58" fillId="16" borderId="0" applyAlignment="1" pivotButton="0" quotePrefix="0" xfId="0">
      <alignment horizontal="center"/>
    </xf>
    <xf numFmtId="179" fontId="47" fillId="6" borderId="0" applyAlignment="1" pivotButton="0" quotePrefix="0" xfId="11">
      <alignment horizontal="left" wrapText="1"/>
    </xf>
    <xf numFmtId="0" fontId="39" fillId="16" borderId="11" applyAlignment="1" pivotButton="0" quotePrefix="0" xfId="10">
      <alignment horizontal="center"/>
    </xf>
    <xf numFmtId="0" fontId="0" fillId="0" borderId="11" pivotButton="0" quotePrefix="0" xfId="0"/>
    <xf numFmtId="0" fontId="32" fillId="5" borderId="0" applyAlignment="1" pivotButton="0" quotePrefix="0" xfId="0">
      <alignment horizontal="left" vertical="center" wrapText="1"/>
    </xf>
    <xf numFmtId="0" fontId="5" fillId="6" borderId="0" applyAlignment="1" pivotButton="0" quotePrefix="0" xfId="0">
      <alignment wrapText="1"/>
    </xf>
    <xf numFmtId="0" fontId="39" fillId="16" borderId="0" applyAlignment="1" pivotButton="0" quotePrefix="0" xfId="10">
      <alignment horizontal="center"/>
    </xf>
    <xf numFmtId="0" fontId="58" fillId="16" borderId="11" applyAlignment="1" pivotButton="0" quotePrefix="0" xfId="0">
      <alignment horizontal="center"/>
    </xf>
    <xf numFmtId="0" fontId="58" fillId="16" borderId="0" applyAlignment="1" pivotButton="0" quotePrefix="0" xfId="0">
      <alignment horizontal="center" wrapText="1"/>
    </xf>
    <xf numFmtId="0" fontId="50" fillId="6" borderId="0" applyAlignment="1" pivotButton="0" quotePrefix="0" xfId="0">
      <alignment horizontal="left" vertical="top" wrapText="1"/>
    </xf>
    <xf numFmtId="3" fontId="0" fillId="5" borderId="0" applyAlignment="1" pivotButton="0" quotePrefix="0" xfId="0">
      <alignment horizontal="left" wrapText="1"/>
    </xf>
    <xf numFmtId="1" fontId="32" fillId="6" borderId="1" applyAlignment="1" pivotButton="0" quotePrefix="0" xfId="11">
      <alignment horizontal="left" vertical="center" wrapText="1"/>
    </xf>
    <xf numFmtId="0" fontId="34" fillId="6" borderId="0" applyAlignment="1" pivotButton="0" quotePrefix="0" xfId="10">
      <alignment horizontal="left"/>
    </xf>
    <xf numFmtId="0" fontId="47" fillId="6" borderId="0" applyAlignment="1" pivotButton="0" quotePrefix="0" xfId="11">
      <alignment horizontal="justify" wrapText="1"/>
    </xf>
    <xf numFmtId="0" fontId="47" fillId="5" borderId="0" applyAlignment="1" pivotButton="0" quotePrefix="0" xfId="11">
      <alignment horizontal="justify" wrapText="1"/>
    </xf>
    <xf numFmtId="0" fontId="18" fillId="5" borderId="0" applyAlignment="1" pivotButton="0" quotePrefix="0" xfId="0">
      <alignment horizontal="left" vertical="top" wrapText="1"/>
    </xf>
    <xf numFmtId="0" fontId="18" fillId="6" borderId="0" applyAlignment="1" pivotButton="0" quotePrefix="0" xfId="0">
      <alignment horizontal="left" vertical="top" wrapText="1"/>
    </xf>
    <xf numFmtId="9" fontId="32" fillId="6" borderId="0" applyAlignment="1" pivotButton="0" quotePrefix="0" xfId="4">
      <alignment horizontal="left" vertical="center" wrapText="1"/>
    </xf>
    <xf numFmtId="0" fontId="0" fillId="6" borderId="0" applyAlignment="1" pivotButton="0" quotePrefix="0" xfId="0">
      <alignment horizontal="center"/>
    </xf>
    <xf numFmtId="0" fontId="58" fillId="16" borderId="0" applyAlignment="1" pivotButton="0" quotePrefix="0" xfId="0">
      <alignment horizontal="center" vertical="top" wrapText="1"/>
    </xf>
    <xf numFmtId="0" fontId="55" fillId="19" borderId="47" applyAlignment="1" pivotButton="0" quotePrefix="0" xfId="0">
      <alignment horizontal="center"/>
    </xf>
    <xf numFmtId="0" fontId="0" fillId="0" borderId="47" pivotButton="0" quotePrefix="0" xfId="0"/>
    <xf numFmtId="0" fontId="48" fillId="5" borderId="0" applyAlignment="1" pivotButton="0" quotePrefix="0" xfId="0">
      <alignment horizontal="left"/>
    </xf>
    <xf numFmtId="0" fontId="8" fillId="16" borderId="0" applyAlignment="1" pivotButton="0" quotePrefix="0" xfId="0">
      <alignment horizontal="center" vertical="center" wrapText="1" justifyLastLine="1"/>
    </xf>
    <xf numFmtId="0" fontId="48" fillId="5" borderId="1" applyAlignment="1" pivotButton="0" quotePrefix="0" xfId="0">
      <alignment horizontal="left"/>
    </xf>
    <xf numFmtId="0" fontId="53" fillId="10" borderId="1" applyAlignment="1" pivotButton="0" quotePrefix="0" xfId="0">
      <alignment horizontal="left" vertical="top" wrapText="1"/>
    </xf>
    <xf numFmtId="10" fontId="48" fillId="6" borderId="5" applyAlignment="1" pivotButton="0" quotePrefix="0" xfId="4">
      <alignment horizontal="center"/>
    </xf>
    <xf numFmtId="0" fontId="0" fillId="0" borderId="5" pivotButton="0" quotePrefix="0" xfId="0"/>
    <xf numFmtId="0" fontId="44" fillId="10" borderId="1" applyAlignment="1" pivotButton="0" quotePrefix="0" xfId="0">
      <alignment horizontal="left" vertical="top"/>
    </xf>
    <xf numFmtId="10" fontId="48" fillId="6" borderId="49" applyAlignment="1" pivotButton="0" quotePrefix="0" xfId="4">
      <alignment horizontal="center"/>
    </xf>
    <xf numFmtId="0" fontId="0" fillId="0" borderId="49" pivotButton="0" quotePrefix="0" xfId="0"/>
    <xf numFmtId="0" fontId="32" fillId="5" borderId="0" applyAlignment="1" pivotButton="0" quotePrefix="0" xfId="11">
      <alignment horizontal="justify" vertical="top" wrapText="1"/>
    </xf>
    <xf numFmtId="0" fontId="39" fillId="16" borderId="0" applyAlignment="1" pivotButton="0" quotePrefix="0" xfId="10">
      <alignment horizontal="center" vertical="center"/>
    </xf>
    <xf numFmtId="0" fontId="32" fillId="5" borderId="1" applyAlignment="1" pivotButton="0" quotePrefix="0" xfId="11">
      <alignment horizontal="justify" vertical="center" wrapText="1"/>
    </xf>
    <xf numFmtId="0" fontId="32" fillId="6" borderId="0" applyAlignment="1" pivotButton="0" quotePrefix="0" xfId="0">
      <alignment horizontal="left" vertical="top" wrapText="1"/>
    </xf>
    <xf numFmtId="0" fontId="32" fillId="6" borderId="0" applyAlignment="1" pivotButton="0" quotePrefix="0" xfId="11">
      <alignment horizontal="left" vertical="top" wrapText="1"/>
    </xf>
    <xf numFmtId="0" fontId="40" fillId="20" borderId="0" applyAlignment="1" pivotButton="0" quotePrefix="0" xfId="10">
      <alignment horizontal="center" vertical="center"/>
    </xf>
    <xf numFmtId="0" fontId="32" fillId="6" borderId="1" applyAlignment="1" pivotButton="0" quotePrefix="0" xfId="11">
      <alignment horizontal="justify" vertical="top" wrapText="1"/>
    </xf>
    <xf numFmtId="0" fontId="40" fillId="21" borderId="0" applyAlignment="1" pivotButton="0" quotePrefix="0" xfId="0">
      <alignment horizontal="center" vertical="center"/>
    </xf>
    <xf numFmtId="0" fontId="32" fillId="5" borderId="1" applyAlignment="1" pivotButton="0" quotePrefix="0" xfId="11">
      <alignment horizontal="justify" vertical="top" wrapText="1"/>
    </xf>
    <xf numFmtId="200" fontId="32" fillId="6" borderId="1" applyAlignment="1" pivotButton="0" quotePrefix="0" xfId="11">
      <alignment horizontal="justify" vertical="top" wrapText="1"/>
    </xf>
    <xf numFmtId="0" fontId="32" fillId="5" borderId="1" applyAlignment="1" pivotButton="0" quotePrefix="0" xfId="11">
      <alignment horizontal="left" vertical="top" wrapText="1"/>
    </xf>
    <xf numFmtId="0" fontId="32" fillId="5" borderId="67" applyAlignment="1" pivotButton="0" quotePrefix="0" xfId="11">
      <alignment horizontal="justify" vertical="top" wrapText="1"/>
    </xf>
    <xf numFmtId="0" fontId="0" fillId="0" borderId="67" pivotButton="0" quotePrefix="0" xfId="0"/>
    <xf numFmtId="0" fontId="32" fillId="6" borderId="0" applyAlignment="1" pivotButton="0" quotePrefix="0" xfId="11">
      <alignment horizontal="justify" vertical="top" wrapText="1"/>
    </xf>
    <xf numFmtId="2" fontId="32" fillId="6" borderId="1" applyAlignment="1" pivotButton="0" quotePrefix="0" xfId="11">
      <alignment horizontal="justify" vertical="top" wrapText="1"/>
    </xf>
    <xf numFmtId="171" fontId="32" fillId="6" borderId="0" applyAlignment="1" pivotButton="0" quotePrefix="0" xfId="11">
      <alignment horizontal="justify" vertical="top" wrapText="1"/>
    </xf>
    <xf numFmtId="200" fontId="32" fillId="6" borderId="0" applyAlignment="1" pivotButton="0" quotePrefix="0" xfId="11">
      <alignment horizontal="justify" vertical="top" wrapText="1"/>
    </xf>
    <xf numFmtId="191" fontId="32" fillId="6" borderId="0" applyAlignment="1" pivotButton="0" quotePrefix="0" xfId="11">
      <alignment horizontal="justify" vertical="top" wrapText="1"/>
    </xf>
    <xf numFmtId="191" fontId="32" fillId="6" borderId="0" applyAlignment="1" pivotButton="0" quotePrefix="0" xfId="11">
      <alignment horizontal="left" vertical="top" wrapText="1"/>
    </xf>
    <xf numFmtId="0" fontId="32" fillId="5" borderId="67" applyAlignment="1" pivotButton="0" quotePrefix="0" xfId="11">
      <alignment horizontal="left" vertical="top" wrapText="1"/>
    </xf>
    <xf numFmtId="200" fontId="32" fillId="5" borderId="0" applyAlignment="1" pivotButton="0" quotePrefix="0" xfId="11">
      <alignment horizontal="justify" vertical="top" wrapText="1"/>
    </xf>
    <xf numFmtId="0" fontId="32" fillId="5" borderId="0" applyAlignment="1" pivotButton="0" quotePrefix="0" xfId="11">
      <alignment horizontal="left" vertical="top" wrapText="1"/>
    </xf>
    <xf numFmtId="0" fontId="32" fillId="6" borderId="67" applyAlignment="1" pivotButton="0" quotePrefix="0" xfId="11">
      <alignment horizontal="justify" vertical="top" wrapText="1"/>
    </xf>
    <xf numFmtId="9" fontId="32" fillId="6" borderId="0" applyAlignment="1" pivotButton="0" quotePrefix="0" xfId="4">
      <alignment horizontal="justify" vertical="top" wrapText="1"/>
    </xf>
    <xf numFmtId="201" fontId="32" fillId="6" borderId="0" applyAlignment="1" pivotButton="0" quotePrefix="0" xfId="11">
      <alignment horizontal="justify" vertical="top" wrapText="1"/>
    </xf>
    <xf numFmtId="191" fontId="32" fillId="5" borderId="0" applyAlignment="1" pivotButton="0" quotePrefix="0" xfId="11">
      <alignment horizontal="justify" vertical="top" wrapText="1"/>
    </xf>
    <xf numFmtId="202" fontId="32" fillId="6" borderId="0" applyAlignment="1" pivotButton="0" quotePrefix="0" xfId="11">
      <alignment horizontal="justify" vertical="top" wrapText="1"/>
    </xf>
    <xf numFmtId="0" fontId="32" fillId="6" borderId="0" applyAlignment="1" pivotButton="0" quotePrefix="0" xfId="11">
      <alignment horizontal="justify" wrapText="1"/>
    </xf>
    <xf numFmtId="0" fontId="8" fillId="16" borderId="0" applyAlignment="1" pivotButton="0" quotePrefix="0" xfId="0">
      <alignment horizontal="center"/>
    </xf>
    <xf numFmtId="0" fontId="2" fillId="2" borderId="0" applyAlignment="1" pivotButton="0" quotePrefix="0" xfId="0">
      <alignment horizontal="center" vertical="center" justifyLastLine="1"/>
    </xf>
    <xf numFmtId="0" fontId="2" fillId="15" borderId="11" applyAlignment="1" pivotButton="0" quotePrefix="0" xfId="0">
      <alignment horizontal="left" vertical="center" justifyLastLine="1"/>
    </xf>
    <xf numFmtId="0" fontId="58" fillId="16" borderId="0" applyAlignment="1" pivotButton="0" quotePrefix="0" xfId="0">
      <alignment horizontal="center" vertical="center" justifyLastLine="1"/>
    </xf>
    <xf numFmtId="0" fontId="45" fillId="15" borderId="0" applyAlignment="1" pivotButton="0" quotePrefix="0" xfId="0">
      <alignment horizontal="center" vertical="center" justifyLastLine="1"/>
    </xf>
    <xf numFmtId="0" fontId="0" fillId="0" borderId="0" applyAlignment="1" pivotButton="0" quotePrefix="0" xfId="0">
      <alignment horizontal="right"/>
    </xf>
    <xf numFmtId="0" fontId="39" fillId="16" borderId="0" applyAlignment="1" pivotButton="0" quotePrefix="0" xfId="0">
      <alignment horizontal="center" justifyLastLine="1"/>
    </xf>
    <xf numFmtId="165" fontId="50" fillId="22" borderId="1" applyAlignment="1" pivotButton="0" quotePrefix="0" xfId="0">
      <alignment horizontal="right"/>
    </xf>
    <xf numFmtId="3" fontId="48" fillId="6" borderId="2" applyAlignment="1" pivotButton="0" quotePrefix="0" xfId="2">
      <alignment horizontal="right" vertical="center" justifyLastLine="1"/>
    </xf>
    <xf numFmtId="0" fontId="48" fillId="6" borderId="2" applyAlignment="1" pivotButton="0" quotePrefix="0" xfId="0">
      <alignment horizontal="right" vertical="center" wrapText="1" justifyLastLine="1"/>
    </xf>
    <xf numFmtId="0" fontId="48" fillId="6" borderId="2" applyAlignment="1" pivotButton="0" quotePrefix="0" xfId="0">
      <alignment horizontal="right" vertical="center" justifyLastLine="1"/>
    </xf>
    <xf numFmtId="169" fontId="49" fillId="6" borderId="40" applyAlignment="1" pivotButton="0" quotePrefix="0" xfId="3">
      <alignment horizontal="right" vertical="center" wrapText="1" justifyLastLine="1"/>
    </xf>
    <xf numFmtId="0" fontId="0" fillId="0" borderId="7" pivotButton="0" quotePrefix="0" xfId="0"/>
    <xf numFmtId="169" fontId="48" fillId="6" borderId="2" applyAlignment="1" pivotButton="0" quotePrefix="0" xfId="3">
      <alignment horizontal="right" vertical="center" justifyLastLine="1"/>
    </xf>
    <xf numFmtId="3" fontId="48" fillId="6" borderId="2" applyAlignment="1" pivotButton="0" quotePrefix="0" xfId="2">
      <alignment horizontal="right" vertical="center" wrapText="1" justifyLastLine="1"/>
    </xf>
    <xf numFmtId="0" fontId="45" fillId="4" borderId="0" applyAlignment="1" pivotButton="0" quotePrefix="0" xfId="0">
      <alignment horizontal="center" vertical="center" justifyLastLine="1"/>
    </xf>
    <xf numFmtId="0" fontId="39" fillId="16" borderId="0" applyAlignment="1" pivotButton="0" quotePrefix="0" xfId="0">
      <alignment horizontal="center" vertical="center"/>
    </xf>
    <xf numFmtId="180" fontId="49" fillId="6" borderId="2" applyAlignment="1" pivotButton="0" quotePrefix="0" xfId="0">
      <alignment horizontal="right" vertical="center" justifyLastLine="1"/>
    </xf>
    <xf numFmtId="0" fontId="76" fillId="16" borderId="0" applyAlignment="1" pivotButton="0" quotePrefix="0" xfId="0">
      <alignment horizontal="center"/>
    </xf>
    <xf numFmtId="0" fontId="77" fillId="0" borderId="0" pivotButton="0" quotePrefix="0" xfId="0"/>
    <xf numFmtId="0" fontId="5" fillId="23" borderId="0" applyAlignment="1" pivotButton="0" quotePrefix="0" xfId="0">
      <alignment horizontal="center"/>
    </xf>
    <xf numFmtId="0" fontId="58" fillId="9" borderId="0" applyAlignment="1" pivotButton="0" quotePrefix="0" xfId="0">
      <alignment horizontal="center"/>
    </xf>
    <xf numFmtId="0" fontId="78" fillId="16" borderId="0" applyAlignment="1" pivotButton="0" quotePrefix="0" xfId="0">
      <alignment horizontal="center"/>
    </xf>
    <xf numFmtId="0" fontId="8" fillId="16" borderId="0" applyAlignment="1" pivotButton="0" quotePrefix="1" xfId="0">
      <alignment horizontal="center" vertical="center"/>
    </xf>
    <xf numFmtId="3" fontId="32" fillId="0" borderId="0" pivotButton="0" quotePrefix="0" xfId="0"/>
    <xf numFmtId="165" fontId="32" fillId="0" borderId="0" pivotButton="0" quotePrefix="0" xfId="0"/>
    <xf numFmtId="0" fontId="8" fillId="0" borderId="0" applyAlignment="1" pivotButton="0" quotePrefix="1" xfId="0">
      <alignment horizontal="center" vertical="center"/>
    </xf>
    <xf numFmtId="0" fontId="32" fillId="0" borderId="0" pivotButton="0" quotePrefix="0" xfId="0"/>
    <xf numFmtId="0" fontId="8" fillId="2" borderId="0" applyAlignment="1" pivotButton="0" quotePrefix="1" xfId="0">
      <alignment horizontal="center" vertical="center"/>
    </xf>
    <xf numFmtId="0" fontId="8" fillId="2" borderId="0" applyAlignment="1" pivotButton="0" quotePrefix="0" xfId="0">
      <alignment horizontal="center" vertical="center"/>
    </xf>
    <xf numFmtId="0" fontId="4" fillId="0" borderId="0" pivotButton="0" quotePrefix="0" xfId="0"/>
    <xf numFmtId="165" fontId="50" fillId="0" borderId="1" applyAlignment="1" pivotButton="0" quotePrefix="0" xfId="0">
      <alignment horizontal="right"/>
    </xf>
    <xf numFmtId="3" fontId="48" fillId="6" borderId="0" applyAlignment="1" pivotButton="0" quotePrefix="0" xfId="2">
      <alignment horizontal="right" vertical="top" justifyLastLine="1"/>
    </xf>
    <xf numFmtId="180" fontId="49" fillId="6" borderId="0" applyAlignment="1" pivotButton="0" quotePrefix="0" xfId="0">
      <alignment horizontal="right" vertical="top" justifyLastLine="1"/>
    </xf>
    <xf numFmtId="0" fontId="48" fillId="6" borderId="0" applyAlignment="1" pivotButton="0" quotePrefix="0" xfId="0">
      <alignment horizontal="right" vertical="top" wrapText="1" justifyLastLine="1"/>
    </xf>
    <xf numFmtId="169" fontId="49" fillId="6" borderId="7" applyAlignment="1" pivotButton="0" quotePrefix="0" xfId="3">
      <alignment horizontal="right" vertical="top" wrapText="1" justifyLastLine="1"/>
    </xf>
    <xf numFmtId="1" fontId="49" fillId="6" borderId="0" applyAlignment="1" pivotButton="0" quotePrefix="0" xfId="3">
      <alignment horizontal="right" vertical="top" justifyLastLine="1"/>
    </xf>
    <xf numFmtId="0" fontId="48" fillId="6" borderId="0" applyAlignment="1" pivotButton="0" quotePrefix="0" xfId="0">
      <alignment horizontal="right" vertical="top" justifyLastLine="1"/>
    </xf>
    <xf numFmtId="169" fontId="48" fillId="6" borderId="0" applyAlignment="1" pivotButton="0" quotePrefix="0" xfId="3">
      <alignment horizontal="right" vertical="top" justifyLastLine="1"/>
    </xf>
    <xf numFmtId="0" fontId="0" fillId="0" borderId="0" applyAlignment="1" pivotButton="0" quotePrefix="0" xfId="0">
      <alignment wrapText="1"/>
    </xf>
    <xf numFmtId="3" fontId="48" fillId="0" borderId="0" applyAlignment="1" pivotButton="0" quotePrefix="0" xfId="2">
      <alignment horizontal="right" vertical="center" justifyLastLine="1"/>
    </xf>
    <xf numFmtId="0" fontId="48" fillId="0" borderId="15" applyAlignment="1" pivotButton="0" quotePrefix="0" xfId="0">
      <alignment horizontal="right" vertical="center" justifyLastLine="1"/>
    </xf>
    <xf numFmtId="0" fontId="0" fillId="0" borderId="14" pivotButton="0" quotePrefix="0" xfId="0"/>
    <xf numFmtId="0" fontId="48" fillId="0" borderId="2" applyAlignment="1" pivotButton="0" quotePrefix="0" xfId="0">
      <alignment horizontal="right" vertical="center" justifyLastLine="1"/>
    </xf>
    <xf numFmtId="0" fontId="39" fillId="2" borderId="0" applyAlignment="1" pivotButton="0" quotePrefix="0" xfId="0">
      <alignment horizontal="center" vertical="center" justifyLastLine="1"/>
    </xf>
    <xf numFmtId="0" fontId="48" fillId="6" borderId="2" applyAlignment="1" pivotButton="0" quotePrefix="0" xfId="0">
      <alignment horizontal="right" vertical="top" justifyLastLine="1"/>
    </xf>
    <xf numFmtId="169" fontId="48" fillId="0" borderId="0" applyAlignment="1" pivotButton="0" quotePrefix="0" xfId="3">
      <alignment horizontal="right" vertical="center" justifyLastLine="1"/>
    </xf>
    <xf numFmtId="180" fontId="49" fillId="0" borderId="15" applyAlignment="1" pivotButton="0" quotePrefix="0" xfId="0">
      <alignment horizontal="right" vertical="center" justifyLastLine="1"/>
    </xf>
    <xf numFmtId="169" fontId="48" fillId="0" borderId="15" applyAlignment="1" pivotButton="0" quotePrefix="0" xfId="3">
      <alignment horizontal="right" vertical="center" justifyLastLine="1"/>
    </xf>
    <xf numFmtId="169" fontId="48" fillId="6" borderId="15" applyAlignment="1" pivotButton="0" quotePrefix="0" xfId="3">
      <alignment horizontal="right" vertical="top" justifyLastLine="1"/>
    </xf>
    <xf numFmtId="3" fontId="48" fillId="0" borderId="15" applyAlignment="1" pivotButton="0" quotePrefix="0" xfId="2">
      <alignment horizontal="right" vertical="center" justifyLastLine="1"/>
    </xf>
    <xf numFmtId="0" fontId="48" fillId="0" borderId="0" applyAlignment="1" pivotButton="0" quotePrefix="0" xfId="0">
      <alignment horizontal="right" vertical="center" justifyLastLine="1"/>
    </xf>
    <xf numFmtId="0" fontId="48" fillId="6" borderId="15" applyAlignment="1" pivotButton="0" quotePrefix="0" xfId="0">
      <alignment horizontal="right" vertical="top" wrapText="1" justifyLastLine="1"/>
    </xf>
    <xf numFmtId="3" fontId="48" fillId="0" borderId="2" applyAlignment="1" pivotButton="0" quotePrefix="0" xfId="2">
      <alignment horizontal="right" vertical="center" justifyLastLine="1"/>
    </xf>
    <xf numFmtId="0" fontId="48" fillId="0" borderId="2" applyAlignment="1" pivotButton="0" quotePrefix="0" xfId="0">
      <alignment horizontal="right" vertical="center" wrapText="1" justifyLastLine="1"/>
    </xf>
    <xf numFmtId="0" fontId="49" fillId="6" borderId="2" applyAlignment="1" pivotButton="0" quotePrefix="0" xfId="3">
      <alignment horizontal="right" vertical="top" justifyLastLine="1"/>
    </xf>
    <xf numFmtId="0" fontId="48" fillId="0" borderId="15" applyAlignment="1" pivotButton="0" quotePrefix="0" xfId="0">
      <alignment horizontal="right" vertical="center" wrapText="1" justifyLastLine="1"/>
    </xf>
    <xf numFmtId="0" fontId="48" fillId="0" borderId="0" applyAlignment="1" pivotButton="0" quotePrefix="0" xfId="0">
      <alignment horizontal="right" vertical="center" wrapText="1" justifyLastLine="1"/>
    </xf>
    <xf numFmtId="180" fontId="49" fillId="0" borderId="2" applyAlignment="1" pivotButton="0" quotePrefix="0" xfId="0">
      <alignment horizontal="right" vertical="center" justifyLastLine="1"/>
    </xf>
    <xf numFmtId="169" fontId="49" fillId="6" borderId="75" applyAlignment="1" pivotButton="0" quotePrefix="0" xfId="3">
      <alignment horizontal="right" vertical="top" wrapText="1" justifyLastLine="1"/>
    </xf>
    <xf numFmtId="0" fontId="0" fillId="0" borderId="41" pivotButton="0" quotePrefix="0" xfId="0"/>
    <xf numFmtId="169" fontId="49" fillId="0" borderId="75" applyAlignment="1" pivotButton="0" quotePrefix="0" xfId="3">
      <alignment horizontal="right" vertical="center" wrapText="1" justifyLastLine="1"/>
    </xf>
    <xf numFmtId="169" fontId="48" fillId="0" borderId="2" applyAlignment="1" pivotButton="0" quotePrefix="0" xfId="3">
      <alignment horizontal="right" vertical="center" justifyLastLine="1"/>
    </xf>
    <xf numFmtId="168" fontId="48" fillId="0" borderId="15" applyAlignment="1" pivotButton="0" quotePrefix="0" xfId="2">
      <alignment horizontal="right" vertical="center" justifyLastLine="1"/>
    </xf>
    <xf numFmtId="3" fontId="48" fillId="6" borderId="15" applyAlignment="1" pivotButton="0" quotePrefix="0" xfId="2">
      <alignment horizontal="right" vertical="top" justifyLastLine="1"/>
    </xf>
    <xf numFmtId="0" fontId="39" fillId="4" borderId="0" applyAlignment="1" pivotButton="0" quotePrefix="0" xfId="0">
      <alignment horizontal="center" vertical="center" justifyLastLine="1"/>
    </xf>
    <xf numFmtId="0" fontId="48" fillId="6" borderId="2" applyAlignment="1" pivotButton="0" quotePrefix="0" xfId="0">
      <alignment horizontal="right" vertical="top" wrapText="1" justifyLastLine="1"/>
    </xf>
    <xf numFmtId="0" fontId="46" fillId="4" borderId="0" applyAlignment="1" pivotButton="0" quotePrefix="0" xfId="0">
      <alignment horizontal="center" vertical="center" justifyLastLine="1"/>
    </xf>
    <xf numFmtId="0" fontId="48" fillId="6" borderId="15" applyAlignment="1" pivotButton="0" quotePrefix="0" xfId="0">
      <alignment horizontal="right" vertical="top" justifyLastLine="1"/>
    </xf>
    <xf numFmtId="180" fontId="49" fillId="6" borderId="2" applyAlignment="1" pivotButton="0" quotePrefix="0" xfId="0">
      <alignment horizontal="right" vertical="top" justifyLastLine="1"/>
    </xf>
    <xf numFmtId="169" fontId="49" fillId="0" borderId="40" applyAlignment="1" pivotButton="0" quotePrefix="0" xfId="3">
      <alignment horizontal="right" vertical="center" wrapText="1" justifyLastLine="1"/>
    </xf>
    <xf numFmtId="169" fontId="49" fillId="0" borderId="0" applyAlignment="1" pivotButton="0" quotePrefix="0" xfId="3">
      <alignment horizontal="right" vertical="center" wrapText="1" justifyLastLine="1"/>
    </xf>
    <xf numFmtId="180" fontId="49" fillId="0" borderId="0" applyAlignment="1" pivotButton="0" quotePrefix="0" xfId="0">
      <alignment horizontal="right" vertical="center" justifyLastLine="1"/>
    </xf>
    <xf numFmtId="3" fontId="48" fillId="6" borderId="2" applyAlignment="1" pivotButton="0" quotePrefix="0" xfId="2">
      <alignment horizontal="right" vertical="top" justifyLastLine="1"/>
    </xf>
    <xf numFmtId="0" fontId="58" fillId="16" borderId="0" applyAlignment="1" pivotButton="0" quotePrefix="0" xfId="0">
      <alignment horizontal="center" vertical="center"/>
    </xf>
    <xf numFmtId="0" fontId="44" fillId="3" borderId="10" applyAlignment="1" pivotButton="0" quotePrefix="0" xfId="0">
      <alignment horizontal="left" vertical="center" wrapText="1"/>
    </xf>
    <xf numFmtId="0" fontId="0" fillId="0" borderId="9" pivotButton="0" quotePrefix="0" xfId="0"/>
    <xf numFmtId="0" fontId="0" fillId="0" borderId="17" pivotButton="0" quotePrefix="0" xfId="0"/>
    <xf numFmtId="0" fontId="41" fillId="6" borderId="15" applyAlignment="1" pivotButton="0" quotePrefix="0" xfId="0">
      <alignment vertical="center" wrapText="1"/>
    </xf>
    <xf numFmtId="3" fontId="41" fillId="5" borderId="15" applyAlignment="1" pivotButton="0" quotePrefix="0" xfId="0">
      <alignment horizontal="center" vertical="center" wrapText="1"/>
    </xf>
    <xf numFmtId="0" fontId="41" fillId="5" borderId="15" applyAlignment="1" pivotButton="0" quotePrefix="0" xfId="0">
      <alignment horizontal="center" vertical="center" wrapText="1"/>
    </xf>
    <xf numFmtId="167" fontId="41" fillId="5" borderId="15" applyAlignment="1" pivotButton="0" quotePrefix="0" xfId="3">
      <alignment horizontal="center" vertical="center" wrapText="1"/>
    </xf>
    <xf numFmtId="0" fontId="41" fillId="6" borderId="15" applyAlignment="1" pivotButton="0" quotePrefix="0" xfId="0">
      <alignment horizontal="left" vertical="center" wrapText="1"/>
    </xf>
    <xf numFmtId="167" fontId="41" fillId="6" borderId="15" applyAlignment="1" pivotButton="0" quotePrefix="0" xfId="0">
      <alignment vertical="center" wrapText="1"/>
    </xf>
    <xf numFmtId="180" fontId="41" fillId="5" borderId="15" applyAlignment="1" pivotButton="0" quotePrefix="0" xfId="3">
      <alignment horizontal="center" vertical="center" wrapText="1"/>
    </xf>
    <xf numFmtId="169" fontId="41" fillId="5" borderId="15" applyAlignment="1" pivotButton="0" quotePrefix="0" xfId="3">
      <alignment horizontal="center" vertical="center" wrapText="1"/>
    </xf>
    <xf numFmtId="0" fontId="41" fillId="6" borderId="22" applyAlignment="1" pivotButton="0" quotePrefix="0" xfId="0">
      <alignment vertical="center" wrapText="1"/>
    </xf>
    <xf numFmtId="0" fontId="0" fillId="0" borderId="4" pivotButton="0" quotePrefix="0" xfId="0"/>
    <xf numFmtId="0" fontId="39" fillId="16" borderId="76" applyAlignment="1" pivotButton="0" quotePrefix="0" xfId="0">
      <alignment horizontal="center" vertical="center" wrapText="1"/>
    </xf>
    <xf numFmtId="0" fontId="0" fillId="0" borderId="77" pivotButton="0" quotePrefix="0" xfId="0"/>
    <xf numFmtId="0" fontId="42" fillId="15" borderId="2" applyAlignment="1" pivotButton="0" quotePrefix="0" xfId="0">
      <alignment horizontal="left" vertical="center" wrapText="1"/>
    </xf>
    <xf numFmtId="0" fontId="13" fillId="4" borderId="0" pivotButton="0" quotePrefix="0" xfId="0"/>
    <xf numFmtId="0" fontId="42" fillId="15" borderId="11" applyAlignment="1" pivotButton="0" quotePrefix="0" xfId="0">
      <alignment horizontal="center" vertical="center" wrapText="1"/>
    </xf>
    <xf numFmtId="167" fontId="41" fillId="0" borderId="15" applyAlignment="1" pivotButton="0" quotePrefix="0" xfId="3">
      <alignment horizontal="center" vertical="center" wrapText="1"/>
    </xf>
    <xf numFmtId="167" fontId="43" fillId="3" borderId="10" applyAlignment="1" pivotButton="0" quotePrefix="0" xfId="3">
      <alignment horizontal="center" vertical="center" wrapText="1"/>
    </xf>
    <xf numFmtId="0" fontId="40" fillId="15" borderId="0" applyAlignment="1" pivotButton="0" quotePrefix="0" xfId="0">
      <alignment horizontal="center" vertical="center" wrapText="1"/>
    </xf>
    <xf numFmtId="0" fontId="41" fillId="0" borderId="15" applyAlignment="1" pivotButton="0" quotePrefix="0" xfId="0">
      <alignment horizontal="center" vertical="center" wrapText="1"/>
    </xf>
    <xf numFmtId="0" fontId="40" fillId="4" borderId="14" applyAlignment="1" pivotButton="0" quotePrefix="0" xfId="0">
      <alignment horizontal="center" vertical="top" wrapText="1"/>
    </xf>
    <xf numFmtId="1" fontId="41" fillId="5" borderId="15" applyAlignment="1" pivotButton="0" quotePrefix="0" xfId="0">
      <alignment horizontal="center" vertical="center" wrapText="1"/>
    </xf>
    <xf numFmtId="9" fontId="41" fillId="5" borderId="15" applyAlignment="1" pivotButton="0" quotePrefix="0" xfId="4">
      <alignment horizontal="center" vertical="center" wrapText="1"/>
    </xf>
    <xf numFmtId="0" fontId="40" fillId="15" borderId="2" applyAlignment="1" pivotButton="0" quotePrefix="0" xfId="0">
      <alignment horizontal="left" vertical="center" wrapText="1"/>
    </xf>
    <xf numFmtId="0" fontId="42" fillId="15" borderId="0" applyAlignment="1" pivotButton="0" quotePrefix="0" xfId="0">
      <alignment horizontal="center" vertical="center" wrapText="1"/>
    </xf>
    <xf numFmtId="167" fontId="41" fillId="6" borderId="22" applyAlignment="1" pivotButton="0" quotePrefix="0" xfId="0">
      <alignment vertical="center" wrapText="1"/>
    </xf>
    <xf numFmtId="3" fontId="41" fillId="0" borderId="15" applyAlignment="1" pivotButton="0" quotePrefix="0" xfId="0">
      <alignment horizontal="center" vertical="center" wrapText="1"/>
    </xf>
    <xf numFmtId="167" fontId="41" fillId="0" borderId="22" applyAlignment="1" pivotButton="0" quotePrefix="0" xfId="3">
      <alignment horizontal="center" vertical="center" wrapText="1"/>
    </xf>
    <xf numFmtId="2" fontId="41" fillId="5" borderId="15" applyAlignment="1" pivotButton="0" quotePrefix="0" xfId="4">
      <alignment horizontal="center" vertical="center" wrapText="1"/>
    </xf>
    <xf numFmtId="0" fontId="41" fillId="0" borderId="15" applyAlignment="1" pivotButton="0" quotePrefix="0" xfId="0">
      <alignment horizontal="left" vertical="center" wrapText="1"/>
    </xf>
    <xf numFmtId="167" fontId="41" fillId="5" borderId="22" applyAlignment="1" pivotButton="0" quotePrefix="0" xfId="3">
      <alignment horizontal="center" vertical="center" wrapText="1"/>
    </xf>
    <xf numFmtId="180" fontId="41" fillId="0" borderId="15" applyAlignment="1" pivotButton="0" quotePrefix="0" xfId="3">
      <alignment horizontal="center" vertical="center" wrapText="1"/>
    </xf>
    <xf numFmtId="167" fontId="43" fillId="3" borderId="10" applyAlignment="1" pivotButton="0" quotePrefix="0" xfId="0">
      <alignment vertical="center" wrapText="1"/>
    </xf>
    <xf numFmtId="3" fontId="41" fillId="5" borderId="15" applyAlignment="1" pivotButton="0" quotePrefix="0" xfId="3">
      <alignment horizontal="center" vertical="center" wrapText="1"/>
    </xf>
    <xf numFmtId="1" fontId="4" fillId="5" borderId="0" applyAlignment="1" pivotButton="0" quotePrefix="0" xfId="0">
      <alignment horizontal="center" vertical="top"/>
    </xf>
    <xf numFmtId="3" fontId="7" fillId="3" borderId="78" applyAlignment="1" pivotButton="0" quotePrefix="0" xfId="0">
      <alignment horizontal="center" vertical="top" wrapText="1"/>
    </xf>
    <xf numFmtId="1" fontId="7" fillId="3" borderId="78" applyAlignment="1" pivotButton="0" quotePrefix="0" xfId="0">
      <alignment horizontal="center" vertical="top"/>
    </xf>
    <xf numFmtId="3" fontId="7" fillId="3" borderId="78" applyAlignment="1" pivotButton="0" quotePrefix="0" xfId="0">
      <alignment horizontal="center" vertical="top"/>
    </xf>
    <xf numFmtId="3" fontId="4" fillId="5" borderId="0" applyAlignment="1" pivotButton="0" quotePrefix="0" xfId="0">
      <alignment horizontal="center" vertical="top"/>
    </xf>
    <xf numFmtId="0" fontId="8" fillId="16" borderId="0" applyAlignment="1" pivotButton="0" quotePrefix="0" xfId="0">
      <alignment horizontal="center" vertical="center"/>
    </xf>
    <xf numFmtId="0" fontId="8" fillId="4" borderId="0" applyAlignment="1" pivotButton="0" quotePrefix="0" xfId="0">
      <alignment horizontal="center"/>
    </xf>
    <xf numFmtId="166" fontId="4" fillId="0" borderId="0" applyAlignment="1" pivotButton="0" quotePrefix="0" xfId="3">
      <alignment horizontal="center"/>
    </xf>
    <xf numFmtId="203" fontId="9" fillId="0" borderId="0" applyAlignment="1" pivotButton="0" quotePrefix="0" xfId="0">
      <alignment horizontal="left" vertical="top" wrapText="1"/>
    </xf>
    <xf numFmtId="0" fontId="20" fillId="2" borderId="0" applyAlignment="1" pivotButton="0" quotePrefix="0" xfId="6">
      <alignment horizontal="center" vertical="top"/>
    </xf>
    <xf numFmtId="170" fontId="4" fillId="0" borderId="0" applyAlignment="1" pivotButton="0" quotePrefix="0" xfId="3">
      <alignment horizontal="center"/>
    </xf>
    <xf numFmtId="166" fontId="4" fillId="0" borderId="0" applyAlignment="1" pivotButton="0" quotePrefix="0" xfId="3">
      <alignment horizontal="center" vertical="center"/>
    </xf>
    <xf numFmtId="203" fontId="24" fillId="0" borderId="0" applyAlignment="1" pivotButton="0" quotePrefix="0" xfId="0">
      <alignment horizontal="left" vertical="top" wrapText="1"/>
    </xf>
    <xf numFmtId="173" fontId="9" fillId="0" borderId="0" applyAlignment="1" pivotButton="0" quotePrefix="0" xfId="0">
      <alignment horizontal="left" vertical="top" wrapText="1"/>
    </xf>
    <xf numFmtId="170" fontId="4" fillId="0" borderId="0" applyAlignment="1" pivotButton="0" quotePrefix="0" xfId="3">
      <alignment horizontal="center" vertical="center"/>
    </xf>
    <xf numFmtId="0" fontId="8" fillId="2"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2" fillId="2" borderId="0" applyAlignment="1" pivotButton="0" quotePrefix="0" xfId="0">
      <alignment horizontal="center" vertical="top" wrapText="1"/>
    </xf>
    <xf numFmtId="0" fontId="32" fillId="5" borderId="0" applyAlignment="1" pivotButton="0" quotePrefix="0" xfId="0">
      <alignment horizontal="left" wrapText="1"/>
    </xf>
    <xf numFmtId="193" fontId="32" fillId="0" borderId="0" pivotButton="0" quotePrefix="0" xfId="3"/>
    <xf numFmtId="0" fontId="39" fillId="15" borderId="0" applyAlignment="1" pivotButton="0" quotePrefix="0" xfId="0">
      <alignment horizontal="center"/>
    </xf>
    <xf numFmtId="169" fontId="32" fillId="0" borderId="0" applyAlignment="1" pivotButton="0" quotePrefix="0" xfId="3">
      <alignment horizontal="right"/>
    </xf>
    <xf numFmtId="0" fontId="34" fillId="3" borderId="1" applyAlignment="1" pivotButton="0" quotePrefix="0" xfId="0">
      <alignment horizontal="left"/>
    </xf>
    <xf numFmtId="170" fontId="47" fillId="0" borderId="11" applyAlignment="1" pivotButton="0" quotePrefix="0" xfId="0">
      <alignment horizontal="center"/>
    </xf>
    <xf numFmtId="169" fontId="32" fillId="0" borderId="9" applyAlignment="1" pivotButton="0" quotePrefix="0" xfId="3">
      <alignment horizontal="right"/>
    </xf>
    <xf numFmtId="10" fontId="32" fillId="5" borderId="1" applyAlignment="1" pivotButton="0" quotePrefix="0" xfId="4">
      <alignment horizontal="right" vertical="top"/>
    </xf>
    <xf numFmtId="0" fontId="39" fillId="15" borderId="1" applyAlignment="1" pivotButton="0" quotePrefix="0" xfId="0">
      <alignment horizontal="right"/>
    </xf>
    <xf numFmtId="0" fontId="40" fillId="16" borderId="0" applyAlignment="1" pivotButton="0" quotePrefix="0" xfId="0">
      <alignment horizontal="center" vertical="center" wrapText="1"/>
    </xf>
    <xf numFmtId="169" fontId="32" fillId="0" borderId="1" applyAlignment="1" pivotButton="0" quotePrefix="0" xfId="3">
      <alignment horizontal="right"/>
    </xf>
    <xf numFmtId="10" fontId="32" fillId="5" borderId="0" applyAlignment="1" pivotButton="0" quotePrefix="0" xfId="4">
      <alignment horizontal="right" vertical="top"/>
    </xf>
    <xf numFmtId="10" fontId="34" fillId="3" borderId="9" applyAlignment="1" pivotButton="0" quotePrefix="0" xfId="4">
      <alignment horizontal="right"/>
    </xf>
    <xf numFmtId="10" fontId="39" fillId="15" borderId="0" applyAlignment="1" pivotButton="0" quotePrefix="0" xfId="4">
      <alignment horizontal="right"/>
    </xf>
    <xf numFmtId="0" fontId="39" fillId="16" borderId="1" applyAlignment="1" pivotButton="0" quotePrefix="0" xfId="0">
      <alignment horizontal="center" vertical="center"/>
    </xf>
    <xf numFmtId="0" fontId="21" fillId="16" borderId="0" applyAlignment="1" pivotButton="0" quotePrefix="0" xfId="0">
      <alignment horizontal="center" vertical="center"/>
    </xf>
    <xf numFmtId="10" fontId="34" fillId="3" borderId="1" applyAlignment="1" pivotButton="0" quotePrefix="0" xfId="4">
      <alignment horizontal="right"/>
    </xf>
    <xf numFmtId="169" fontId="32" fillId="3" borderId="9" applyAlignment="1" pivotButton="0" quotePrefix="0" xfId="3">
      <alignment horizontal="right"/>
    </xf>
    <xf numFmtId="170" fontId="50" fillId="3" borderId="9" applyAlignment="1" pivotButton="0" quotePrefix="0" xfId="0">
      <alignment horizontal="center"/>
    </xf>
    <xf numFmtId="0" fontId="40" fillId="12" borderId="55" applyAlignment="1" pivotButton="0" quotePrefix="0" xfId="0">
      <alignment horizontal="center" vertical="center" wrapText="1"/>
    </xf>
    <xf numFmtId="0" fontId="0" fillId="0" borderId="23" pivotButton="0" quotePrefix="0" xfId="0"/>
    <xf numFmtId="0" fontId="0" fillId="0" borderId="55" pivotButton="0" quotePrefix="0" xfId="0"/>
    <xf numFmtId="10" fontId="32" fillId="3" borderId="0" applyAlignment="1" pivotButton="0" quotePrefix="0" xfId="4">
      <alignment horizontal="right"/>
    </xf>
    <xf numFmtId="0" fontId="40" fillId="12" borderId="69" applyAlignment="1" pivotButton="0" quotePrefix="0" xfId="0">
      <alignment horizontal="center" vertical="center" wrapText="1"/>
    </xf>
    <xf numFmtId="0" fontId="0" fillId="0" borderId="53" pivotButton="0" quotePrefix="0" xfId="0"/>
    <xf numFmtId="0" fontId="0" fillId="0" borderId="54" pivotButton="0" quotePrefix="0" xfId="0"/>
    <xf numFmtId="193" fontId="68" fillId="6" borderId="9" applyAlignment="1" pivotButton="0" quotePrefix="0" xfId="0">
      <alignment horizontal="center" vertical="center" wrapText="1"/>
    </xf>
    <xf numFmtId="0" fontId="21" fillId="17" borderId="1" applyAlignment="1" pivotButton="0" quotePrefix="0" xfId="0">
      <alignment horizontal="center"/>
    </xf>
    <xf numFmtId="170" fontId="47" fillId="0" borderId="0" applyAlignment="1" pivotButton="0" quotePrefix="0" xfId="0">
      <alignment horizontal="center"/>
    </xf>
    <xf numFmtId="0" fontId="40" fillId="16" borderId="46" applyAlignment="1" pivotButton="0" quotePrefix="0" xfId="0">
      <alignment horizontal="center" vertical="center" wrapText="1"/>
    </xf>
    <xf numFmtId="0" fontId="0" fillId="0" borderId="46" pivotButton="0" quotePrefix="0" xfId="0"/>
    <xf numFmtId="170" fontId="50" fillId="0" borderId="9" applyAlignment="1" pivotButton="0" quotePrefix="0" xfId="0">
      <alignment horizontal="center"/>
    </xf>
    <xf numFmtId="0" fontId="39" fillId="16" borderId="0" applyAlignment="1" pivotButton="0" quotePrefix="0" xfId="0">
      <alignment horizontal="center"/>
    </xf>
    <xf numFmtId="169" fontId="32" fillId="5" borderId="11" applyAlignment="1" pivotButton="0" quotePrefix="0" xfId="3">
      <alignment horizontal="right"/>
    </xf>
    <xf numFmtId="0" fontId="5" fillId="0" borderId="9" applyAlignment="1" pivotButton="0" quotePrefix="0" xfId="0">
      <alignment horizontal="center"/>
    </xf>
    <xf numFmtId="170" fontId="47" fillId="0" borderId="1" applyAlignment="1" pivotButton="0" quotePrefix="0" xfId="0">
      <alignment horizontal="center"/>
    </xf>
    <xf numFmtId="0" fontId="32" fillId="3" borderId="11" applyAlignment="1" pivotButton="0" quotePrefix="0" xfId="0">
      <alignment horizontal="left"/>
    </xf>
    <xf numFmtId="170" fontId="50" fillId="3" borderId="9" applyAlignment="1" pivotButton="0" quotePrefix="0" xfId="0">
      <alignment horizontal="center" vertical="center"/>
    </xf>
    <xf numFmtId="0" fontId="82" fillId="36" borderId="0" applyAlignment="1" pivotButton="0" quotePrefix="0" xfId="0">
      <alignment horizontal="center" vertical="center"/>
    </xf>
    <xf numFmtId="0" fontId="83" fillId="0" borderId="10" pivotButton="0" quotePrefix="0" xfId="0"/>
    <xf numFmtId="0" fontId="84" fillId="37" borderId="0" applyAlignment="1" pivotButton="0" quotePrefix="0" xfId="0">
      <alignment horizontal="center" vertical="center"/>
    </xf>
    <xf numFmtId="0" fontId="85" fillId="37" borderId="10" applyAlignment="1" pivotButton="0" quotePrefix="0" xfId="0">
      <alignment horizontal="center" vertical="center" wrapText="1"/>
    </xf>
    <xf numFmtId="0" fontId="86" fillId="38" borderId="10" applyAlignment="1" pivotButton="0" quotePrefix="0" xfId="0">
      <alignment horizontal="center" vertical="center"/>
    </xf>
    <xf numFmtId="0" fontId="87" fillId="0" borderId="10" applyAlignment="1" pivotButton="0" quotePrefix="0" xfId="0">
      <alignment vertical="top" wrapText="1"/>
    </xf>
    <xf numFmtId="0" fontId="83" fillId="0" borderId="10" applyAlignment="1" pivotButton="0" quotePrefix="0" xfId="0">
      <alignment horizontal="center" vertical="center"/>
    </xf>
    <xf numFmtId="0" fontId="83" fillId="0" borderId="10" applyAlignment="1" pivotButton="0" quotePrefix="0" xfId="0">
      <alignment horizontal="left" vertical="center"/>
    </xf>
    <xf numFmtId="3" fontId="87" fillId="0" borderId="10" applyAlignment="1" pivotButton="0" quotePrefix="0" xfId="0">
      <alignment vertical="top" wrapText="1"/>
    </xf>
    <xf numFmtId="0" fontId="83" fillId="39" borderId="10" pivotButton="0" quotePrefix="0" xfId="0"/>
    <xf numFmtId="0" fontId="83" fillId="0" borderId="10" pivotButton="0" quotePrefix="0" xfId="0"/>
    <xf numFmtId="0" fontId="88" fillId="36" borderId="0" applyAlignment="1" pivotButton="0" quotePrefix="0" xfId="0">
      <alignment horizontal="center" vertical="center"/>
    </xf>
    <xf numFmtId="0" fontId="86" fillId="38" borderId="10" applyAlignment="1" pivotButton="0" quotePrefix="0" xfId="0">
      <alignment horizontal="center"/>
    </xf>
    <xf numFmtId="0" fontId="87" fillId="0" borderId="10" applyAlignment="1" pivotButton="0" quotePrefix="0" xfId="0">
      <alignment vertical="center"/>
    </xf>
    <xf numFmtId="0" fontId="83" fillId="0" borderId="10" applyAlignment="1" pivotButton="0" quotePrefix="0" xfId="0">
      <alignment horizontal="left"/>
    </xf>
    <xf numFmtId="3" fontId="87" fillId="0" borderId="10" applyAlignment="1" pivotButton="0" quotePrefix="0" xfId="0">
      <alignment vertical="center"/>
    </xf>
    <xf numFmtId="4" fontId="87" fillId="0" borderId="10" applyAlignment="1" pivotButton="0" quotePrefix="0" xfId="0">
      <alignment vertical="center"/>
    </xf>
    <xf numFmtId="4" fontId="89" fillId="35" borderId="10" applyAlignment="1" pivotButton="0" quotePrefix="0" xfId="0">
      <alignment vertical="center"/>
    </xf>
    <xf numFmtId="4" fontId="89" fillId="40" borderId="10" applyAlignment="1" pivotButton="0" quotePrefix="0" xfId="0">
      <alignment vertical="center"/>
    </xf>
    <xf numFmtId="4" fontId="89" fillId="0" borderId="10" applyAlignment="1" pivotButton="0" quotePrefix="0" xfId="0">
      <alignment vertical="center"/>
    </xf>
    <xf numFmtId="0" fontId="89" fillId="35" borderId="10" applyAlignment="1" pivotButton="0" quotePrefix="0" xfId="0">
      <alignment vertical="center"/>
    </xf>
    <xf numFmtId="0" fontId="89" fillId="40" borderId="10" applyAlignment="1" pivotButton="0" quotePrefix="0" xfId="0">
      <alignment vertical="center"/>
    </xf>
    <xf numFmtId="0" fontId="89" fillId="0" borderId="10" applyAlignment="1" pivotButton="0" quotePrefix="0" xfId="0">
      <alignment vertical="center"/>
    </xf>
    <xf numFmtId="3" fontId="83" fillId="0" borderId="10" applyAlignment="1" pivotButton="0" quotePrefix="0" xfId="0">
      <alignment horizontal="right"/>
    </xf>
    <xf numFmtId="0" fontId="88" fillId="36" borderId="0" applyAlignment="1" pivotButton="0" quotePrefix="0" xfId="0">
      <alignment horizontal="left" vertical="center"/>
    </xf>
    <xf numFmtId="0" fontId="90" fillId="41" borderId="0" applyAlignment="1" pivotButton="0" quotePrefix="0" xfId="0">
      <alignment horizontal="left" vertical="center"/>
    </xf>
    <xf numFmtId="0" fontId="91" fillId="38" borderId="10" applyAlignment="1" pivotButton="0" quotePrefix="0" xfId="0">
      <alignment horizontal="center" vertical="center" wrapText="1"/>
    </xf>
    <xf numFmtId="0" fontId="83" fillId="41" borderId="10" applyAlignment="1" pivotButton="0" quotePrefix="0" xfId="0">
      <alignment horizontal="left" vertical="center"/>
    </xf>
    <xf numFmtId="3" fontId="83" fillId="41" borderId="10" applyAlignment="1" pivotButton="0" quotePrefix="0" xfId="0">
      <alignment horizontal="right" vertical="center"/>
    </xf>
    <xf numFmtId="189" fontId="83" fillId="41" borderId="10" applyAlignment="1" pivotButton="0" quotePrefix="0" xfId="0">
      <alignment horizontal="right" vertical="center"/>
    </xf>
    <xf numFmtId="0" fontId="83" fillId="41" borderId="10" applyAlignment="1" pivotButton="0" quotePrefix="0" xfId="0">
      <alignment horizontal="left" vertical="center" wrapText="1"/>
    </xf>
    <xf numFmtId="3" fontId="83" fillId="0" borderId="10" applyAlignment="1" pivotButton="0" quotePrefix="0" xfId="0">
      <alignment horizontal="right" vertical="center"/>
    </xf>
    <xf numFmtId="189" fontId="83" fillId="0" borderId="10" applyAlignment="1" pivotButton="0" quotePrefix="0" xfId="0">
      <alignment horizontal="right" vertical="center"/>
    </xf>
    <xf numFmtId="0" fontId="83" fillId="0" borderId="10" applyAlignment="1" pivotButton="0" quotePrefix="0" xfId="0">
      <alignment horizontal="left" vertical="center" wrapText="1"/>
    </xf>
    <xf numFmtId="0" fontId="83" fillId="40" borderId="10" applyAlignment="1" pivotButton="0" quotePrefix="0" xfId="0">
      <alignment horizontal="left" vertical="center"/>
    </xf>
    <xf numFmtId="3" fontId="83" fillId="40" borderId="10" applyAlignment="1" pivotButton="0" quotePrefix="0" xfId="0">
      <alignment horizontal="right" vertical="center"/>
    </xf>
    <xf numFmtId="38" fontId="83" fillId="40" borderId="10" applyAlignment="1" pivotButton="0" quotePrefix="0" xfId="0">
      <alignment horizontal="right" vertical="center"/>
    </xf>
    <xf numFmtId="0" fontId="83" fillId="40" borderId="10" applyAlignment="1" pivotButton="0" quotePrefix="0" xfId="0">
      <alignment horizontal="left" vertical="center" wrapText="1"/>
    </xf>
    <xf numFmtId="189" fontId="83" fillId="40" borderId="10" applyAlignment="1" pivotButton="0" quotePrefix="0" xfId="0">
      <alignment horizontal="right" vertical="center"/>
    </xf>
    <xf numFmtId="38" fontId="83" fillId="41" borderId="10" applyAlignment="1" pivotButton="0" quotePrefix="0" xfId="0">
      <alignment horizontal="right" vertical="center"/>
    </xf>
    <xf numFmtId="38" fontId="83" fillId="0" borderId="10" applyAlignment="1" pivotButton="0" quotePrefix="0" xfId="0">
      <alignment horizontal="right" vertical="center"/>
    </xf>
    <xf numFmtId="0" fontId="83" fillId="42" borderId="10" applyAlignment="1" pivotButton="0" quotePrefix="0" xfId="0">
      <alignment horizontal="left" vertical="center"/>
    </xf>
    <xf numFmtId="3" fontId="83" fillId="42" borderId="10" applyAlignment="1" pivotButton="0" quotePrefix="0" xfId="0">
      <alignment horizontal="right" vertical="center"/>
    </xf>
    <xf numFmtId="189" fontId="83" fillId="42" borderId="10" applyAlignment="1" pivotButton="0" quotePrefix="0" xfId="0">
      <alignment horizontal="right" vertical="center"/>
    </xf>
    <xf numFmtId="0" fontId="83" fillId="42" borderId="10" applyAlignment="1" pivotButton="0" quotePrefix="0" xfId="0">
      <alignment horizontal="left" vertical="center" wrapText="1"/>
    </xf>
    <xf numFmtId="0" fontId="83" fillId="43" borderId="10" applyAlignment="1" pivotButton="0" quotePrefix="0" xfId="0">
      <alignment horizontal="left" vertical="center"/>
    </xf>
    <xf numFmtId="3" fontId="83" fillId="43" borderId="10" applyAlignment="1" pivotButton="0" quotePrefix="0" xfId="0">
      <alignment horizontal="right" vertical="center"/>
    </xf>
    <xf numFmtId="38" fontId="83" fillId="43" borderId="10" applyAlignment="1" pivotButton="0" quotePrefix="0" xfId="0">
      <alignment horizontal="right" vertical="center"/>
    </xf>
    <xf numFmtId="0" fontId="83" fillId="43" borderId="10" applyAlignment="1" pivotButton="0" quotePrefix="0" xfId="0">
      <alignment horizontal="left" vertical="center" wrapText="1"/>
    </xf>
    <xf numFmtId="189" fontId="83" fillId="43" borderId="10" applyAlignment="1" pivotButton="0" quotePrefix="0" xfId="0">
      <alignment horizontal="right" vertical="center"/>
    </xf>
    <xf numFmtId="0" fontId="92" fillId="44" borderId="0" applyAlignment="1" pivotButton="0" quotePrefix="0" xfId="0">
      <alignment horizontal="left"/>
    </xf>
    <xf numFmtId="0" fontId="0" fillId="0" borderId="0" applyAlignment="1" pivotButton="0" quotePrefix="0" xfId="0">
      <alignment horizontal="center"/>
    </xf>
    <xf numFmtId="0" fontId="92" fillId="45" borderId="82" applyAlignment="1" pivotButton="0" quotePrefix="0" xfId="0">
      <alignment horizontal="center"/>
    </xf>
    <xf numFmtId="0" fontId="0" fillId="46" borderId="82" applyAlignment="1" pivotButton="0" quotePrefix="0" xfId="0">
      <alignment horizontal="center"/>
    </xf>
    <xf numFmtId="0" fontId="32" fillId="46" borderId="82" applyAlignment="1" pivotButton="0" quotePrefix="0" xfId="0">
      <alignment horizontal="center"/>
    </xf>
    <xf numFmtId="0" fontId="34" fillId="46" borderId="82" applyAlignment="1" pivotButton="0" quotePrefix="0" xfId="0">
      <alignment horizontal="center"/>
    </xf>
    <xf numFmtId="169" fontId="0" fillId="5" borderId="0" pivotButton="0" quotePrefix="0" xfId="0"/>
    <xf numFmtId="167" fontId="0" fillId="0" borderId="0" pivotButton="0" quotePrefix="0" xfId="0"/>
    <xf numFmtId="170" fontId="0" fillId="0" borderId="0" pivotButton="0" quotePrefix="0" xfId="0"/>
    <xf numFmtId="169" fontId="0" fillId="6" borderId="0" applyAlignment="1" pivotButton="0" quotePrefix="0" xfId="0">
      <alignment horizontal="right"/>
    </xf>
    <xf numFmtId="179" fontId="59" fillId="10" borderId="0" applyAlignment="1" pivotButton="0" quotePrefix="0" xfId="0">
      <alignment horizontal="right"/>
    </xf>
    <xf numFmtId="193" fontId="59" fillId="6" borderId="0" applyAlignment="1" pivotButton="0" quotePrefix="0" xfId="0">
      <alignment horizontal="center"/>
    </xf>
    <xf numFmtId="164" fontId="59" fillId="6" borderId="0" applyAlignment="1" pivotButton="0" quotePrefix="0" xfId="0">
      <alignment horizontal="center"/>
    </xf>
    <xf numFmtId="193" fontId="59" fillId="6" borderId="1" applyAlignment="1" pivotButton="0" quotePrefix="0" xfId="0">
      <alignment horizontal="center"/>
    </xf>
    <xf numFmtId="164" fontId="59" fillId="6" borderId="1" applyAlignment="1" pivotButton="0" quotePrefix="0" xfId="0">
      <alignment horizontal="center"/>
    </xf>
    <xf numFmtId="179" fontId="47" fillId="5" borderId="0" applyAlignment="1" pivotButton="0" quotePrefix="0" xfId="11">
      <alignment horizontal="left" wrapText="1"/>
    </xf>
    <xf numFmtId="179" fontId="47" fillId="6" borderId="0" applyAlignment="1" pivotButton="0" quotePrefix="0" xfId="11">
      <alignment horizontal="left" wrapText="1"/>
    </xf>
    <xf numFmtId="196" fontId="47" fillId="6" borderId="0" applyAlignment="1" pivotButton="0" quotePrefix="0" xfId="11">
      <alignment horizontal="left" wrapText="1"/>
    </xf>
    <xf numFmtId="191" fontId="32" fillId="6" borderId="0" applyAlignment="1" pivotButton="0" quotePrefix="0" xfId="0">
      <alignment horizontal="left" vertical="center" wrapText="1"/>
    </xf>
    <xf numFmtId="195" fontId="32" fillId="6" borderId="0" applyAlignment="1" pivotButton="0" quotePrefix="0" xfId="0">
      <alignment horizontal="left" vertical="center"/>
    </xf>
    <xf numFmtId="191" fontId="34" fillId="6" borderId="9" applyAlignment="1" pivotButton="0" quotePrefix="0" xfId="0">
      <alignment horizontal="left" vertical="center" wrapText="1"/>
    </xf>
    <xf numFmtId="195" fontId="34" fillId="6" borderId="9" applyAlignment="1" pivotButton="0" quotePrefix="0" xfId="0">
      <alignment horizontal="left" vertical="center"/>
    </xf>
    <xf numFmtId="191" fontId="32" fillId="6" borderId="0" applyAlignment="1" pivotButton="0" quotePrefix="0" xfId="11">
      <alignment horizontal="left" vertical="center" wrapText="1"/>
    </xf>
    <xf numFmtId="169" fontId="32" fillId="6" borderId="0" applyAlignment="1" pivotButton="0" quotePrefix="0" xfId="11">
      <alignment horizontal="center" wrapText="1"/>
    </xf>
    <xf numFmtId="169" fontId="0" fillId="6" borderId="0" applyAlignment="1" pivotButton="0" quotePrefix="0" xfId="0">
      <alignment horizontal="center" wrapText="1"/>
    </xf>
    <xf numFmtId="169" fontId="31" fillId="19" borderId="0" applyAlignment="1" pivotButton="0" quotePrefix="0" xfId="11">
      <alignment horizontal="center" wrapText="1"/>
    </xf>
    <xf numFmtId="169" fontId="32" fillId="6" borderId="1" applyAlignment="1" pivotButton="0" quotePrefix="0" xfId="0">
      <alignment horizontal="center" wrapText="1"/>
    </xf>
    <xf numFmtId="169" fontId="0" fillId="6" borderId="1" applyAlignment="1" pivotButton="0" quotePrefix="0" xfId="0">
      <alignment horizontal="center" wrapText="1"/>
    </xf>
    <xf numFmtId="169" fontId="32" fillId="5" borderId="0" applyAlignment="1" pivotButton="0" quotePrefix="0" xfId="0">
      <alignment horizontal="center" wrapText="1"/>
    </xf>
    <xf numFmtId="169" fontId="0" fillId="5" borderId="0" applyAlignment="1" pivotButton="0" quotePrefix="0" xfId="0">
      <alignment horizontal="center" wrapText="1"/>
    </xf>
    <xf numFmtId="169" fontId="32" fillId="5" borderId="1" applyAlignment="1" pivotButton="0" quotePrefix="0" xfId="11">
      <alignment horizontal="center" wrapText="1"/>
    </xf>
    <xf numFmtId="169" fontId="0" fillId="5" borderId="1" applyAlignment="1" pivotButton="0" quotePrefix="0" xfId="0">
      <alignment horizontal="center" wrapText="1"/>
    </xf>
    <xf numFmtId="191" fontId="32" fillId="6" borderId="0" applyAlignment="1" pivotButton="0" quotePrefix="0" xfId="0">
      <alignment horizontal="left" wrapText="1"/>
    </xf>
    <xf numFmtId="195" fontId="32" fillId="6" borderId="0" applyAlignment="1" pivotButton="0" quotePrefix="0" xfId="0">
      <alignment horizontal="left"/>
    </xf>
    <xf numFmtId="179" fontId="53" fillId="5" borderId="0" applyAlignment="1" pivotButton="0" quotePrefix="0" xfId="0">
      <alignment horizontal="center"/>
    </xf>
    <xf numFmtId="193" fontId="53" fillId="5" borderId="0" applyAlignment="1" pivotButton="0" quotePrefix="0" xfId="0">
      <alignment horizontal="center"/>
    </xf>
    <xf numFmtId="164" fontId="48" fillId="5" borderId="0" applyAlignment="1" pivotButton="0" quotePrefix="0" xfId="0">
      <alignment horizontal="center"/>
    </xf>
    <xf numFmtId="191" fontId="34" fillId="6" borderId="11" applyAlignment="1" pivotButton="0" quotePrefix="0" xfId="0">
      <alignment horizontal="left" wrapText="1"/>
    </xf>
    <xf numFmtId="195" fontId="34" fillId="6" borderId="11" applyAlignment="1" pivotButton="0" quotePrefix="0" xfId="0">
      <alignment horizontal="left"/>
    </xf>
    <xf numFmtId="179" fontId="53" fillId="5" borderId="1" applyAlignment="1" pivotButton="0" quotePrefix="0" xfId="0">
      <alignment horizontal="center"/>
    </xf>
    <xf numFmtId="193" fontId="53" fillId="5" borderId="1" applyAlignment="1" pivotButton="0" quotePrefix="0" xfId="0">
      <alignment horizontal="center"/>
    </xf>
    <xf numFmtId="164" fontId="48" fillId="5" borderId="1" applyAlignment="1" pivotButton="0" quotePrefix="0" xfId="0">
      <alignment horizontal="center"/>
    </xf>
    <xf numFmtId="191" fontId="32" fillId="6" borderId="0" applyAlignment="1" pivotButton="0" quotePrefix="0" xfId="11">
      <alignment horizontal="left" wrapText="1"/>
    </xf>
    <xf numFmtId="171" fontId="32" fillId="6" borderId="0" applyAlignment="1" pivotButton="0" quotePrefix="0" xfId="4">
      <alignment horizontal="left" wrapText="1"/>
    </xf>
    <xf numFmtId="187" fontId="13" fillId="13" borderId="0" applyAlignment="1" pivotButton="0" quotePrefix="0" xfId="0">
      <alignment horizontal="center"/>
    </xf>
    <xf numFmtId="171" fontId="13" fillId="13" borderId="0" applyAlignment="1" pivotButton="0" quotePrefix="0" xfId="4">
      <alignment horizontal="center"/>
    </xf>
    <xf numFmtId="187" fontId="13" fillId="18" borderId="0" applyAlignment="1" pivotButton="0" quotePrefix="0" xfId="0">
      <alignment horizontal="center"/>
    </xf>
    <xf numFmtId="171" fontId="13" fillId="18" borderId="0" applyAlignment="1" pivotButton="0" quotePrefix="0" xfId="4">
      <alignment horizontal="center"/>
    </xf>
    <xf numFmtId="187" fontId="13" fillId="13" borderId="1" applyAlignment="1" pivotButton="0" quotePrefix="0" xfId="0">
      <alignment horizontal="center"/>
    </xf>
    <xf numFmtId="171" fontId="13" fillId="13" borderId="1" applyAlignment="1" pivotButton="0" quotePrefix="0" xfId="4">
      <alignment horizontal="center"/>
    </xf>
    <xf numFmtId="191" fontId="32" fillId="6" borderId="0" applyAlignment="1" pivotButton="0" quotePrefix="0" xfId="0">
      <alignment horizontal="left" vertical="top" wrapText="1"/>
    </xf>
    <xf numFmtId="192" fontId="32" fillId="6" borderId="0" applyAlignment="1" pivotButton="0" quotePrefix="0" xfId="0">
      <alignment horizontal="left" vertical="top" wrapText="1"/>
    </xf>
    <xf numFmtId="191" fontId="34" fillId="6" borderId="11" applyAlignment="1" pivotButton="0" quotePrefix="0" xfId="0">
      <alignment horizontal="left" vertical="top" wrapText="1"/>
    </xf>
    <xf numFmtId="192" fontId="34" fillId="6" borderId="11" applyAlignment="1" pivotButton="0" quotePrefix="0" xfId="0">
      <alignment horizontal="left" vertical="top" wrapText="1"/>
    </xf>
    <xf numFmtId="179" fontId="32" fillId="5" borderId="0" applyAlignment="1" pivotButton="0" quotePrefix="0" xfId="0">
      <alignment horizontal="justify" vertical="top"/>
    </xf>
    <xf numFmtId="191" fontId="32" fillId="6" borderId="0" applyAlignment="1" pivotButton="0" quotePrefix="0" xfId="11">
      <alignment horizontal="justify" vertical="top" wrapText="1"/>
    </xf>
    <xf numFmtId="191" fontId="32" fillId="5" borderId="0" applyAlignment="1" pivotButton="0" quotePrefix="0" xfId="11">
      <alignment horizontal="justify" vertical="top" wrapText="1"/>
    </xf>
    <xf numFmtId="191" fontId="32" fillId="6" borderId="0" applyAlignment="1" pivotButton="0" quotePrefix="0" xfId="11">
      <alignment horizontal="left" vertical="top" wrapText="1"/>
    </xf>
    <xf numFmtId="202" fontId="32" fillId="6" borderId="0" applyAlignment="1" pivotButton="0" quotePrefix="0" xfId="11">
      <alignment horizontal="justify" vertical="top" wrapText="1"/>
    </xf>
    <xf numFmtId="171" fontId="32" fillId="6" borderId="0" applyAlignment="1" pivotButton="0" quotePrefix="0" xfId="11">
      <alignment horizontal="justify" vertical="top" wrapText="1"/>
    </xf>
    <xf numFmtId="201" fontId="32" fillId="6" borderId="0" applyAlignment="1" pivotButton="0" quotePrefix="0" xfId="11">
      <alignment horizontal="justify" vertical="top" wrapText="1"/>
    </xf>
    <xf numFmtId="200" fontId="32" fillId="6" borderId="0" applyAlignment="1" pivotButton="0" quotePrefix="0" xfId="11">
      <alignment horizontal="justify" vertical="top" wrapText="1"/>
    </xf>
    <xf numFmtId="200" fontId="32" fillId="5" borderId="0" applyAlignment="1" pivotButton="0" quotePrefix="0" xfId="11">
      <alignment horizontal="justify" vertical="top" wrapText="1"/>
    </xf>
    <xf numFmtId="200" fontId="32" fillId="6" borderId="1" applyAlignment="1" pivotButton="0" quotePrefix="0" xfId="11">
      <alignment horizontal="justify" vertical="top" wrapText="1"/>
    </xf>
    <xf numFmtId="165" fontId="17" fillId="0" borderId="0" applyAlignment="1" pivotButton="0" quotePrefix="0" xfId="3">
      <alignment horizontal="left"/>
    </xf>
    <xf numFmtId="166" fontId="17" fillId="0" borderId="0" applyAlignment="1" pivotButton="0" quotePrefix="0" xfId="3">
      <alignment horizontal="left"/>
    </xf>
    <xf numFmtId="165" fontId="16" fillId="3" borderId="9" applyAlignment="1" pivotButton="0" quotePrefix="0" xfId="3">
      <alignment horizontal="left"/>
    </xf>
    <xf numFmtId="166" fontId="19" fillId="3" borderId="9" applyAlignment="1" pivotButton="0" quotePrefix="0" xfId="3">
      <alignment horizontal="left"/>
    </xf>
    <xf numFmtId="167" fontId="17" fillId="0" borderId="0" applyAlignment="1" pivotButton="0" quotePrefix="0" xfId="3">
      <alignment horizontal="right"/>
    </xf>
    <xf numFmtId="197" fontId="17" fillId="0" borderId="0" applyAlignment="1" pivotButton="0" quotePrefix="0" xfId="3">
      <alignment horizontal="right"/>
    </xf>
    <xf numFmtId="167" fontId="16" fillId="3" borderId="11" applyAlignment="1" pivotButton="0" quotePrefix="0" xfId="0">
      <alignment horizontal="right" vertical="top"/>
    </xf>
    <xf numFmtId="165" fontId="16" fillId="3" borderId="1" applyAlignment="1" pivotButton="0" quotePrefix="0" xfId="3">
      <alignment horizontal="left"/>
    </xf>
    <xf numFmtId="197" fontId="19" fillId="3" borderId="1" applyAlignment="1" pivotButton="0" quotePrefix="0" xfId="3">
      <alignment horizontal="right"/>
    </xf>
    <xf numFmtId="170" fontId="17" fillId="0" borderId="0" applyAlignment="1" pivotButton="0" quotePrefix="0" xfId="3">
      <alignment horizontal="right"/>
    </xf>
    <xf numFmtId="166" fontId="19" fillId="3" borderId="1" applyAlignment="1" pivotButton="0" quotePrefix="0" xfId="3">
      <alignment horizontal="left"/>
    </xf>
    <xf numFmtId="169" fontId="32" fillId="0" borderId="1" applyAlignment="1" pivotButton="0" quotePrefix="0" xfId="0">
      <alignment horizontal="center" vertical="center"/>
    </xf>
    <xf numFmtId="179" fontId="32" fillId="0" borderId="1" applyAlignment="1" pivotButton="0" quotePrefix="0" xfId="0">
      <alignment horizontal="center"/>
    </xf>
    <xf numFmtId="165" fontId="32" fillId="0" borderId="1" applyAlignment="1" pivotButton="0" quotePrefix="0" xfId="3">
      <alignment horizontal="center"/>
    </xf>
    <xf numFmtId="169" fontId="4" fillId="0" borderId="1" applyAlignment="1" pivotButton="0" quotePrefix="0" xfId="0">
      <alignment horizontal="center" vertical="center"/>
    </xf>
    <xf numFmtId="179" fontId="4" fillId="0" borderId="1" applyAlignment="1" pivotButton="0" quotePrefix="0" xfId="0">
      <alignment horizontal="center"/>
    </xf>
    <xf numFmtId="165" fontId="4" fillId="0" borderId="1" applyAlignment="1" pivotButton="0" quotePrefix="0" xfId="3">
      <alignment horizontal="center"/>
    </xf>
    <xf numFmtId="180" fontId="49" fillId="6" borderId="2" applyAlignment="1" pivotButton="0" quotePrefix="0" xfId="0">
      <alignment vertical="center" justifyLastLine="1"/>
    </xf>
    <xf numFmtId="180" fontId="49" fillId="5" borderId="2" applyAlignment="1" pivotButton="0" quotePrefix="0" xfId="0">
      <alignment horizontal="right" vertical="center" justifyLastLine="1"/>
    </xf>
    <xf numFmtId="180" fontId="49" fillId="6" borderId="2" applyAlignment="1" pivotButton="0" quotePrefix="0" xfId="0">
      <alignment horizontal="right" vertical="center" justifyLastLine="1"/>
    </xf>
    <xf numFmtId="165" fontId="49" fillId="5" borderId="2" applyAlignment="1" pivotButton="0" quotePrefix="0" xfId="3">
      <alignment horizontal="right" vertical="center"/>
    </xf>
    <xf numFmtId="169" fontId="48" fillId="6" borderId="2" applyAlignment="1" pivotButton="0" quotePrefix="0" xfId="3">
      <alignment vertical="center" justifyLastLine="1"/>
    </xf>
    <xf numFmtId="169" fontId="48" fillId="5" borderId="2" applyAlignment="1" pivotButton="0" quotePrefix="0" xfId="3">
      <alignment horizontal="right" vertical="center" justifyLastLine="1"/>
    </xf>
    <xf numFmtId="169" fontId="48" fillId="6" borderId="2" applyAlignment="1" pivotButton="0" quotePrefix="0" xfId="3">
      <alignment horizontal="right" vertical="center" justifyLastLine="1"/>
    </xf>
    <xf numFmtId="165" fontId="41" fillId="5" borderId="2" applyAlignment="1" pivotButton="0" quotePrefix="0" xfId="3">
      <alignment horizontal="right" vertical="center" wrapText="1"/>
    </xf>
    <xf numFmtId="169" fontId="49" fillId="6" borderId="40" applyAlignment="1" pivotButton="0" quotePrefix="0" xfId="3">
      <alignment vertical="center" wrapText="1" justifyLastLine="1"/>
    </xf>
    <xf numFmtId="169" fontId="49" fillId="5" borderId="40" applyAlignment="1" pivotButton="0" quotePrefix="0" xfId="3">
      <alignment horizontal="right" vertical="center" wrapText="1" justifyLastLine="1"/>
    </xf>
    <xf numFmtId="169" fontId="49" fillId="5" borderId="2" applyAlignment="1" pivotButton="0" quotePrefix="0" xfId="3">
      <alignment horizontal="right" vertical="center" wrapText="1" justifyLastLine="1"/>
    </xf>
    <xf numFmtId="169" fontId="49" fillId="6" borderId="40" applyAlignment="1" pivotButton="0" quotePrefix="0" xfId="3">
      <alignment horizontal="right" vertical="center" wrapText="1" justifyLastLine="1"/>
    </xf>
    <xf numFmtId="170" fontId="50" fillId="3" borderId="34" applyAlignment="1" pivotButton="0" quotePrefix="0" xfId="3">
      <alignment horizontal="right" vertical="center"/>
    </xf>
    <xf numFmtId="170" fontId="44" fillId="3" borderId="6" applyAlignment="1" pivotButton="0" quotePrefix="0" xfId="3">
      <alignment horizontal="right" vertical="center"/>
    </xf>
    <xf numFmtId="170" fontId="44" fillId="3" borderId="11" applyAlignment="1" pivotButton="0" quotePrefix="0" xfId="3">
      <alignment horizontal="right" vertical="center"/>
    </xf>
    <xf numFmtId="186" fontId="44" fillId="5" borderId="37" applyAlignment="1" pivotButton="0" quotePrefix="0" xfId="4">
      <alignment horizontal="right" vertical="center"/>
    </xf>
    <xf numFmtId="186" fontId="44" fillId="5" borderId="2" applyAlignment="1" pivotButton="0" quotePrefix="0" xfId="4">
      <alignment horizontal="right" vertical="center"/>
    </xf>
    <xf numFmtId="186" fontId="51" fillId="6" borderId="6" applyAlignment="1" pivotButton="0" quotePrefix="0" xfId="4">
      <alignment horizontal="right" vertical="center"/>
    </xf>
    <xf numFmtId="170" fontId="52" fillId="5" borderId="14" applyAlignment="1" pivotButton="0" quotePrefix="0" xfId="3">
      <alignment horizontal="right" vertical="center"/>
    </xf>
    <xf numFmtId="170" fontId="52" fillId="5" borderId="2" applyAlignment="1" pivotButton="0" quotePrefix="0" xfId="3">
      <alignment horizontal="right" vertical="center"/>
    </xf>
    <xf numFmtId="170" fontId="52" fillId="6" borderId="0" applyAlignment="1" pivotButton="0" quotePrefix="0" xfId="3">
      <alignment horizontal="right" vertical="center"/>
    </xf>
    <xf numFmtId="186" fontId="44" fillId="5" borderId="14" applyAlignment="1" pivotButton="0" quotePrefix="0" xfId="4">
      <alignment horizontal="right" vertical="center"/>
    </xf>
    <xf numFmtId="186" fontId="44" fillId="6" borderId="0" applyAlignment="1" pivotButton="0" quotePrefix="0" xfId="4">
      <alignment horizontal="right" vertical="center"/>
    </xf>
    <xf numFmtId="170" fontId="44" fillId="5" borderId="14" applyAlignment="1" pivotButton="0" quotePrefix="0" xfId="3">
      <alignment horizontal="right" vertical="center"/>
    </xf>
    <xf numFmtId="170" fontId="44" fillId="5" borderId="2" applyAlignment="1" pivotButton="0" quotePrefix="0" xfId="3">
      <alignment horizontal="right" vertical="center"/>
    </xf>
    <xf numFmtId="170" fontId="44" fillId="6" borderId="0" applyAlignment="1" pivotButton="0" quotePrefix="0" xfId="3">
      <alignment horizontal="right" vertical="center"/>
    </xf>
    <xf numFmtId="180" fontId="48" fillId="6" borderId="2" applyAlignment="1" pivotButton="0" quotePrefix="0" xfId="0">
      <alignment horizontal="right" vertical="center"/>
    </xf>
    <xf numFmtId="180" fontId="48" fillId="6" borderId="0" applyAlignment="1" pivotButton="0" quotePrefix="0" xfId="0">
      <alignment horizontal="right" vertical="center"/>
    </xf>
    <xf numFmtId="170" fontId="52" fillId="6" borderId="14" applyAlignment="1" pivotButton="0" quotePrefix="0" xfId="3">
      <alignment horizontal="right" vertical="center"/>
    </xf>
    <xf numFmtId="170" fontId="52" fillId="6" borderId="2" applyAlignment="1" pivotButton="0" quotePrefix="0" xfId="3">
      <alignment horizontal="right" vertical="center"/>
    </xf>
    <xf numFmtId="170" fontId="44" fillId="3" borderId="38" applyAlignment="1" pivotButton="0" quotePrefix="0" xfId="0">
      <alignment horizontal="right" vertical="center"/>
    </xf>
    <xf numFmtId="170" fontId="44" fillId="3" borderId="9" applyAlignment="1" pivotButton="0" quotePrefix="0" xfId="0">
      <alignment horizontal="right" vertical="center"/>
    </xf>
    <xf numFmtId="170" fontId="44" fillId="3" borderId="24" applyAlignment="1" pivotButton="0" quotePrefix="0" xfId="0">
      <alignment horizontal="right" vertical="center"/>
    </xf>
    <xf numFmtId="186" fontId="43" fillId="5" borderId="14" applyAlignment="1" pivotButton="0" quotePrefix="0" xfId="4">
      <alignment horizontal="right" vertical="center"/>
    </xf>
    <xf numFmtId="186" fontId="43" fillId="5" borderId="2" applyAlignment="1" pivotButton="0" quotePrefix="0" xfId="4">
      <alignment horizontal="right" vertical="center"/>
    </xf>
    <xf numFmtId="186" fontId="43" fillId="3" borderId="0" applyAlignment="1" pivotButton="0" quotePrefix="0" xfId="4">
      <alignment horizontal="right" vertical="center"/>
    </xf>
    <xf numFmtId="186" fontId="43" fillId="6" borderId="0" applyAlignment="1" pivotButton="0" quotePrefix="0" xfId="4">
      <alignment horizontal="right" vertical="center"/>
    </xf>
    <xf numFmtId="186" fontId="53" fillId="5" borderId="14" applyAlignment="1" pivotButton="0" quotePrefix="0" xfId="4">
      <alignment horizontal="right" vertical="center"/>
    </xf>
    <xf numFmtId="186" fontId="53" fillId="5" borderId="2" applyAlignment="1" pivotButton="0" quotePrefix="0" xfId="4">
      <alignment horizontal="right" vertical="center"/>
    </xf>
    <xf numFmtId="186" fontId="53" fillId="6" borderId="0" applyAlignment="1" pivotButton="0" quotePrefix="0" xfId="4">
      <alignment horizontal="right" vertical="center"/>
    </xf>
    <xf numFmtId="186" fontId="52" fillId="5" borderId="14" applyAlignment="1" pivotButton="0" quotePrefix="0" xfId="4">
      <alignment horizontal="right" vertical="center"/>
    </xf>
    <xf numFmtId="186" fontId="52" fillId="5" borderId="2" applyAlignment="1" pivotButton="0" quotePrefix="0" xfId="4">
      <alignment horizontal="right" vertical="center"/>
    </xf>
    <xf numFmtId="186" fontId="52" fillId="3" borderId="0" applyAlignment="1" pivotButton="0" quotePrefix="0" xfId="4">
      <alignment horizontal="right" vertical="center"/>
    </xf>
    <xf numFmtId="186" fontId="53" fillId="6" borderId="14" applyAlignment="1" pivotButton="0" quotePrefix="0" xfId="4">
      <alignment horizontal="right" vertical="center"/>
    </xf>
    <xf numFmtId="186" fontId="53" fillId="6" borderId="2" applyAlignment="1" pivotButton="0" quotePrefix="0" xfId="4">
      <alignment horizontal="right" vertical="center"/>
    </xf>
    <xf numFmtId="186" fontId="50" fillId="3" borderId="37" applyAlignment="1" pivotButton="0" quotePrefix="0" xfId="3">
      <alignment horizontal="right" vertical="center"/>
    </xf>
    <xf numFmtId="186" fontId="50" fillId="3" borderId="36" applyAlignment="1" pivotButton="0" quotePrefix="0" xfId="3">
      <alignment horizontal="right" vertical="center"/>
    </xf>
    <xf numFmtId="186" fontId="50" fillId="3" borderId="17" applyAlignment="1" pivotButton="0" quotePrefix="0" xfId="3">
      <alignment horizontal="right" vertical="center"/>
    </xf>
    <xf numFmtId="186" fontId="50" fillId="3" borderId="11" applyAlignment="1" pivotButton="0" quotePrefix="0" xfId="3">
      <alignment horizontal="right" vertical="center"/>
    </xf>
    <xf numFmtId="186" fontId="50" fillId="3" borderId="24" applyAlignment="1" pivotButton="0" quotePrefix="0" xfId="3">
      <alignment vertical="center"/>
    </xf>
    <xf numFmtId="170" fontId="50" fillId="8" borderId="38" applyAlignment="1" pivotButton="0" quotePrefix="0" xfId="3">
      <alignment horizontal="right" vertical="center"/>
    </xf>
    <xf numFmtId="170" fontId="50" fillId="8" borderId="17" applyAlignment="1" pivotButton="0" quotePrefix="0" xfId="3">
      <alignment horizontal="right" vertical="center"/>
    </xf>
    <xf numFmtId="170" fontId="50" fillId="8" borderId="9" applyAlignment="1" pivotButton="0" quotePrefix="0" xfId="3">
      <alignment horizontal="right" vertical="center"/>
    </xf>
    <xf numFmtId="170" fontId="50" fillId="8" borderId="24" applyAlignment="1" pivotButton="0" quotePrefix="0" xfId="3">
      <alignment vertical="center"/>
    </xf>
    <xf numFmtId="170" fontId="0" fillId="5" borderId="0" pivotButton="0" quotePrefix="0" xfId="0"/>
    <xf numFmtId="194" fontId="32" fillId="6" borderId="1" pivotButton="0" quotePrefix="0" xfId="0"/>
    <xf numFmtId="165" fontId="47" fillId="22" borderId="0" pivotButton="0" quotePrefix="0" xfId="0"/>
    <xf numFmtId="165" fontId="47" fillId="22" borderId="1" pivotButton="0" quotePrefix="0" xfId="0"/>
    <xf numFmtId="165" fontId="50" fillId="22" borderId="1" applyAlignment="1" pivotButton="0" quotePrefix="0" xfId="0">
      <alignment horizontal="right"/>
    </xf>
    <xf numFmtId="165" fontId="50" fillId="6" borderId="11" pivotButton="0" quotePrefix="0" xfId="0"/>
    <xf numFmtId="174" fontId="5" fillId="3" borderId="11" applyAlignment="1" applyProtection="1" pivotButton="0" quotePrefix="0" xfId="0">
      <alignment horizontal="left"/>
      <protection locked="0" hidden="0"/>
    </xf>
    <xf numFmtId="165" fontId="34" fillId="3" borderId="11" pivotButton="0" quotePrefix="0" xfId="0"/>
    <xf numFmtId="170" fontId="34" fillId="3" borderId="1" pivotButton="0" quotePrefix="0" xfId="0"/>
    <xf numFmtId="167" fontId="81" fillId="5" borderId="0" applyAlignment="1" pivotButton="0" quotePrefix="0" xfId="0">
      <alignment horizontal="center"/>
    </xf>
    <xf numFmtId="198" fontId="81" fillId="5" borderId="0" applyAlignment="1" pivotButton="0" quotePrefix="0" xfId="0">
      <alignment horizontal="center"/>
    </xf>
    <xf numFmtId="198" fontId="0" fillId="10" borderId="0" pivotButton="0" quotePrefix="0" xfId="0"/>
    <xf numFmtId="198" fontId="0" fillId="5" borderId="0" applyAlignment="1" pivotButton="0" quotePrefix="0" xfId="0">
      <alignment horizontal="center"/>
    </xf>
    <xf numFmtId="167" fontId="0" fillId="5" borderId="0" applyAlignment="1" pivotButton="0" quotePrefix="0" xfId="0">
      <alignment horizontal="center"/>
    </xf>
    <xf numFmtId="171" fontId="0" fillId="5" borderId="0" applyAlignment="1" pivotButton="0" quotePrefix="0" xfId="0">
      <alignment horizontal="center"/>
    </xf>
    <xf numFmtId="199" fontId="0" fillId="5" borderId="0" applyAlignment="1" pivotButton="0" quotePrefix="0" xfId="0">
      <alignment horizontal="center"/>
    </xf>
    <xf numFmtId="198" fontId="0" fillId="0" borderId="0" pivotButton="0" quotePrefix="0" xfId="0"/>
    <xf numFmtId="165" fontId="32" fillId="0" borderId="0" pivotButton="0" quotePrefix="0" xfId="0"/>
    <xf numFmtId="165" fontId="19" fillId="6" borderId="1" applyAlignment="1" pivotButton="0" quotePrefix="0" xfId="0">
      <alignment horizontal="center"/>
    </xf>
    <xf numFmtId="165" fontId="17" fillId="6" borderId="0" applyAlignment="1" pivotButton="0" quotePrefix="0" xfId="0">
      <alignment vertical="center"/>
    </xf>
    <xf numFmtId="167" fontId="17" fillId="10" borderId="0" applyAlignment="1" pivotButton="0" quotePrefix="0" xfId="0">
      <alignment vertical="center"/>
    </xf>
    <xf numFmtId="170" fontId="17" fillId="6" borderId="0" applyAlignment="1" pivotButton="0" quotePrefix="0" xfId="0">
      <alignment vertical="center"/>
    </xf>
    <xf numFmtId="167" fontId="4" fillId="10" borderId="0" applyAlignment="1" pivotButton="0" quotePrefix="0" xfId="0">
      <alignment vertical="center"/>
    </xf>
    <xf numFmtId="170" fontId="4" fillId="6" borderId="0" applyAlignment="1" pivotButton="0" quotePrefix="0" xfId="0">
      <alignment vertical="center"/>
    </xf>
    <xf numFmtId="165" fontId="4" fillId="6" borderId="0" applyAlignment="1" pivotButton="0" quotePrefix="0" xfId="0">
      <alignment vertical="center"/>
    </xf>
    <xf numFmtId="170" fontId="4" fillId="5" borderId="0" applyAlignment="1" pivotButton="0" quotePrefix="0" xfId="0">
      <alignment vertical="center"/>
    </xf>
    <xf numFmtId="165" fontId="4" fillId="6" borderId="11" applyAlignment="1" pivotButton="0" quotePrefix="0" xfId="0">
      <alignment vertical="center"/>
    </xf>
    <xf numFmtId="198" fontId="4" fillId="10" borderId="0" applyAlignment="1" pivotButton="0" quotePrefix="0" xfId="2">
      <alignment vertical="center"/>
    </xf>
    <xf numFmtId="182" fontId="4" fillId="6" borderId="0" applyAlignment="1" pivotButton="0" quotePrefix="0" xfId="2">
      <alignment vertical="center"/>
    </xf>
    <xf numFmtId="198" fontId="4" fillId="10" borderId="1" applyAlignment="1" pivotButton="0" quotePrefix="0" xfId="2">
      <alignment vertical="center"/>
    </xf>
    <xf numFmtId="183" fontId="4" fillId="6" borderId="11" applyAlignment="1" pivotButton="0" quotePrefix="0" xfId="2">
      <alignment vertical="center"/>
    </xf>
    <xf numFmtId="183" fontId="4" fillId="6" borderId="0" applyAlignment="1" pivotButton="0" quotePrefix="0" xfId="2">
      <alignment vertical="center"/>
    </xf>
    <xf numFmtId="183" fontId="4" fillId="6" borderId="1" applyAlignment="1" pivotButton="0" quotePrefix="0" xfId="2">
      <alignment vertical="center"/>
    </xf>
    <xf numFmtId="165" fontId="4" fillId="6" borderId="1" applyAlignment="1" pivotButton="0" quotePrefix="0" xfId="3">
      <alignment vertical="center"/>
    </xf>
    <xf numFmtId="165" fontId="17" fillId="6" borderId="1" applyAlignment="1" pivotButton="0" quotePrefix="0" xfId="0">
      <alignment vertical="center"/>
    </xf>
    <xf numFmtId="170" fontId="23" fillId="0" borderId="0" applyAlignment="1" pivotButton="0" quotePrefix="0" xfId="0">
      <alignment vertical="center"/>
    </xf>
    <xf numFmtId="171" fontId="4" fillId="10" borderId="0" applyAlignment="1" pivotButton="0" quotePrefix="0" xfId="0">
      <alignment vertical="center"/>
    </xf>
    <xf numFmtId="170" fontId="4" fillId="6" borderId="0" applyAlignment="1" pivotButton="0" quotePrefix="0" xfId="0">
      <alignment horizontal="center" vertical="center"/>
    </xf>
    <xf numFmtId="165" fontId="19" fillId="6" borderId="0" applyAlignment="1" pivotButton="0" quotePrefix="0" xfId="0">
      <alignment vertical="center"/>
    </xf>
    <xf numFmtId="165" fontId="19" fillId="6" borderId="1" applyAlignment="1" pivotButton="0" quotePrefix="0" xfId="0">
      <alignment vertical="center"/>
    </xf>
    <xf numFmtId="166" fontId="23" fillId="0" borderId="0" applyAlignment="1" pivotButton="0" quotePrefix="0" xfId="3">
      <alignment vertical="center"/>
    </xf>
    <xf numFmtId="199" fontId="4" fillId="10" borderId="0" applyAlignment="1" pivotButton="0" quotePrefix="0" xfId="0">
      <alignment vertical="center"/>
    </xf>
    <xf numFmtId="184" fontId="4" fillId="6" borderId="0" applyAlignment="1" pivotButton="0" quotePrefix="0" xfId="0">
      <alignment vertical="center"/>
    </xf>
    <xf numFmtId="184" fontId="4" fillId="6" borderId="1" applyAlignment="1" pivotButton="0" quotePrefix="0" xfId="0">
      <alignment vertical="center"/>
    </xf>
    <xf numFmtId="171" fontId="4" fillId="6" borderId="0" applyAlignment="1" pivotButton="0" quotePrefix="0" xfId="0">
      <alignment vertical="center"/>
    </xf>
    <xf numFmtId="171" fontId="4" fillId="10" borderId="1" applyAlignment="1" pivotButton="0" quotePrefix="0" xfId="0">
      <alignment vertical="center"/>
    </xf>
    <xf numFmtId="165" fontId="4" fillId="6" borderId="1" applyAlignment="1" pivotButton="0" quotePrefix="0" xfId="0">
      <alignment vertical="center"/>
    </xf>
    <xf numFmtId="171" fontId="4" fillId="6" borderId="0" applyAlignment="1" pivotButton="0" quotePrefix="0" xfId="4">
      <alignment vertical="center"/>
    </xf>
    <xf numFmtId="165" fontId="7" fillId="6" borderId="1" applyAlignment="1" pivotButton="0" quotePrefix="0" xfId="0">
      <alignment vertical="center"/>
    </xf>
    <xf numFmtId="165" fontId="7" fillId="6" borderId="0" applyAlignment="1" pivotButton="0" quotePrefix="0" xfId="0">
      <alignment vertical="center"/>
    </xf>
    <xf numFmtId="174" fontId="7" fillId="6" borderId="0" applyAlignment="1" applyProtection="1" pivotButton="0" quotePrefix="0" xfId="0">
      <alignment horizontal="left"/>
      <protection locked="0" hidden="0"/>
    </xf>
    <xf numFmtId="165" fontId="19" fillId="6" borderId="0" pivotButton="0" quotePrefix="0" xfId="0"/>
    <xf numFmtId="170" fontId="17" fillId="6" borderId="0" applyAlignment="1" pivotButton="0" quotePrefix="0" xfId="3">
      <alignment vertical="center"/>
    </xf>
    <xf numFmtId="166" fontId="17" fillId="6" borderId="0" applyAlignment="1" pivotButton="0" quotePrefix="0" xfId="3">
      <alignment vertical="center"/>
    </xf>
    <xf numFmtId="165" fontId="19" fillId="5" borderId="11" applyAlignment="1" pivotButton="0" quotePrefix="0" xfId="0">
      <alignment horizontal="center"/>
    </xf>
    <xf numFmtId="165" fontId="17" fillId="5" borderId="0" applyAlignment="1" pivotButton="0" quotePrefix="0" xfId="0">
      <alignment horizontal="center"/>
    </xf>
    <xf numFmtId="165" fontId="17" fillId="5" borderId="0" applyAlignment="1" pivotButton="0" quotePrefix="0" xfId="0">
      <alignment vertical="center"/>
    </xf>
    <xf numFmtId="165" fontId="4" fillId="5" borderId="1" pivotButton="0" quotePrefix="0" xfId="0"/>
    <xf numFmtId="169" fontId="32" fillId="0" borderId="0" pivotButton="0" quotePrefix="0" xfId="0"/>
    <xf numFmtId="165" fontId="4" fillId="6" borderId="0" pivotButton="0" quotePrefix="0" xfId="0"/>
    <xf numFmtId="169" fontId="4" fillId="0" borderId="0" pivotButton="0" quotePrefix="0" xfId="0"/>
    <xf numFmtId="167" fontId="4" fillId="0" borderId="0" pivotButton="0" quotePrefix="0" xfId="0"/>
    <xf numFmtId="165" fontId="32" fillId="6" borderId="0" pivotButton="0" quotePrefix="0" xfId="0"/>
    <xf numFmtId="165" fontId="32" fillId="6" borderId="0" applyAlignment="1" pivotButton="0" quotePrefix="0" xfId="0">
      <alignment vertical="center"/>
    </xf>
    <xf numFmtId="169" fontId="7" fillId="0" borderId="0" pivotButton="0" quotePrefix="0" xfId="0"/>
    <xf numFmtId="167" fontId="7" fillId="0" borderId="0" pivotButton="0" quotePrefix="0" xfId="0"/>
    <xf numFmtId="164" fontId="23" fillId="0" borderId="0" applyAlignment="1" pivotButton="0" quotePrefix="0" xfId="0">
      <alignment horizontal="center"/>
    </xf>
    <xf numFmtId="182" fontId="4" fillId="6" borderId="1" applyAlignment="1" pivotButton="0" quotePrefix="0" xfId="2">
      <alignment vertical="center"/>
    </xf>
    <xf numFmtId="171" fontId="4" fillId="6" borderId="1" applyAlignment="1" pivotButton="0" quotePrefix="0" xfId="0">
      <alignment vertical="center"/>
    </xf>
    <xf numFmtId="165" fontId="7" fillId="6" borderId="9" applyAlignment="1" pivotButton="0" quotePrefix="0" xfId="0">
      <alignment vertical="center"/>
    </xf>
    <xf numFmtId="169" fontId="23" fillId="0" borderId="0" applyAlignment="1" pivotButton="0" quotePrefix="0" xfId="0">
      <alignment vertical="center"/>
    </xf>
    <xf numFmtId="170" fontId="32" fillId="6" borderId="0" pivotButton="0" quotePrefix="0" xfId="0"/>
    <xf numFmtId="165" fontId="7" fillId="6" borderId="0" pivotButton="0" quotePrefix="0" xfId="0"/>
    <xf numFmtId="166" fontId="17" fillId="6" borderId="1" applyAlignment="1" pivotButton="0" quotePrefix="0" xfId="3">
      <alignment vertical="center"/>
    </xf>
    <xf numFmtId="185" fontId="4" fillId="6" borderId="0" applyAlignment="1" pivotButton="0" quotePrefix="0" xfId="0">
      <alignment horizontal="left"/>
    </xf>
    <xf numFmtId="185" fontId="7" fillId="6" borderId="0" applyAlignment="1" pivotButton="0" quotePrefix="0" xfId="0">
      <alignment horizontal="left"/>
    </xf>
    <xf numFmtId="170" fontId="24" fillId="6" borderId="1" applyAlignment="1" pivotButton="0" quotePrefix="0" xfId="0">
      <alignment vertical="center"/>
    </xf>
    <xf numFmtId="165" fontId="17" fillId="6" borderId="1" applyAlignment="1" pivotButton="0" quotePrefix="0" xfId="0">
      <alignment horizontal="right" vertical="center"/>
    </xf>
    <xf numFmtId="165" fontId="17" fillId="6" borderId="11" applyAlignment="1" pivotButton="0" quotePrefix="0" xfId="3">
      <alignment horizontal="right" vertical="center"/>
    </xf>
    <xf numFmtId="165" fontId="17" fillId="6" borderId="1" applyAlignment="1" pivotButton="0" quotePrefix="0" xfId="3">
      <alignment horizontal="right" vertical="center"/>
    </xf>
    <xf numFmtId="170" fontId="24" fillId="6" borderId="9" applyAlignment="1" pivotButton="0" quotePrefix="0" xfId="0">
      <alignment vertical="center"/>
    </xf>
    <xf numFmtId="165" fontId="4" fillId="6" borderId="9" applyAlignment="1" pivotButton="0" quotePrefix="0" xfId="0">
      <alignment vertical="center"/>
    </xf>
    <xf numFmtId="165" fontId="24" fillId="6" borderId="11" applyAlignment="1" pivotButton="0" quotePrefix="0" xfId="0">
      <alignment vertical="center"/>
    </xf>
    <xf numFmtId="165" fontId="38" fillId="6" borderId="11" applyAlignment="1" pivotButton="0" quotePrefix="0" xfId="0">
      <alignment horizontal="right" vertical="center"/>
    </xf>
    <xf numFmtId="165" fontId="24" fillId="6" borderId="0" applyAlignment="1" pivotButton="0" quotePrefix="0" xfId="0">
      <alignment vertical="center"/>
    </xf>
    <xf numFmtId="165" fontId="38" fillId="6" borderId="0" applyAlignment="1" pivotButton="0" quotePrefix="0" xfId="0">
      <alignment horizontal="right" vertical="center"/>
    </xf>
    <xf numFmtId="165" fontId="24" fillId="6" borderId="1" applyAlignment="1" pivotButton="0" quotePrefix="0" xfId="0">
      <alignment vertical="center"/>
    </xf>
    <xf numFmtId="165" fontId="38" fillId="6" borderId="1" applyAlignment="1" pivotButton="0" quotePrefix="0" xfId="0">
      <alignment horizontal="right" vertical="center"/>
    </xf>
    <xf numFmtId="165" fontId="17" fillId="6" borderId="9" applyAlignment="1" pivotButton="0" quotePrefix="0" xfId="3">
      <alignment horizontal="right" vertical="center"/>
    </xf>
    <xf numFmtId="165" fontId="17" fillId="6" borderId="11" applyAlignment="1" pivotButton="0" quotePrefix="0" xfId="0">
      <alignment vertical="center"/>
    </xf>
    <xf numFmtId="168" fontId="32" fillId="6" borderId="0" pivotButton="0" quotePrefix="0" xfId="2"/>
    <xf numFmtId="185" fontId="24" fillId="6" borderId="1" applyAlignment="1" pivotButton="0" quotePrefix="0" xfId="0">
      <alignment horizontal="left"/>
    </xf>
    <xf numFmtId="169" fontId="4" fillId="6" borderId="0" pivotButton="0" quotePrefix="0" xfId="0"/>
    <xf numFmtId="167" fontId="4" fillId="6" borderId="0" pivotButton="0" quotePrefix="0" xfId="0"/>
    <xf numFmtId="169" fontId="7" fillId="3" borderId="0" pivotButton="0" quotePrefix="0" xfId="0"/>
    <xf numFmtId="167" fontId="7" fillId="3" borderId="0" pivotButton="0" quotePrefix="0" xfId="0"/>
    <xf numFmtId="164" fontId="23" fillId="6" borderId="1" applyAlignment="1" pivotButton="0" quotePrefix="0" xfId="0">
      <alignment horizontal="center"/>
    </xf>
    <xf numFmtId="188" fontId="1" fillId="6" borderId="0" pivotButton="0" quotePrefix="0" xfId="8"/>
    <xf numFmtId="188" fontId="1" fillId="6" borderId="0" applyAlignment="1" pivotButton="0" quotePrefix="0" xfId="8">
      <alignment wrapText="1"/>
    </xf>
    <xf numFmtId="188" fontId="44" fillId="6" borderId="1" applyAlignment="1" pivotButton="0" quotePrefix="0" xfId="8">
      <alignment horizontal="center" wrapText="1"/>
    </xf>
    <xf numFmtId="188" fontId="44" fillId="5" borderId="9" applyAlignment="1" pivotButton="0" quotePrefix="0" xfId="8">
      <alignment horizontal="right" vertical="center"/>
    </xf>
    <xf numFmtId="189" fontId="44" fillId="5" borderId="9" applyAlignment="1" pivotButton="0" quotePrefix="0" xfId="8">
      <alignment horizontal="right" vertical="center" wrapText="1"/>
    </xf>
    <xf numFmtId="193" fontId="1" fillId="6" borderId="0" pivotButton="0" quotePrefix="0" xfId="9"/>
    <xf numFmtId="188" fontId="1" fillId="6" borderId="0" pivotButton="0" quotePrefix="0" xfId="9"/>
    <xf numFmtId="167" fontId="1" fillId="6" borderId="0" pivotButton="0" quotePrefix="0" xfId="9"/>
    <xf numFmtId="167" fontId="1" fillId="6" borderId="0" applyAlignment="1" pivotButton="0" quotePrefix="0" xfId="8">
      <alignment horizontal="right" vertical="center"/>
    </xf>
    <xf numFmtId="188" fontId="1" fillId="6" borderId="1" pivotButton="0" quotePrefix="0" xfId="9"/>
    <xf numFmtId="167" fontId="1" fillId="6" borderId="1" pivotButton="0" quotePrefix="0" xfId="9"/>
    <xf numFmtId="189" fontId="5" fillId="6" borderId="0" applyAlignment="1" pivotButton="0" quotePrefix="0" xfId="8">
      <alignment wrapText="1"/>
    </xf>
    <xf numFmtId="167" fontId="5" fillId="6" borderId="0" applyAlignment="1" pivotButton="0" quotePrefix="0" xfId="8">
      <alignment horizontal="right"/>
    </xf>
    <xf numFmtId="188" fontId="1" fillId="6" borderId="1" pivotButton="0" quotePrefix="0" xfId="8"/>
    <xf numFmtId="189" fontId="5" fillId="6" borderId="1" applyAlignment="1" pivotButton="0" quotePrefix="0" xfId="8">
      <alignment wrapText="1"/>
    </xf>
    <xf numFmtId="167" fontId="5" fillId="6" borderId="1" applyAlignment="1" pivotButton="0" quotePrefix="0" xfId="8">
      <alignment horizontal="right"/>
    </xf>
    <xf numFmtId="180" fontId="49" fillId="6" borderId="0" applyAlignment="1" pivotButton="0" quotePrefix="0" xfId="0">
      <alignment horizontal="right" vertical="top" justifyLastLine="1"/>
    </xf>
    <xf numFmtId="180" fontId="49" fillId="6" borderId="2" applyAlignment="1" pivotButton="0" quotePrefix="0" xfId="0">
      <alignment horizontal="right" vertical="top" justifyLastLine="1"/>
    </xf>
    <xf numFmtId="180" fontId="49" fillId="6" borderId="15" applyAlignment="1" pivotButton="0" quotePrefix="0" xfId="0">
      <alignment horizontal="right" vertical="top" justifyLastLine="1"/>
    </xf>
    <xf numFmtId="169" fontId="49" fillId="6" borderId="15" applyAlignment="1" pivotButton="0" quotePrefix="0" xfId="0">
      <alignment horizontal="right" vertical="top"/>
    </xf>
    <xf numFmtId="169" fontId="48" fillId="6" borderId="0" applyAlignment="1" pivotButton="0" quotePrefix="0" xfId="3">
      <alignment horizontal="right" vertical="top" justifyLastLine="1"/>
    </xf>
    <xf numFmtId="169" fontId="48" fillId="6" borderId="2" applyAlignment="1" pivotButton="0" quotePrefix="0" xfId="3">
      <alignment horizontal="right" vertical="top" justifyLastLine="1"/>
    </xf>
    <xf numFmtId="169" fontId="48" fillId="6" borderId="15" applyAlignment="1" pivotButton="0" quotePrefix="0" xfId="3">
      <alignment horizontal="right" vertical="top" justifyLastLine="1"/>
    </xf>
    <xf numFmtId="165" fontId="41" fillId="6" borderId="15" applyAlignment="1" pivotButton="0" quotePrefix="0" xfId="3">
      <alignment horizontal="right" vertical="top" wrapText="1"/>
    </xf>
    <xf numFmtId="169" fontId="49" fillId="6" borderId="41" applyAlignment="1" pivotButton="0" quotePrefix="0" xfId="3">
      <alignment horizontal="right" vertical="top" wrapText="1" justifyLastLine="1"/>
    </xf>
    <xf numFmtId="169" fontId="49" fillId="6" borderId="7" applyAlignment="1" pivotButton="0" quotePrefix="0" xfId="3">
      <alignment horizontal="right" vertical="top" wrapText="1" justifyLastLine="1"/>
    </xf>
    <xf numFmtId="170" fontId="50" fillId="3" borderId="65" applyAlignment="1" pivotButton="0" quotePrefix="0" xfId="3">
      <alignment horizontal="right" vertical="top"/>
    </xf>
    <xf numFmtId="170" fontId="44" fillId="3" borderId="37" applyAlignment="1" pivotButton="0" quotePrefix="0" xfId="3">
      <alignment horizontal="right" vertical="top"/>
    </xf>
    <xf numFmtId="170" fontId="44" fillId="3" borderId="6" applyAlignment="1" pivotButton="0" quotePrefix="0" xfId="3">
      <alignment horizontal="right" vertical="top"/>
    </xf>
    <xf numFmtId="190" fontId="48" fillId="6" borderId="37" applyAlignment="1" pivotButton="0" quotePrefix="0" xfId="4">
      <alignment horizontal="right" vertical="top"/>
    </xf>
    <xf numFmtId="186" fontId="51" fillId="6" borderId="6" applyAlignment="1" pivotButton="0" quotePrefix="0" xfId="4">
      <alignment horizontal="right" vertical="top"/>
    </xf>
    <xf numFmtId="190" fontId="41" fillId="6" borderId="14" applyAlignment="1" pivotButton="0" quotePrefix="0" xfId="4">
      <alignment horizontal="right" vertical="top"/>
    </xf>
    <xf numFmtId="186" fontId="43" fillId="6" borderId="0" applyAlignment="1" pivotButton="0" quotePrefix="0" xfId="4">
      <alignment horizontal="right" vertical="top"/>
    </xf>
    <xf numFmtId="190" fontId="52" fillId="6" borderId="14" applyAlignment="1" pivotButton="0" quotePrefix="0" xfId="3">
      <alignment horizontal="right" vertical="top"/>
    </xf>
    <xf numFmtId="170" fontId="52" fillId="6" borderId="0" applyAlignment="1" pivotButton="0" quotePrefix="0" xfId="3">
      <alignment horizontal="right" vertical="top"/>
    </xf>
    <xf numFmtId="190" fontId="52" fillId="3" borderId="38" applyAlignment="1" pivotButton="0" quotePrefix="0" xfId="0">
      <alignment horizontal="right" vertical="top" wrapText="1"/>
    </xf>
    <xf numFmtId="170" fontId="44" fillId="3" borderId="38" applyAlignment="1" pivotButton="0" quotePrefix="0" xfId="0">
      <alignment horizontal="right" vertical="top"/>
    </xf>
    <xf numFmtId="170" fontId="44" fillId="3" borderId="24" applyAlignment="1" pivotButton="0" quotePrefix="0" xfId="0">
      <alignment horizontal="right" vertical="top"/>
    </xf>
    <xf numFmtId="186" fontId="48" fillId="15" borderId="37" applyAlignment="1" pivotButton="0" quotePrefix="0" xfId="0">
      <alignment horizontal="right" vertical="top"/>
    </xf>
    <xf numFmtId="186" fontId="55" fillId="0" borderId="0" applyAlignment="1" pivotButton="0" quotePrefix="0" xfId="0">
      <alignment horizontal="right" vertical="top"/>
    </xf>
    <xf numFmtId="186" fontId="43" fillId="3" borderId="0" applyAlignment="1" pivotButton="0" quotePrefix="0" xfId="4">
      <alignment horizontal="right" vertical="top"/>
    </xf>
    <xf numFmtId="190" fontId="49" fillId="6" borderId="14" applyAlignment="1" pivotButton="0" quotePrefix="0" xfId="4">
      <alignment horizontal="right" vertical="top"/>
    </xf>
    <xf numFmtId="186" fontId="52" fillId="3" borderId="0" applyAlignment="1" pivotButton="0" quotePrefix="0" xfId="4">
      <alignment horizontal="right" vertical="top"/>
    </xf>
    <xf numFmtId="190" fontId="50" fillId="3" borderId="37" applyAlignment="1" pivotButton="0" quotePrefix="0" xfId="3">
      <alignment horizontal="right"/>
    </xf>
    <xf numFmtId="190" fontId="50" fillId="3" borderId="37" pivotButton="0" quotePrefix="0" xfId="3"/>
    <xf numFmtId="186" fontId="50" fillId="3" borderId="6" pivotButton="0" quotePrefix="0" xfId="3"/>
    <xf numFmtId="170" fontId="50" fillId="8" borderId="38" applyAlignment="1" pivotButton="0" quotePrefix="0" xfId="3">
      <alignment horizontal="right"/>
    </xf>
    <xf numFmtId="170" fontId="50" fillId="8" borderId="66" pivotButton="0" quotePrefix="0" xfId="3"/>
    <xf numFmtId="170" fontId="50" fillId="8" borderId="39" pivotButton="0" quotePrefix="0" xfId="3"/>
    <xf numFmtId="170" fontId="50" fillId="8" borderId="64" pivotButton="0" quotePrefix="0" xfId="3"/>
    <xf numFmtId="194" fontId="32" fillId="0" borderId="1" pivotButton="0" quotePrefix="0" xfId="0"/>
    <xf numFmtId="165" fontId="47" fillId="0" borderId="0" pivotButton="0" quotePrefix="0" xfId="0"/>
    <xf numFmtId="165" fontId="47" fillId="0" borderId="1" pivotButton="0" quotePrefix="0" xfId="0"/>
    <xf numFmtId="165" fontId="50" fillId="0" borderId="1" applyAlignment="1" pivotButton="0" quotePrefix="0" xfId="0">
      <alignment horizontal="right"/>
    </xf>
    <xf numFmtId="165" fontId="50" fillId="0" borderId="11" pivotButton="0" quotePrefix="0" xfId="0"/>
    <xf numFmtId="166" fontId="0" fillId="0" borderId="0" pivotButton="0" quotePrefix="0" xfId="0"/>
    <xf numFmtId="169" fontId="5" fillId="0" borderId="11" pivotButton="0" quotePrefix="0" xfId="0"/>
    <xf numFmtId="167" fontId="5" fillId="0" borderId="36" pivotButton="0" quotePrefix="0" xfId="0"/>
    <xf numFmtId="169" fontId="5" fillId="0" borderId="1" pivotButton="0" quotePrefix="0" xfId="0"/>
    <xf numFmtId="167" fontId="5" fillId="0" borderId="4" pivotButton="0" quotePrefix="0" xfId="0"/>
    <xf numFmtId="167" fontId="48" fillId="5" borderId="9" applyAlignment="1" pivotButton="0" quotePrefix="0" xfId="0">
      <alignment horizontal="center"/>
    </xf>
    <xf numFmtId="164" fontId="53" fillId="10" borderId="1" applyAlignment="1" pivotButton="0" quotePrefix="0" xfId="0">
      <alignment horizontal="center"/>
    </xf>
    <xf numFmtId="180" fontId="49" fillId="0" borderId="15" applyAlignment="1" pivotButton="0" quotePrefix="0" xfId="0">
      <alignment horizontal="right" vertical="center" justifyLastLine="1"/>
    </xf>
    <xf numFmtId="180" fontId="49" fillId="0" borderId="2" applyAlignment="1" pivotButton="0" quotePrefix="0" xfId="0">
      <alignment horizontal="right" vertical="center" justifyLastLine="1"/>
    </xf>
    <xf numFmtId="180" fontId="49" fillId="0" borderId="0" applyAlignment="1" pivotButton="0" quotePrefix="0" xfId="0">
      <alignment horizontal="right" vertical="center" justifyLastLine="1"/>
    </xf>
    <xf numFmtId="165" fontId="49" fillId="0" borderId="2" applyAlignment="1" pivotButton="0" quotePrefix="0" xfId="3">
      <alignment horizontal="right" vertical="center"/>
    </xf>
    <xf numFmtId="169" fontId="48" fillId="0" borderId="15" applyAlignment="1" pivotButton="0" quotePrefix="0" xfId="3">
      <alignment horizontal="right" vertical="center" justifyLastLine="1"/>
    </xf>
    <xf numFmtId="169" fontId="48" fillId="0" borderId="2" applyAlignment="1" pivotButton="0" quotePrefix="0" xfId="3">
      <alignment horizontal="right" vertical="center" justifyLastLine="1"/>
    </xf>
    <xf numFmtId="169" fontId="48" fillId="0" borderId="0" applyAlignment="1" pivotButton="0" quotePrefix="0" xfId="3">
      <alignment horizontal="right" vertical="center" justifyLastLine="1"/>
    </xf>
    <xf numFmtId="168" fontId="48" fillId="0" borderId="15" applyAlignment="1" pivotButton="0" quotePrefix="0" xfId="2">
      <alignment horizontal="right" vertical="center" justifyLastLine="1"/>
    </xf>
    <xf numFmtId="165" fontId="41" fillId="0" borderId="2" applyAlignment="1" pivotButton="0" quotePrefix="0" xfId="3">
      <alignment horizontal="right" vertical="center" wrapText="1"/>
    </xf>
    <xf numFmtId="169" fontId="49" fillId="6" borderId="75" applyAlignment="1" pivotButton="0" quotePrefix="0" xfId="3">
      <alignment horizontal="right" vertical="top" wrapText="1" justifyLastLine="1"/>
    </xf>
    <xf numFmtId="169" fontId="49" fillId="0" borderId="75" applyAlignment="1" pivotButton="0" quotePrefix="0" xfId="3">
      <alignment horizontal="right" vertical="center" wrapText="1" justifyLastLine="1"/>
    </xf>
    <xf numFmtId="169" fontId="49" fillId="0" borderId="40" applyAlignment="1" pivotButton="0" quotePrefix="0" xfId="3">
      <alignment horizontal="right" vertical="center" wrapText="1" justifyLastLine="1"/>
    </xf>
    <xf numFmtId="169" fontId="49" fillId="0" borderId="0" applyAlignment="1" pivotButton="0" quotePrefix="0" xfId="3">
      <alignment horizontal="right" vertical="center" wrapText="1" justifyLastLine="1"/>
    </xf>
    <xf numFmtId="170" fontId="44" fillId="3" borderId="9" applyAlignment="1" pivotButton="0" quotePrefix="0" xfId="3">
      <alignment horizontal="right" vertical="center"/>
    </xf>
    <xf numFmtId="170" fontId="44" fillId="3" borderId="37" applyAlignment="1" pivotButton="0" quotePrefix="0" xfId="3">
      <alignment horizontal="right" vertical="center"/>
    </xf>
    <xf numFmtId="170" fontId="44" fillId="3" borderId="0" applyAlignment="1" pivotButton="0" quotePrefix="0" xfId="3">
      <alignment horizontal="right" vertical="center"/>
    </xf>
    <xf numFmtId="186" fontId="44" fillId="0" borderId="6" applyAlignment="1" pivotButton="0" quotePrefix="0" xfId="4">
      <alignment horizontal="right" vertical="center"/>
    </xf>
    <xf numFmtId="186" fontId="44" fillId="0" borderId="0" applyAlignment="1" pivotButton="0" quotePrefix="0" xfId="4">
      <alignment horizontal="right" vertical="center"/>
    </xf>
    <xf numFmtId="186" fontId="44" fillId="0" borderId="37" applyAlignment="1" pivotButton="0" quotePrefix="0" xfId="4">
      <alignment horizontal="right" vertical="center"/>
    </xf>
    <xf numFmtId="186" fontId="51" fillId="0" borderId="0" applyAlignment="1" pivotButton="0" quotePrefix="0" xfId="4">
      <alignment horizontal="right" vertical="center"/>
    </xf>
    <xf numFmtId="170" fontId="44" fillId="0" borderId="0" applyAlignment="1" pivotButton="0" quotePrefix="0" xfId="3">
      <alignment horizontal="right" vertical="center"/>
    </xf>
    <xf numFmtId="170" fontId="52" fillId="0" borderId="0" applyAlignment="1" pivotButton="0" quotePrefix="0" xfId="3">
      <alignment horizontal="right" vertical="center"/>
    </xf>
    <xf numFmtId="170" fontId="52" fillId="0" borderId="14" applyAlignment="1" pivotButton="0" quotePrefix="0" xfId="3">
      <alignment horizontal="right" vertical="center"/>
    </xf>
    <xf numFmtId="186" fontId="43" fillId="0" borderId="0" applyAlignment="1" pivotButton="0" quotePrefix="0" xfId="4">
      <alignment horizontal="right" vertical="center"/>
    </xf>
    <xf numFmtId="186" fontId="44" fillId="0" borderId="14" applyAlignment="1" pivotButton="0" quotePrefix="0" xfId="4">
      <alignment horizontal="right" vertical="center"/>
    </xf>
    <xf numFmtId="170" fontId="44" fillId="0" borderId="14" applyAlignment="1" pivotButton="0" quotePrefix="0" xfId="3">
      <alignment horizontal="right" vertical="center"/>
    </xf>
    <xf numFmtId="180" fontId="48" fillId="0" borderId="2" applyAlignment="1" pivotButton="0" quotePrefix="0" xfId="0">
      <alignment horizontal="right" vertical="center"/>
    </xf>
    <xf numFmtId="180" fontId="53" fillId="0" borderId="0" applyAlignment="1" pivotButton="0" quotePrefix="0" xfId="0">
      <alignment horizontal="right" vertical="center"/>
    </xf>
    <xf numFmtId="170" fontId="44" fillId="3" borderId="0" applyAlignment="1" pivotButton="0" quotePrefix="0" xfId="0">
      <alignment horizontal="right" vertical="center"/>
    </xf>
    <xf numFmtId="186" fontId="55" fillId="0" borderId="0" applyAlignment="1" pivotButton="0" quotePrefix="0" xfId="0">
      <alignment horizontal="right" vertical="center"/>
    </xf>
    <xf numFmtId="186" fontId="55" fillId="0" borderId="14" applyAlignment="1" pivotButton="0" quotePrefix="0" xfId="0">
      <alignment horizontal="right" vertical="center"/>
    </xf>
    <xf numFmtId="186" fontId="43" fillId="3" borderId="14" applyAlignment="1" pivotButton="0" quotePrefix="0" xfId="4">
      <alignment horizontal="right" vertical="center"/>
    </xf>
    <xf numFmtId="186" fontId="43" fillId="0" borderId="14" applyAlignment="1" pivotButton="0" quotePrefix="0" xfId="4">
      <alignment horizontal="right" vertical="center"/>
    </xf>
    <xf numFmtId="186" fontId="53" fillId="0" borderId="0" applyAlignment="1" pivotButton="0" quotePrefix="0" xfId="4">
      <alignment horizontal="right" vertical="center"/>
    </xf>
    <xf numFmtId="186" fontId="53" fillId="0" borderId="14" applyAlignment="1" pivotButton="0" quotePrefix="0" xfId="4">
      <alignment horizontal="right" vertical="center"/>
    </xf>
    <xf numFmtId="168" fontId="56" fillId="0" borderId="2" applyAlignment="1" pivotButton="0" quotePrefix="0" xfId="2">
      <alignment horizontal="right" vertical="center"/>
    </xf>
    <xf numFmtId="168" fontId="56" fillId="0" borderId="0" applyAlignment="1" pivotButton="0" quotePrefix="0" xfId="2">
      <alignment horizontal="right" vertical="center"/>
    </xf>
    <xf numFmtId="186" fontId="52" fillId="3" borderId="14" applyAlignment="1" pivotButton="0" quotePrefix="0" xfId="4">
      <alignment horizontal="right" vertical="center"/>
    </xf>
    <xf numFmtId="186" fontId="53" fillId="0" borderId="1" applyAlignment="1" pivotButton="0" quotePrefix="0" xfId="4">
      <alignment horizontal="right" vertical="center"/>
    </xf>
    <xf numFmtId="186" fontId="50" fillId="3" borderId="6" applyAlignment="1" pivotButton="0" quotePrefix="0" xfId="3">
      <alignment vertical="center"/>
    </xf>
    <xf numFmtId="186" fontId="50" fillId="3" borderId="1" applyAlignment="1" pivotButton="0" quotePrefix="0" xfId="3">
      <alignment vertical="center"/>
    </xf>
    <xf numFmtId="186" fontId="50" fillId="3" borderId="38" applyAlignment="1" pivotButton="0" quotePrefix="0" xfId="3">
      <alignment vertical="center"/>
    </xf>
    <xf numFmtId="186" fontId="50" fillId="3" borderId="0" applyAlignment="1" pivotButton="0" quotePrefix="0" xfId="3">
      <alignment vertical="center"/>
    </xf>
    <xf numFmtId="170" fontId="50" fillId="8" borderId="1" applyAlignment="1" pivotButton="0" quotePrefix="0" xfId="3">
      <alignment vertical="center"/>
    </xf>
    <xf numFmtId="170" fontId="50" fillId="8" borderId="38" applyAlignment="1" pivotButton="0" quotePrefix="0" xfId="3">
      <alignment vertical="center"/>
    </xf>
    <xf numFmtId="170" fontId="50" fillId="8" borderId="0" applyAlignment="1" pivotButton="0" quotePrefix="0" xfId="3">
      <alignment vertical="center"/>
    </xf>
    <xf numFmtId="166" fontId="0" fillId="0" borderId="0" pivotButton="0" quotePrefix="0" xfId="3"/>
    <xf numFmtId="181" fontId="0" fillId="0" borderId="0" pivotButton="0" quotePrefix="0" xfId="3"/>
    <xf numFmtId="167" fontId="0" fillId="0" borderId="0" pivotButton="0" quotePrefix="0" xfId="4"/>
    <xf numFmtId="171" fontId="0" fillId="0" borderId="0" pivotButton="0" quotePrefix="0" xfId="4"/>
    <xf numFmtId="169" fontId="0" fillId="5" borderId="14" pivotButton="0" quotePrefix="0" xfId="0"/>
    <xf numFmtId="165" fontId="32" fillId="0" borderId="0" applyAlignment="1" pivotButton="0" quotePrefix="0" xfId="1">
      <alignment horizontal="left" vertical="top"/>
    </xf>
    <xf numFmtId="164" fontId="32" fillId="0" borderId="0" applyAlignment="1" pivotButton="0" quotePrefix="0" xfId="1">
      <alignment horizontal="left" vertical="top"/>
    </xf>
    <xf numFmtId="169" fontId="0" fillId="5" borderId="4" pivotButton="0" quotePrefix="0" xfId="0"/>
    <xf numFmtId="169" fontId="0" fillId="0" borderId="14" pivotButton="0" quotePrefix="0" xfId="3"/>
    <xf numFmtId="167" fontId="0" fillId="0" borderId="4" pivotButton="0" quotePrefix="0" xfId="3"/>
    <xf numFmtId="181" fontId="0" fillId="0" borderId="0" pivotButton="0" quotePrefix="0" xfId="0"/>
    <xf numFmtId="167" fontId="41" fillId="6" borderId="15" applyAlignment="1" pivotButton="0" quotePrefix="0" xfId="0">
      <alignment vertical="center" wrapText="1"/>
    </xf>
    <xf numFmtId="169" fontId="41" fillId="5" borderId="15" applyAlignment="1" pivotButton="0" quotePrefix="0" xfId="3">
      <alignment horizontal="center" vertical="center" wrapText="1"/>
    </xf>
    <xf numFmtId="167" fontId="41" fillId="5" borderId="15" applyAlignment="1" pivotButton="0" quotePrefix="0" xfId="3">
      <alignment horizontal="center" vertical="center" wrapText="1"/>
    </xf>
    <xf numFmtId="167" fontId="41" fillId="0" borderId="15" applyAlignment="1" pivotButton="0" quotePrefix="0" xfId="3">
      <alignment horizontal="center" vertical="center" wrapText="1"/>
    </xf>
    <xf numFmtId="180" fontId="41" fillId="5" borderId="15" applyAlignment="1" pivotButton="0" quotePrefix="0" xfId="3">
      <alignment horizontal="center" vertical="center" wrapText="1"/>
    </xf>
    <xf numFmtId="180" fontId="41" fillId="0" borderId="15" applyAlignment="1" pivotButton="0" quotePrefix="0" xfId="3">
      <alignment horizontal="center" vertical="center" wrapText="1"/>
    </xf>
    <xf numFmtId="167" fontId="41" fillId="6" borderId="22" applyAlignment="1" pivotButton="0" quotePrefix="0" xfId="0">
      <alignment vertical="center" wrapText="1"/>
    </xf>
    <xf numFmtId="167" fontId="41" fillId="5" borderId="22" applyAlignment="1" pivotButton="0" quotePrefix="0" xfId="3">
      <alignment horizontal="center" vertical="center" wrapText="1"/>
    </xf>
    <xf numFmtId="167" fontId="41" fillId="0" borderId="22" applyAlignment="1" pivotButton="0" quotePrefix="0" xfId="3">
      <alignment horizontal="center" vertical="center" wrapText="1"/>
    </xf>
    <xf numFmtId="167" fontId="43" fillId="3" borderId="10" applyAlignment="1" pivotButton="0" quotePrefix="0" xfId="0">
      <alignment vertical="center" wrapText="1"/>
    </xf>
    <xf numFmtId="167" fontId="43" fillId="3" borderId="10" applyAlignment="1" pivotButton="0" quotePrefix="0" xfId="3">
      <alignment horizontal="center" vertical="center" wrapText="1"/>
    </xf>
    <xf numFmtId="180" fontId="41" fillId="5" borderId="16" applyAlignment="1" pivotButton="0" quotePrefix="0" xfId="0">
      <alignment horizontal="center" vertical="center" wrapText="1"/>
    </xf>
    <xf numFmtId="180" fontId="41" fillId="0" borderId="16" applyAlignment="1" pivotButton="0" quotePrefix="0" xfId="0">
      <alignment horizontal="center" vertical="center" wrapText="1"/>
    </xf>
    <xf numFmtId="164" fontId="43" fillId="3" borderId="8" applyAlignment="1" pivotButton="0" quotePrefix="0" xfId="0">
      <alignment horizontal="center" vertical="center" wrapText="1"/>
    </xf>
    <xf numFmtId="164" fontId="43" fillId="3" borderId="17" applyAlignment="1" pivotButton="0" quotePrefix="0" xfId="0">
      <alignment horizontal="center" vertical="center" wrapText="1"/>
    </xf>
    <xf numFmtId="164" fontId="10" fillId="0" borderId="0" applyAlignment="1" pivotButton="0" quotePrefix="1" xfId="0">
      <alignment horizontal="center" vertical="top" wrapText="1"/>
    </xf>
    <xf numFmtId="164" fontId="10" fillId="0" borderId="0" applyAlignment="1" pivotButton="0" quotePrefix="0" xfId="0">
      <alignment horizontal="center" vertical="top" wrapText="1"/>
    </xf>
    <xf numFmtId="164" fontId="0" fillId="0" borderId="0" pivotButton="0" quotePrefix="0" xfId="0"/>
    <xf numFmtId="180" fontId="4" fillId="5" borderId="0" applyAlignment="1" pivotButton="0" quotePrefix="0" xfId="0">
      <alignment horizontal="center" vertical="top"/>
    </xf>
    <xf numFmtId="180" fontId="17" fillId="5" borderId="0" applyAlignment="1" pivotButton="0" quotePrefix="0" xfId="0">
      <alignment vertical="top"/>
    </xf>
    <xf numFmtId="169" fontId="4" fillId="5" borderId="0" applyAlignment="1" pivotButton="0" quotePrefix="0" xfId="0">
      <alignment horizontal="center" vertical="top" wrapText="1" shrinkToFit="1"/>
    </xf>
    <xf numFmtId="167" fontId="4" fillId="5" borderId="0" applyAlignment="1" pivotButton="0" quotePrefix="0" xfId="0">
      <alignment horizontal="center" vertical="center" shrinkToFit="1"/>
    </xf>
    <xf numFmtId="180" fontId="4" fillId="5" borderId="0" applyAlignment="1" pivotButton="0" quotePrefix="0" xfId="0">
      <alignment vertical="top"/>
    </xf>
    <xf numFmtId="169" fontId="4" fillId="5" borderId="0" applyAlignment="1" pivotButton="0" quotePrefix="0" xfId="0">
      <alignment vertical="top" wrapText="1" shrinkToFit="1"/>
    </xf>
    <xf numFmtId="180" fontId="17" fillId="5" borderId="0" applyAlignment="1" pivotButton="0" quotePrefix="0" xfId="0">
      <alignment horizontal="center" vertical="top"/>
    </xf>
    <xf numFmtId="180" fontId="4" fillId="5" borderId="0" applyAlignment="1" pivotButton="0" quotePrefix="0" xfId="0">
      <alignment horizontal="center" vertical="center"/>
    </xf>
    <xf numFmtId="180" fontId="17" fillId="5" borderId="0" applyAlignment="1" pivotButton="0" quotePrefix="0" xfId="0">
      <alignment horizontal="center" vertical="center"/>
    </xf>
    <xf numFmtId="167" fontId="4" fillId="5" borderId="0" applyAlignment="1" pivotButton="0" quotePrefix="0" xfId="0">
      <alignment horizontal="center" vertical="center" wrapText="1" shrinkToFit="1"/>
    </xf>
    <xf numFmtId="180" fontId="7" fillId="3" borderId="11" applyAlignment="1" pivotButton="0" quotePrefix="0" xfId="0">
      <alignment horizontal="center" vertical="center"/>
    </xf>
    <xf numFmtId="167" fontId="4" fillId="3" borderId="11" applyAlignment="1" pivotButton="0" quotePrefix="0" xfId="0">
      <alignment horizontal="center" vertical="center" wrapText="1" shrinkToFit="1"/>
    </xf>
    <xf numFmtId="167" fontId="4" fillId="3" borderId="11" applyAlignment="1" pivotButton="0" quotePrefix="0" xfId="0">
      <alignment horizontal="center" vertical="center" shrinkToFit="1"/>
    </xf>
    <xf numFmtId="196" fontId="6" fillId="19" borderId="0" applyAlignment="1" applyProtection="1" pivotButton="0" quotePrefix="0" xfId="0">
      <alignment horizontal="centerContinuous"/>
      <protection locked="0" hidden="0"/>
    </xf>
    <xf numFmtId="165" fontId="4" fillId="0" borderId="0" pivotButton="0" quotePrefix="0" xfId="3"/>
    <xf numFmtId="166" fontId="4" fillId="0" borderId="0" pivotButton="0" quotePrefix="0" xfId="3"/>
    <xf numFmtId="170" fontId="4" fillId="0" borderId="0" pivotButton="0" quotePrefix="0" xfId="3"/>
    <xf numFmtId="165" fontId="4" fillId="6" borderId="0" applyProtection="1" pivotButton="0" quotePrefix="0" xfId="3">
      <protection locked="0" hidden="0"/>
    </xf>
    <xf numFmtId="167" fontId="4" fillId="0" borderId="0" applyProtection="1" pivotButton="0" quotePrefix="0" xfId="0">
      <protection locked="0" hidden="0"/>
    </xf>
    <xf numFmtId="165" fontId="23" fillId="0" borderId="0" pivotButton="0" quotePrefix="0" xfId="0"/>
    <xf numFmtId="167" fontId="24" fillId="0" borderId="0" applyProtection="1" pivotButton="0" quotePrefix="0" xfId="0">
      <protection locked="0" hidden="0"/>
    </xf>
    <xf numFmtId="165" fontId="7" fillId="0" borderId="0" pivotButton="0" quotePrefix="0" xfId="3"/>
    <xf numFmtId="166" fontId="7" fillId="0" borderId="0" pivotButton="0" quotePrefix="0" xfId="3"/>
    <xf numFmtId="165" fontId="3" fillId="0" borderId="0" pivotButton="0" quotePrefix="0" xfId="0"/>
    <xf numFmtId="165" fontId="4" fillId="0" borderId="0" pivotButton="0" quotePrefix="0" xfId="0"/>
    <xf numFmtId="165" fontId="7" fillId="3" borderId="9" pivotButton="0" quotePrefix="0" xfId="3"/>
    <xf numFmtId="166" fontId="7" fillId="3" borderId="9" pivotButton="0" quotePrefix="0" xfId="3"/>
    <xf numFmtId="167" fontId="7" fillId="3" borderId="9" pivotButton="0" quotePrefix="0" xfId="0"/>
    <xf numFmtId="170" fontId="7" fillId="3" borderId="9" pivotButton="0" quotePrefix="0" xfId="3"/>
    <xf numFmtId="165" fontId="4" fillId="19" borderId="0" pivotButton="0" quotePrefix="0" xfId="3"/>
    <xf numFmtId="166" fontId="4" fillId="19" borderId="0" pivotButton="0" quotePrefix="0" xfId="3"/>
    <xf numFmtId="167" fontId="4" fillId="19" borderId="0" pivotButton="0" quotePrefix="0" xfId="0"/>
    <xf numFmtId="165" fontId="4" fillId="4" borderId="0" pivotButton="0" quotePrefix="0" xfId="3"/>
    <xf numFmtId="167" fontId="4" fillId="4" borderId="0" pivotButton="0" quotePrefix="0" xfId="0"/>
    <xf numFmtId="168" fontId="4" fillId="0" borderId="0" pivotButton="0" quotePrefix="0" xfId="2"/>
    <xf numFmtId="168" fontId="4" fillId="0" borderId="0" pivotButton="0" quotePrefix="0" xfId="3"/>
    <xf numFmtId="168" fontId="4" fillId="19" borderId="0" pivotButton="0" quotePrefix="0" xfId="2"/>
    <xf numFmtId="168" fontId="4" fillId="4" borderId="0" pivotButton="0" quotePrefix="0" xfId="2"/>
    <xf numFmtId="167" fontId="24" fillId="4" borderId="0" applyProtection="1" pivotButton="0" quotePrefix="0" xfId="0">
      <protection locked="0" hidden="0"/>
    </xf>
    <xf numFmtId="169" fontId="4" fillId="0" borderId="0" pivotButton="0" quotePrefix="0" xfId="3"/>
    <xf numFmtId="165" fontId="14" fillId="0" borderId="0" pivotButton="0" quotePrefix="0" xfId="0"/>
    <xf numFmtId="169" fontId="4" fillId="0" borderId="0" pivotButton="0" quotePrefix="0" xfId="2"/>
    <xf numFmtId="169" fontId="24" fillId="0" borderId="0" pivotButton="0" quotePrefix="0" xfId="3"/>
    <xf numFmtId="167" fontId="23" fillId="0" borderId="0" pivotButton="0" quotePrefix="0" xfId="0"/>
    <xf numFmtId="165" fontId="7" fillId="3" borderId="9" applyAlignment="1" pivotButton="0" quotePrefix="0" xfId="3">
      <alignment horizontal="right"/>
    </xf>
    <xf numFmtId="165" fontId="7" fillId="0" borderId="0" applyAlignment="1" pivotButton="0" quotePrefix="0" xfId="3">
      <alignment horizontal="right"/>
    </xf>
    <xf numFmtId="169" fontId="26" fillId="0" borderId="0" pivotButton="0" quotePrefix="0" xfId="3"/>
    <xf numFmtId="167" fontId="3" fillId="0" borderId="0" pivotButton="0" quotePrefix="0" xfId="0"/>
    <xf numFmtId="165" fontId="7" fillId="0" borderId="9" pivotButton="0" quotePrefix="0" xfId="3"/>
    <xf numFmtId="167" fontId="7" fillId="0" borderId="9" pivotButton="0" quotePrefix="0" xfId="0"/>
    <xf numFmtId="165" fontId="3" fillId="0" borderId="9" pivotButton="0" quotePrefix="0" xfId="0"/>
    <xf numFmtId="171" fontId="23" fillId="0" borderId="0" pivotButton="0" quotePrefix="0" xfId="4"/>
    <xf numFmtId="171" fontId="23" fillId="0" borderId="13" pivotButton="0" quotePrefix="0" xfId="4"/>
    <xf numFmtId="171" fontId="23" fillId="0" borderId="0" applyAlignment="1" pivotButton="0" quotePrefix="0" xfId="0">
      <alignment horizontal="center"/>
    </xf>
    <xf numFmtId="171" fontId="23" fillId="0" borderId="0" pivotButton="0" quotePrefix="0" xfId="0"/>
    <xf numFmtId="171" fontId="4" fillId="0" borderId="13" applyAlignment="1" pivotButton="0" quotePrefix="0" xfId="4">
      <alignment horizontal="center" vertical="center"/>
    </xf>
    <xf numFmtId="166" fontId="4" fillId="0" borderId="19" pivotButton="0" quotePrefix="0" xfId="3"/>
    <xf numFmtId="165" fontId="9" fillId="5" borderId="2" pivotButton="0" quotePrefix="0" xfId="3"/>
    <xf numFmtId="167" fontId="4" fillId="0" borderId="0" applyAlignment="1" pivotButton="0" quotePrefix="0" xfId="3">
      <alignment horizontal="center"/>
    </xf>
    <xf numFmtId="165" fontId="9" fillId="0" borderId="2" pivotButton="0" quotePrefix="0" xfId="3"/>
    <xf numFmtId="167" fontId="9" fillId="0" borderId="15" applyAlignment="1" pivotButton="0" quotePrefix="0" xfId="3">
      <alignment horizontal="center"/>
    </xf>
    <xf numFmtId="165" fontId="9" fillId="0" borderId="0" pivotButton="0" quotePrefix="0" xfId="3"/>
    <xf numFmtId="166" fontId="9" fillId="0" borderId="0" pivotButton="0" quotePrefix="0" xfId="3"/>
    <xf numFmtId="166" fontId="4" fillId="0" borderId="12" applyAlignment="1" pivotButton="0" quotePrefix="0" xfId="3">
      <alignment horizontal="right" vertical="center"/>
    </xf>
    <xf numFmtId="172" fontId="4" fillId="0" borderId="13" applyAlignment="1" pivotButton="0" quotePrefix="0" xfId="0">
      <alignment horizontal="right" vertical="center"/>
    </xf>
    <xf numFmtId="169" fontId="7" fillId="3" borderId="8" pivotButton="0" quotePrefix="0" xfId="0"/>
    <xf numFmtId="167" fontId="7" fillId="3" borderId="9" applyAlignment="1" pivotButton="0" quotePrefix="0" xfId="0">
      <alignment horizontal="center"/>
    </xf>
    <xf numFmtId="169" fontId="7" fillId="3" borderId="8" applyAlignment="1" pivotButton="0" quotePrefix="0" xfId="0">
      <alignment horizontal="center"/>
    </xf>
    <xf numFmtId="169" fontId="7" fillId="0" borderId="9" pivotButton="0" quotePrefix="0" xfId="0"/>
    <xf numFmtId="172" fontId="4" fillId="0" borderId="32" applyAlignment="1" pivotButton="0" quotePrefix="0" xfId="0">
      <alignment horizontal="right" vertical="center"/>
    </xf>
    <xf numFmtId="169" fontId="23" fillId="0" borderId="12" applyAlignment="1" pivotButton="0" quotePrefix="0" xfId="0">
      <alignment horizontal="right" vertical="center"/>
    </xf>
    <xf numFmtId="169" fontId="23" fillId="0" borderId="31" applyAlignment="1" pivotButton="0" quotePrefix="0" xfId="0">
      <alignment horizontal="right" vertical="center"/>
    </xf>
    <xf numFmtId="169" fontId="23" fillId="0" borderId="0" applyAlignment="1" pivotButton="0" quotePrefix="0" xfId="0">
      <alignment horizontal="right" vertical="center"/>
    </xf>
    <xf numFmtId="171" fontId="23" fillId="0" borderId="0" applyAlignment="1" pivotButton="0" quotePrefix="0" xfId="4">
      <alignment horizontal="right" vertical="center"/>
    </xf>
    <xf numFmtId="166" fontId="4" fillId="0" borderId="0" applyAlignment="1" pivotButton="0" quotePrefix="0" xfId="3">
      <alignment horizontal="center"/>
    </xf>
    <xf numFmtId="170" fontId="4" fillId="0" borderId="0" applyAlignment="1" pivotButton="0" quotePrefix="0" xfId="3">
      <alignment horizontal="center"/>
    </xf>
    <xf numFmtId="165" fontId="4" fillId="0" borderId="0" applyAlignment="1" pivotButton="0" quotePrefix="0" xfId="3">
      <alignment horizontal="center" vertical="center"/>
    </xf>
    <xf numFmtId="169" fontId="4" fillId="0" borderId="15" applyAlignment="1" pivotButton="0" quotePrefix="0" xfId="3">
      <alignment horizontal="center" vertical="center"/>
    </xf>
    <xf numFmtId="173" fontId="9" fillId="0" borderId="0" applyAlignment="1" pivotButton="0" quotePrefix="0" xfId="0">
      <alignment horizontal="left" vertical="top" wrapText="1"/>
    </xf>
    <xf numFmtId="170" fontId="9" fillId="0" borderId="0" applyAlignment="1" pivotButton="0" quotePrefix="0" xfId="3">
      <alignment horizontal="center" vertical="center"/>
    </xf>
    <xf numFmtId="167" fontId="9" fillId="0" borderId="15" applyAlignment="1" pivotButton="0" quotePrefix="0" xfId="3">
      <alignment horizontal="center" vertical="center"/>
    </xf>
    <xf numFmtId="170" fontId="4" fillId="0" borderId="0" applyAlignment="1" pivotButton="0" quotePrefix="0" xfId="3">
      <alignment horizontal="center" vertical="center"/>
    </xf>
    <xf numFmtId="167" fontId="4" fillId="0" borderId="15" applyAlignment="1" pivotButton="0" quotePrefix="0" xfId="3">
      <alignment horizontal="center" vertical="center"/>
    </xf>
    <xf numFmtId="170" fontId="4" fillId="0" borderId="0" applyAlignment="1" pivotButton="0" quotePrefix="0" xfId="0">
      <alignment horizontal="center" vertical="center"/>
    </xf>
    <xf numFmtId="203" fontId="9" fillId="0" borderId="0" applyAlignment="1" pivotButton="0" quotePrefix="0" xfId="0">
      <alignment horizontal="left" vertical="top" wrapText="1"/>
    </xf>
    <xf numFmtId="166" fontId="4" fillId="0" borderId="0" applyAlignment="1" pivotButton="0" quotePrefix="0" xfId="3">
      <alignment horizontal="center" vertical="center"/>
    </xf>
    <xf numFmtId="165" fontId="4" fillId="5" borderId="0" applyAlignment="1" pivotButton="0" quotePrefix="0" xfId="3">
      <alignment horizontal="center" vertical="center"/>
    </xf>
    <xf numFmtId="170" fontId="9" fillId="5" borderId="0" applyAlignment="1" pivotButton="0" quotePrefix="0" xfId="3">
      <alignment horizontal="center" vertical="center"/>
    </xf>
    <xf numFmtId="166" fontId="4" fillId="5" borderId="0" applyAlignment="1" pivotButton="0" quotePrefix="0" xfId="3">
      <alignment horizontal="center" vertical="center"/>
    </xf>
    <xf numFmtId="165" fontId="4" fillId="0" borderId="15" applyAlignment="1" pivotButton="0" quotePrefix="0" xfId="3">
      <alignment horizontal="center" vertical="center"/>
    </xf>
    <xf numFmtId="203" fontId="24" fillId="0" borderId="0" applyAlignment="1" pivotButton="0" quotePrefix="0" xfId="0">
      <alignment horizontal="left" vertical="top" wrapText="1"/>
    </xf>
    <xf numFmtId="170" fontId="9" fillId="0" borderId="15" applyAlignment="1" pivotButton="0" quotePrefix="0" xfId="3">
      <alignment horizontal="center" vertical="center"/>
    </xf>
    <xf numFmtId="166" fontId="4" fillId="0" borderId="15" applyAlignment="1" pivotButton="0" quotePrefix="0" xfId="3">
      <alignment horizontal="center" vertical="center"/>
    </xf>
    <xf numFmtId="167" fontId="17" fillId="3" borderId="11" applyAlignment="1" pivotButton="0" quotePrefix="0" xfId="3">
      <alignment horizontal="center" vertical="center"/>
    </xf>
    <xf numFmtId="165" fontId="19" fillId="3" borderId="11" applyAlignment="1" pivotButton="0" quotePrefix="0" xfId="3">
      <alignment horizontal="center" vertical="center"/>
    </xf>
    <xf numFmtId="165" fontId="19" fillId="3" borderId="19" applyAlignment="1" pivotButton="0" quotePrefix="0" xfId="3">
      <alignment horizontal="center" vertical="center"/>
    </xf>
    <xf numFmtId="173" fontId="17" fillId="3" borderId="11" applyAlignment="1" pivotButton="0" quotePrefix="0" xfId="0">
      <alignment horizontal="center" vertical="center"/>
    </xf>
    <xf numFmtId="170" fontId="17" fillId="3" borderId="1" pivotButton="0" quotePrefix="0" xfId="0"/>
    <xf numFmtId="165" fontId="17" fillId="3" borderId="1" pivotButton="0" quotePrefix="0" xfId="3"/>
    <xf numFmtId="170" fontId="19" fillId="3" borderId="1" applyAlignment="1" pivotButton="0" quotePrefix="0" xfId="0">
      <alignment horizontal="center"/>
    </xf>
    <xf numFmtId="170" fontId="19" fillId="3" borderId="22" applyAlignment="1" pivotButton="0" quotePrefix="0" xfId="3">
      <alignment horizontal="center" vertical="center"/>
    </xf>
    <xf numFmtId="169" fontId="9" fillId="0" borderId="0" pivotButton="0" quotePrefix="0" xfId="0"/>
    <xf numFmtId="167" fontId="4" fillId="0" borderId="0" applyProtection="1" pivotButton="0" quotePrefix="0" xfId="3">
      <protection locked="0" hidden="0"/>
    </xf>
    <xf numFmtId="169" fontId="9" fillId="0" borderId="0" applyAlignment="1" pivotButton="0" quotePrefix="0" xfId="0">
      <alignment horizontal="right"/>
    </xf>
    <xf numFmtId="169" fontId="19" fillId="3" borderId="9" pivotButton="0" quotePrefix="0" xfId="0"/>
    <xf numFmtId="166" fontId="7" fillId="3" borderId="9" applyProtection="1" pivotButton="0" quotePrefix="0" xfId="3">
      <protection locked="0" hidden="0"/>
    </xf>
    <xf numFmtId="169" fontId="17" fillId="0" borderId="0" pivotButton="0" quotePrefix="0" xfId="0"/>
    <xf numFmtId="167" fontId="7" fillId="3" borderId="9" applyProtection="1" pivotButton="0" quotePrefix="0" xfId="3">
      <protection locked="0" hidden="0"/>
    </xf>
    <xf numFmtId="167" fontId="17" fillId="4" borderId="0" pivotButton="0" quotePrefix="0" xfId="0"/>
    <xf numFmtId="166" fontId="4" fillId="4" borderId="0" applyProtection="1" pivotButton="0" quotePrefix="0" xfId="3">
      <protection locked="0" hidden="0"/>
    </xf>
    <xf numFmtId="167" fontId="4" fillId="0" borderId="0" pivotButton="0" quotePrefix="0" xfId="3"/>
    <xf numFmtId="171" fontId="19" fillId="0" borderId="0" applyAlignment="1" pivotButton="0" quotePrefix="0" xfId="4">
      <alignment horizontal="center"/>
    </xf>
    <xf numFmtId="169" fontId="19" fillId="0" borderId="0" pivotButton="0" quotePrefix="0" xfId="3"/>
    <xf numFmtId="167" fontId="7" fillId="0" borderId="0" applyProtection="1" pivotButton="0" quotePrefix="0" xfId="3">
      <protection locked="0" hidden="0"/>
    </xf>
    <xf numFmtId="180" fontId="17" fillId="6" borderId="0" applyAlignment="1" pivotButton="0" quotePrefix="0" xfId="0">
      <alignment horizontal="center"/>
    </xf>
    <xf numFmtId="167" fontId="17" fillId="6" borderId="0" applyAlignment="1" pivotButton="0" quotePrefix="0" xfId="3">
      <alignment horizontal="center"/>
    </xf>
    <xf numFmtId="170" fontId="17" fillId="6" borderId="0" applyAlignment="1" pivotButton="0" quotePrefix="0" xfId="3">
      <alignment horizontal="center"/>
    </xf>
    <xf numFmtId="169" fontId="0" fillId="0" borderId="0" pivotButton="0" quotePrefix="0" xfId="0"/>
    <xf numFmtId="180" fontId="17" fillId="0" borderId="0" applyAlignment="1" pivotButton="0" quotePrefix="0" xfId="0">
      <alignment horizontal="center"/>
    </xf>
    <xf numFmtId="169" fontId="17" fillId="0" borderId="0" applyAlignment="1" pivotButton="0" quotePrefix="0" xfId="3">
      <alignment horizontal="center"/>
    </xf>
    <xf numFmtId="170" fontId="17" fillId="0" borderId="0" applyAlignment="1" pivotButton="0" quotePrefix="0" xfId="3">
      <alignment horizontal="center"/>
    </xf>
    <xf numFmtId="165" fontId="7" fillId="3" borderId="9" applyAlignment="1" pivotButton="0" quotePrefix="0" xfId="4">
      <alignment horizontal="right" vertical="center"/>
    </xf>
    <xf numFmtId="169" fontId="4" fillId="6" borderId="0" applyAlignment="1" pivotButton="0" quotePrefix="0" xfId="3">
      <alignment horizontal="right" vertical="center"/>
    </xf>
    <xf numFmtId="169" fontId="7" fillId="3" borderId="9" applyAlignment="1" pivotButton="0" quotePrefix="0" xfId="4">
      <alignment horizontal="right" vertical="center"/>
    </xf>
    <xf numFmtId="169" fontId="16" fillId="3" borderId="9" applyAlignment="1" pivotButton="0" quotePrefix="0" xfId="0">
      <alignment horizontal="right" vertical="center" wrapText="1"/>
    </xf>
    <xf numFmtId="165" fontId="16" fillId="0" borderId="9" applyAlignment="1" pivotButton="0" quotePrefix="0" xfId="0">
      <alignment horizontal="right" vertical="center" wrapText="1"/>
    </xf>
    <xf numFmtId="169" fontId="16" fillId="3" borderId="9" applyAlignment="1" pivotButton="0" quotePrefix="0" xfId="0">
      <alignment horizontal="right"/>
    </xf>
    <xf numFmtId="165" fontId="19" fillId="3" borderId="1" applyAlignment="1" pivotButton="0" quotePrefix="0" xfId="0">
      <alignment horizontal="center" vertical="center"/>
    </xf>
    <xf numFmtId="170" fontId="19" fillId="3" borderId="1" applyAlignment="1" pivotButton="0" quotePrefix="0" xfId="0">
      <alignment horizontal="right" vertical="center"/>
    </xf>
    <xf numFmtId="178" fontId="16" fillId="0" borderId="9" applyAlignment="1" applyProtection="1" pivotButton="0" quotePrefix="0" xfId="0">
      <alignment horizontal="left"/>
      <protection locked="0" hidden="0"/>
    </xf>
    <xf numFmtId="175" fontId="17" fillId="0" borderId="0" applyAlignment="1" pivotButton="0" quotePrefix="0" xfId="0">
      <alignment horizontal="left"/>
    </xf>
    <xf numFmtId="165" fontId="17" fillId="0" borderId="0" pivotButton="0" quotePrefix="0" xfId="0"/>
    <xf numFmtId="170" fontId="17" fillId="0" borderId="0" pivotButton="0" quotePrefix="0" xfId="0"/>
    <xf numFmtId="176" fontId="4" fillId="0" borderId="0" applyAlignment="1" applyProtection="1" pivotButton="0" quotePrefix="0" xfId="0">
      <alignment horizontal="left"/>
      <protection locked="0" hidden="0"/>
    </xf>
    <xf numFmtId="176" fontId="17" fillId="0" borderId="0" applyAlignment="1" applyProtection="1" pivotButton="0" quotePrefix="0" xfId="0">
      <alignment horizontal="left"/>
      <protection locked="0" hidden="0"/>
    </xf>
    <xf numFmtId="177" fontId="17" fillId="0" borderId="0" applyAlignment="1" pivotButton="0" quotePrefix="0" xfId="0">
      <alignment horizontal="left"/>
    </xf>
    <xf numFmtId="165" fontId="17" fillId="0" borderId="11" pivotButton="0" quotePrefix="0" xfId="0"/>
    <xf numFmtId="165" fontId="17" fillId="0" borderId="0" applyProtection="1" pivotButton="0" quotePrefix="0" xfId="3">
      <protection locked="0" hidden="0"/>
    </xf>
    <xf numFmtId="165" fontId="19" fillId="0" borderId="11" pivotButton="0" quotePrefix="0" xfId="0"/>
    <xf numFmtId="170" fontId="19" fillId="0" borderId="11" pivotButton="0" quotePrefix="0" xfId="0"/>
    <xf numFmtId="174" fontId="16" fillId="3" borderId="9" applyAlignment="1" applyProtection="1" pivotButton="0" quotePrefix="0" xfId="0">
      <alignment horizontal="left"/>
      <protection locked="0" hidden="0"/>
    </xf>
    <xf numFmtId="174" fontId="19" fillId="3" borderId="9" applyAlignment="1" applyProtection="1" pivotButton="0" quotePrefix="0" xfId="0">
      <alignment horizontal="left"/>
      <protection locked="0" hidden="0"/>
    </xf>
    <xf numFmtId="165" fontId="19" fillId="3" borderId="9" pivotButton="0" quotePrefix="0" xfId="0"/>
    <xf numFmtId="170" fontId="19" fillId="3" borderId="9" pivotButton="0" quotePrefix="0" xfId="0"/>
    <xf numFmtId="165" fontId="9" fillId="0" borderId="0" pivotButton="0" quotePrefix="0" xfId="0"/>
    <xf numFmtId="174" fontId="16" fillId="3" borderId="11" applyAlignment="1" applyProtection="1" pivotButton="0" quotePrefix="0" xfId="0">
      <alignment horizontal="left"/>
      <protection locked="0" hidden="0"/>
    </xf>
    <xf numFmtId="165" fontId="7" fillId="3" borderId="11" pivotButton="0" quotePrefix="0" xfId="0"/>
    <xf numFmtId="170" fontId="7" fillId="3" borderId="1" pivotButton="0" quotePrefix="0" xfId="0"/>
    <xf numFmtId="193" fontId="32" fillId="0" borderId="0" pivotButton="0" quotePrefix="0" xfId="3"/>
    <xf numFmtId="168" fontId="47" fillId="0" borderId="1" pivotButton="0" quotePrefix="0" xfId="0"/>
    <xf numFmtId="170" fontId="47" fillId="0" borderId="1" pivotButton="0" quotePrefix="0" xfId="0"/>
    <xf numFmtId="165" fontId="47" fillId="0" borderId="1" applyAlignment="1" pivotButton="0" quotePrefix="0" xfId="0">
      <alignment horizontal="right"/>
    </xf>
    <xf numFmtId="171" fontId="47" fillId="0" borderId="1" applyAlignment="1" pivotButton="0" quotePrefix="0" xfId="0">
      <alignment horizontal="right"/>
    </xf>
    <xf numFmtId="164" fontId="68" fillId="5" borderId="9" applyAlignment="1" pivotButton="0" quotePrefix="0" xfId="0">
      <alignment horizontal="center" vertical="center" wrapText="1"/>
    </xf>
    <xf numFmtId="193" fontId="68" fillId="6" borderId="9" applyAlignment="1" pivotButton="0" quotePrefix="0" xfId="0">
      <alignment horizontal="center" vertical="center" wrapText="1"/>
    </xf>
    <xf numFmtId="193" fontId="68" fillId="0" borderId="0" applyAlignment="1" pivotButton="0" quotePrefix="0" xfId="0">
      <alignment horizontal="center" vertical="center" wrapText="1"/>
    </xf>
    <xf numFmtId="164" fontId="68" fillId="0" borderId="0" applyAlignment="1" pivotButton="0" quotePrefix="0" xfId="0">
      <alignment horizontal="center" vertical="center" wrapText="1"/>
    </xf>
    <xf numFmtId="193" fontId="32" fillId="0" borderId="0" applyAlignment="1" pivotButton="0" quotePrefix="0" xfId="3">
      <alignment horizontal="left"/>
    </xf>
    <xf numFmtId="193" fontId="32" fillId="6" borderId="0" pivotButton="0" quotePrefix="0" xfId="3"/>
    <xf numFmtId="193" fontId="32" fillId="5" borderId="0" pivotButton="0" quotePrefix="0" xfId="3"/>
    <xf numFmtId="167" fontId="32" fillId="0" borderId="0" applyAlignment="1" pivotButton="0" quotePrefix="0" xfId="3">
      <alignment horizontal="center"/>
    </xf>
    <xf numFmtId="169" fontId="32" fillId="5" borderId="11" applyAlignment="1" pivotButton="0" quotePrefix="0" xfId="3">
      <alignment horizontal="right"/>
    </xf>
    <xf numFmtId="193" fontId="48" fillId="0" borderId="0" applyAlignment="1" pivotButton="0" quotePrefix="0" xfId="3">
      <alignment horizontal="right"/>
    </xf>
    <xf numFmtId="167" fontId="32" fillId="5" borderId="0" applyAlignment="1" pivotButton="0" quotePrefix="0" xfId="3">
      <alignment horizontal="center"/>
    </xf>
    <xf numFmtId="169" fontId="32" fillId="0" borderId="0" applyAlignment="1" pivotButton="0" quotePrefix="0" xfId="3">
      <alignment horizontal="right"/>
    </xf>
    <xf numFmtId="169" fontId="32" fillId="0" borderId="1" applyAlignment="1" pivotButton="0" quotePrefix="0" xfId="3">
      <alignment horizontal="right"/>
    </xf>
    <xf numFmtId="167" fontId="32" fillId="3" borderId="9" applyAlignment="1" pivotButton="0" quotePrefix="0" xfId="0">
      <alignment horizontal="center"/>
    </xf>
    <xf numFmtId="169" fontId="32" fillId="3" borderId="9" applyAlignment="1" pivotButton="0" quotePrefix="0" xfId="3">
      <alignment horizontal="right"/>
    </xf>
    <xf numFmtId="164" fontId="32" fillId="0" borderId="0" pivotButton="0" quotePrefix="0" xfId="0"/>
    <xf numFmtId="167" fontId="32" fillId="0" borderId="0" applyAlignment="1" pivotButton="0" quotePrefix="0" xfId="0">
      <alignment horizontal="center"/>
    </xf>
    <xf numFmtId="169" fontId="32" fillId="0" borderId="9" applyAlignment="1" pivotButton="0" quotePrefix="0" xfId="3">
      <alignment horizontal="right"/>
    </xf>
    <xf numFmtId="193" fontId="68" fillId="0" borderId="47" applyAlignment="1" pivotButton="0" quotePrefix="0" xfId="0">
      <alignment horizontal="right" vertical="center" wrapText="1"/>
    </xf>
    <xf numFmtId="167" fontId="68" fillId="0" borderId="47" applyAlignment="1" pivotButton="0" quotePrefix="0" xfId="3">
      <alignment horizontal="right" vertical="center" wrapText="1"/>
    </xf>
    <xf numFmtId="167" fontId="32" fillId="0" borderId="0" pivotButton="0" quotePrefix="0" xfId="0"/>
    <xf numFmtId="193" fontId="68" fillId="0" borderId="48" applyAlignment="1" pivotButton="0" quotePrefix="0" xfId="0">
      <alignment horizontal="right" vertical="center" wrapText="1"/>
    </xf>
    <xf numFmtId="167" fontId="68" fillId="0" borderId="48" applyAlignment="1" pivotButton="0" quotePrefix="0" xfId="3">
      <alignment horizontal="right" vertical="center" wrapText="1"/>
    </xf>
    <xf numFmtId="193" fontId="68" fillId="0" borderId="49" applyAlignment="1" pivotButton="0" quotePrefix="0" xfId="0">
      <alignment horizontal="right" vertical="center" wrapText="1"/>
    </xf>
    <xf numFmtId="167" fontId="68" fillId="0" borderId="49" applyAlignment="1" pivotButton="0" quotePrefix="0" xfId="3">
      <alignment horizontal="right" vertical="center" wrapText="1"/>
    </xf>
    <xf numFmtId="193" fontId="68" fillId="11" borderId="9" applyAlignment="1" pivotButton="0" quotePrefix="0" xfId="0">
      <alignment horizontal="right" vertical="center" wrapText="1"/>
    </xf>
    <xf numFmtId="167" fontId="68" fillId="3" borderId="9" applyAlignment="1" pivotButton="0" quotePrefix="0" xfId="3">
      <alignment horizontal="right" vertical="center" wrapText="1"/>
    </xf>
    <xf numFmtId="164" fontId="48" fillId="0" borderId="0" applyAlignment="1" pivotButton="0" quotePrefix="0" xfId="0">
      <alignment horizontal="right" vertical="center" wrapText="1"/>
    </xf>
    <xf numFmtId="164" fontId="68" fillId="0" borderId="9" applyAlignment="1" pivotButton="0" quotePrefix="0" xfId="3">
      <alignment horizontal="right" vertical="center" wrapText="1"/>
    </xf>
    <xf numFmtId="164" fontId="68" fillId="0" borderId="43" applyAlignment="1" pivotButton="0" quotePrefix="0" xfId="3">
      <alignment horizontal="right" vertical="center" wrapText="1"/>
    </xf>
    <xf numFmtId="164" fontId="68" fillId="0" borderId="49" applyAlignment="1" pivotButton="0" quotePrefix="0" xfId="3">
      <alignment horizontal="right" vertical="center" wrapText="1"/>
    </xf>
    <xf numFmtId="193" fontId="67" fillId="11" borderId="43" applyAlignment="1" pivotButton="0" quotePrefix="0" xfId="0">
      <alignment horizontal="right" vertical="center" wrapText="1"/>
    </xf>
    <xf numFmtId="164" fontId="67" fillId="3" borderId="43" applyAlignment="1" pivotButton="0" quotePrefix="0" xfId="3">
      <alignment horizontal="right" vertical="center" wrapText="1"/>
    </xf>
    <xf numFmtId="193" fontId="67" fillId="11" borderId="49" applyAlignment="1" pivotButton="0" quotePrefix="0" xfId="0">
      <alignment horizontal="right" vertical="center" wrapText="1"/>
    </xf>
    <xf numFmtId="193" fontId="67" fillId="3" borderId="49" applyAlignment="1" pivotButton="0" quotePrefix="0" xfId="0">
      <alignment horizontal="right" vertical="center" wrapText="1"/>
    </xf>
    <xf numFmtId="167" fontId="67" fillId="3" borderId="49" applyAlignment="1" pivotButton="0" quotePrefix="0" xfId="3">
      <alignment horizontal="right" vertical="center" wrapText="1"/>
    </xf>
    <xf numFmtId="193" fontId="48" fillId="0" borderId="57" applyAlignment="1" pivotButton="0" quotePrefix="0" xfId="0">
      <alignment horizontal="center" vertical="center" wrapText="1"/>
    </xf>
    <xf numFmtId="193" fontId="48" fillId="0" borderId="58" applyAlignment="1" pivotButton="0" quotePrefix="0" xfId="0">
      <alignment horizontal="center" vertical="center" wrapText="1"/>
    </xf>
    <xf numFmtId="193" fontId="48" fillId="11" borderId="43" applyAlignment="1" pivotButton="0" quotePrefix="0" xfId="0">
      <alignment horizontal="center" vertical="center" wrapText="1"/>
    </xf>
    <xf numFmtId="193" fontId="48" fillId="11" borderId="44" applyAlignment="1" pivotButton="0" quotePrefix="0" xfId="0">
      <alignment horizontal="center" vertical="center" wrapText="1"/>
    </xf>
    <xf numFmtId="193" fontId="44" fillId="11" borderId="49" applyAlignment="1" pivotButton="0" quotePrefix="0" xfId="0">
      <alignment horizontal="center" vertical="center" wrapText="1"/>
    </xf>
    <xf numFmtId="193" fontId="44" fillId="11" borderId="60" applyAlignment="1" pivotButton="0" quotePrefix="0" xfId="0">
      <alignment horizontal="center" vertical="center" wrapText="1"/>
    </xf>
    <xf numFmtId="193" fontId="44" fillId="11" borderId="0" applyAlignment="1" pivotButton="0" quotePrefix="0" xfId="0">
      <alignment horizontal="center" vertical="center" wrapText="1"/>
    </xf>
    <xf numFmtId="165" fontId="50" fillId="3" borderId="1" applyAlignment="1" pivotButton="0" quotePrefix="0" xfId="0">
      <alignment horizontal="center" vertical="center"/>
    </xf>
    <xf numFmtId="170" fontId="50" fillId="3" borderId="9" applyAlignment="1" pivotButton="0" quotePrefix="0" xfId="0">
      <alignment horizontal="center" vertical="center"/>
    </xf>
    <xf numFmtId="178" fontId="5" fillId="0" borderId="9" applyAlignment="1" applyProtection="1" pivotButton="0" quotePrefix="0" xfId="0">
      <alignment horizontal="left"/>
      <protection locked="0" hidden="0"/>
    </xf>
    <xf numFmtId="175" fontId="47" fillId="0" borderId="0" applyAlignment="1" pivotButton="0" quotePrefix="0" xfId="0">
      <alignment horizontal="left"/>
    </xf>
    <xf numFmtId="170" fontId="47" fillId="0" borderId="11" applyAlignment="1" pivotButton="0" quotePrefix="0" xfId="0">
      <alignment horizontal="center"/>
    </xf>
    <xf numFmtId="176" fontId="32" fillId="0" borderId="0" applyAlignment="1" pivotButton="0" quotePrefix="0" xfId="0">
      <alignment horizontal="left"/>
    </xf>
    <xf numFmtId="176" fontId="47" fillId="0" borderId="0" applyAlignment="1" applyProtection="1" pivotButton="0" quotePrefix="0" xfId="0">
      <alignment horizontal="left"/>
      <protection locked="0" hidden="0"/>
    </xf>
    <xf numFmtId="170" fontId="47" fillId="0" borderId="0" applyAlignment="1" pivotButton="0" quotePrefix="0" xfId="0">
      <alignment horizontal="center"/>
    </xf>
    <xf numFmtId="177" fontId="47" fillId="0" borderId="0" applyAlignment="1" pivotButton="0" quotePrefix="0" xfId="0">
      <alignment horizontal="left"/>
    </xf>
    <xf numFmtId="170" fontId="47" fillId="0" borderId="1" applyAlignment="1" pivotButton="0" quotePrefix="0" xfId="0">
      <alignment horizontal="center"/>
    </xf>
    <xf numFmtId="170" fontId="50" fillId="0" borderId="9" applyAlignment="1" pivotButton="0" quotePrefix="0" xfId="0">
      <alignment horizontal="center"/>
    </xf>
    <xf numFmtId="174" fontId="5" fillId="3" borderId="9" applyAlignment="1" applyProtection="1" pivotButton="0" quotePrefix="0" xfId="0">
      <alignment horizontal="left"/>
      <protection locked="0" hidden="0"/>
    </xf>
    <xf numFmtId="174" fontId="50" fillId="3" borderId="9" applyAlignment="1" applyProtection="1" pivotButton="0" quotePrefix="0" xfId="0">
      <alignment horizontal="left"/>
      <protection locked="0" hidden="0"/>
    </xf>
    <xf numFmtId="165" fontId="50" fillId="3" borderId="9" pivotButton="0" quotePrefix="0" xfId="0"/>
    <xf numFmtId="170" fontId="50" fillId="3" borderId="9" applyAlignment="1" pivotButton="0" quotePrefix="0" xfId="0">
      <alignment horizontal="center"/>
    </xf>
    <xf numFmtId="189" fontId="83" fillId="41" borderId="10" applyAlignment="1" pivotButton="0" quotePrefix="0" xfId="0">
      <alignment horizontal="right" vertical="center"/>
    </xf>
    <xf numFmtId="189" fontId="83" fillId="0" borderId="10" applyAlignment="1" pivotButton="0" quotePrefix="0" xfId="0">
      <alignment horizontal="right" vertical="center"/>
    </xf>
    <xf numFmtId="189" fontId="83" fillId="40" borderId="10" applyAlignment="1" pivotButton="0" quotePrefix="0" xfId="0">
      <alignment horizontal="right" vertical="center"/>
    </xf>
    <xf numFmtId="189" fontId="83" fillId="42" borderId="10" applyAlignment="1" pivotButton="0" quotePrefix="0" xfId="0">
      <alignment horizontal="right" vertical="center"/>
    </xf>
    <xf numFmtId="189" fontId="83" fillId="43" borderId="10" applyAlignment="1" pivotButton="0" quotePrefix="0" xfId="0">
      <alignment horizontal="right" vertical="center"/>
    </xf>
    <xf numFmtId="0" fontId="85" fillId="37" borderId="83" applyAlignment="1" pivotButton="0" quotePrefix="0" xfId="0">
      <alignment horizontal="center" vertical="center" wrapText="1"/>
    </xf>
    <xf numFmtId="0" fontId="86" fillId="38" borderId="83" applyAlignment="1" pivotButton="0" quotePrefix="0" xfId="0">
      <alignment horizontal="center" vertical="center"/>
    </xf>
    <xf numFmtId="0" fontId="87" fillId="0" borderId="83" applyAlignment="1" pivotButton="0" quotePrefix="0" xfId="0">
      <alignment vertical="top" wrapText="1"/>
    </xf>
    <xf numFmtId="0" fontId="83" fillId="0" borderId="83" applyAlignment="1" pivotButton="0" quotePrefix="0" xfId="0">
      <alignment horizontal="center" vertical="center"/>
    </xf>
    <xf numFmtId="0" fontId="83" fillId="0" borderId="83" applyAlignment="1" pivotButton="0" quotePrefix="0" xfId="0">
      <alignment horizontal="left" vertical="center"/>
    </xf>
    <xf numFmtId="3" fontId="87" fillId="0" borderId="83" applyAlignment="1" pivotButton="0" quotePrefix="0" xfId="0">
      <alignment vertical="top" wrapText="1"/>
    </xf>
    <xf numFmtId="0" fontId="83" fillId="39" borderId="83" pivotButton="0" quotePrefix="0" xfId="0"/>
    <xf numFmtId="0" fontId="83" fillId="0" borderId="83" pivotButton="0" quotePrefix="0" xfId="0"/>
    <xf numFmtId="0" fontId="86" fillId="38" borderId="83" applyAlignment="1" pivotButton="0" quotePrefix="0" xfId="0">
      <alignment horizontal="center"/>
    </xf>
    <xf numFmtId="0" fontId="87" fillId="0" borderId="83" applyAlignment="1" pivotButton="0" quotePrefix="0" xfId="0">
      <alignment vertical="center"/>
    </xf>
    <xf numFmtId="0" fontId="83" fillId="0" borderId="83" applyAlignment="1" pivotButton="0" quotePrefix="0" xfId="0">
      <alignment horizontal="left"/>
    </xf>
    <xf numFmtId="3" fontId="87" fillId="0" borderId="83" applyAlignment="1" pivotButton="0" quotePrefix="0" xfId="0">
      <alignment vertical="center"/>
    </xf>
    <xf numFmtId="4" fontId="87" fillId="0" borderId="83" applyAlignment="1" pivotButton="0" quotePrefix="0" xfId="0">
      <alignment vertical="center"/>
    </xf>
    <xf numFmtId="4" fontId="89" fillId="35" borderId="83" applyAlignment="1" pivotButton="0" quotePrefix="0" xfId="0">
      <alignment vertical="center"/>
    </xf>
    <xf numFmtId="4" fontId="89" fillId="40" borderId="83" applyAlignment="1" pivotButton="0" quotePrefix="0" xfId="0">
      <alignment vertical="center"/>
    </xf>
    <xf numFmtId="4" fontId="89" fillId="40" borderId="83" applyAlignment="1" pivotButton="0" quotePrefix="0" xfId="0">
      <alignment vertical="center" wrapText="1"/>
    </xf>
    <xf numFmtId="4" fontId="89" fillId="0" borderId="83" applyAlignment="1" pivotButton="0" quotePrefix="0" xfId="0">
      <alignment vertical="center"/>
    </xf>
    <xf numFmtId="0" fontId="87" fillId="0" borderId="83" applyAlignment="1" pivotButton="0" quotePrefix="0" xfId="0">
      <alignment vertical="center" wrapText="1"/>
    </xf>
    <xf numFmtId="0" fontId="89" fillId="35" borderId="83" applyAlignment="1" pivotButton="0" quotePrefix="0" xfId="0">
      <alignment vertical="center"/>
    </xf>
    <xf numFmtId="0" fontId="89" fillId="40" borderId="83" applyAlignment="1" pivotButton="0" quotePrefix="0" xfId="0">
      <alignment vertical="center"/>
    </xf>
    <xf numFmtId="0" fontId="89" fillId="0" borderId="83" applyAlignment="1" pivotButton="0" quotePrefix="0" xfId="0">
      <alignment vertical="center"/>
    </xf>
    <xf numFmtId="3" fontId="83" fillId="0" borderId="83" applyAlignment="1" pivotButton="0" quotePrefix="0" xfId="0">
      <alignment horizontal="right"/>
    </xf>
    <xf numFmtId="0" fontId="91" fillId="38" borderId="83" applyAlignment="1" pivotButton="0" quotePrefix="0" xfId="0">
      <alignment horizontal="center" vertical="center" wrapText="1"/>
    </xf>
    <xf numFmtId="0" fontId="83" fillId="41" borderId="83" applyAlignment="1" pivotButton="0" quotePrefix="0" xfId="0">
      <alignment horizontal="left" vertical="center"/>
    </xf>
    <xf numFmtId="3" fontId="83" fillId="41" borderId="83" applyAlignment="1" pivotButton="0" quotePrefix="0" xfId="0">
      <alignment horizontal="right" vertical="center"/>
    </xf>
    <xf numFmtId="189" fontId="83" fillId="41" borderId="83" applyAlignment="1" pivotButton="0" quotePrefix="0" xfId="0">
      <alignment horizontal="right" vertical="center"/>
    </xf>
    <xf numFmtId="0" fontId="83" fillId="41" borderId="83" applyAlignment="1" pivotButton="0" quotePrefix="0" xfId="0">
      <alignment horizontal="left" vertical="center" wrapText="1"/>
    </xf>
    <xf numFmtId="3" fontId="83" fillId="0" borderId="83" applyAlignment="1" pivotButton="0" quotePrefix="0" xfId="0">
      <alignment horizontal="right" vertical="center"/>
    </xf>
    <xf numFmtId="189" fontId="83" fillId="0" borderId="83" applyAlignment="1" pivotButton="0" quotePrefix="0" xfId="0">
      <alignment horizontal="right" vertical="center"/>
    </xf>
    <xf numFmtId="0" fontId="83" fillId="0" borderId="83" applyAlignment="1" pivotButton="0" quotePrefix="0" xfId="0">
      <alignment horizontal="left" vertical="center" wrapText="1"/>
    </xf>
    <xf numFmtId="0" fontId="83" fillId="40" borderId="83" applyAlignment="1" pivotButton="0" quotePrefix="0" xfId="0">
      <alignment horizontal="left" vertical="center"/>
    </xf>
    <xf numFmtId="3" fontId="83" fillId="40" borderId="83" applyAlignment="1" pivotButton="0" quotePrefix="0" xfId="0">
      <alignment horizontal="right" vertical="center"/>
    </xf>
    <xf numFmtId="38" fontId="83" fillId="40" borderId="83" applyAlignment="1" pivotButton="0" quotePrefix="0" xfId="0">
      <alignment horizontal="right" vertical="center"/>
    </xf>
    <xf numFmtId="0" fontId="83" fillId="40" borderId="83" applyAlignment="1" pivotButton="0" quotePrefix="0" xfId="0">
      <alignment horizontal="left" vertical="center" wrapText="1"/>
    </xf>
    <xf numFmtId="189" fontId="83" fillId="40" borderId="83" applyAlignment="1" pivotButton="0" quotePrefix="0" xfId="0">
      <alignment horizontal="right" vertical="center"/>
    </xf>
    <xf numFmtId="38" fontId="83" fillId="41" borderId="83" applyAlignment="1" pivotButton="0" quotePrefix="0" xfId="0">
      <alignment horizontal="right" vertical="center"/>
    </xf>
    <xf numFmtId="38" fontId="83" fillId="0" borderId="83" applyAlignment="1" pivotButton="0" quotePrefix="0" xfId="0">
      <alignment horizontal="right" vertical="center"/>
    </xf>
    <xf numFmtId="0" fontId="83" fillId="42" borderId="83" applyAlignment="1" pivotButton="0" quotePrefix="0" xfId="0">
      <alignment horizontal="left" vertical="center"/>
    </xf>
    <xf numFmtId="3" fontId="83" fillId="42" borderId="83" applyAlignment="1" pivotButton="0" quotePrefix="0" xfId="0">
      <alignment horizontal="right" vertical="center"/>
    </xf>
    <xf numFmtId="189" fontId="83" fillId="42" borderId="83" applyAlignment="1" pivotButton="0" quotePrefix="0" xfId="0">
      <alignment horizontal="right" vertical="center"/>
    </xf>
    <xf numFmtId="0" fontId="83" fillId="42" borderId="83" applyAlignment="1" pivotButton="0" quotePrefix="0" xfId="0">
      <alignment horizontal="left" vertical="center" wrapText="1"/>
    </xf>
    <xf numFmtId="0" fontId="83" fillId="43" borderId="83" applyAlignment="1" pivotButton="0" quotePrefix="0" xfId="0">
      <alignment horizontal="left" vertical="center"/>
    </xf>
    <xf numFmtId="3" fontId="83" fillId="43" borderId="83" applyAlignment="1" pivotButton="0" quotePrefix="0" xfId="0">
      <alignment horizontal="right" vertical="center"/>
    </xf>
    <xf numFmtId="38" fontId="83" fillId="43" borderId="83" applyAlignment="1" pivotButton="0" quotePrefix="0" xfId="0">
      <alignment horizontal="right" vertical="center"/>
    </xf>
    <xf numFmtId="0" fontId="83" fillId="43" borderId="83" applyAlignment="1" pivotButton="0" quotePrefix="0" xfId="0">
      <alignment horizontal="left" vertical="center" wrapText="1"/>
    </xf>
    <xf numFmtId="189" fontId="83" fillId="43" borderId="83" applyAlignment="1" pivotButton="0" quotePrefix="0" xfId="0">
      <alignment horizontal="right" vertical="center"/>
    </xf>
    <xf numFmtId="0" fontId="93" fillId="0" borderId="0" pivotButton="0" quotePrefix="0" xfId="0"/>
    <xf numFmtId="0" fontId="94" fillId="47" borderId="0" applyAlignment="1" pivotButton="0" quotePrefix="0" xfId="0">
      <alignment vertical="center" wrapText="1"/>
    </xf>
    <xf numFmtId="0" fontId="94" fillId="48" borderId="0" pivotButton="0" quotePrefix="0" xfId="0"/>
    <xf numFmtId="0" fontId="95" fillId="49" borderId="0" pivotButton="0" quotePrefix="0" xfId="0"/>
    <xf numFmtId="169" fontId="96" fillId="49" borderId="0" pivotButton="0" quotePrefix="0" xfId="0"/>
    <xf numFmtId="0" fontId="94" fillId="50" borderId="0" pivotButton="0" quotePrefix="0" xfId="0"/>
    <xf numFmtId="0" fontId="97" fillId="51" borderId="0" pivotButton="0" quotePrefix="0" xfId="0"/>
    <xf numFmtId="0" fontId="98" fillId="52" borderId="0" pivotButton="0" quotePrefix="0" xfId="0"/>
    <xf numFmtId="0" fontId="0" fillId="0" borderId="0" applyAlignment="1" pivotButton="0" quotePrefix="0" xfId="0">
      <alignment vertical="top" wrapText="1"/>
    </xf>
    <xf numFmtId="2" fontId="0" fillId="0" borderId="0" pivotButton="0" quotePrefix="0" xfId="0"/>
    <xf numFmtId="0" fontId="99" fillId="0" borderId="0" pivotButton="0" quotePrefix="0" xfId="0"/>
    <xf numFmtId="0" fontId="100" fillId="0" borderId="0" pivotButton="0" quotePrefix="0" xfId="0"/>
    <xf numFmtId="0" fontId="101" fillId="0" borderId="84" applyAlignment="1" pivotButton="0" quotePrefix="0" xfId="0">
      <alignment vertical="top"/>
    </xf>
    <xf numFmtId="0" fontId="93" fillId="0" borderId="84" pivotButton="0" quotePrefix="0" xfId="0"/>
    <xf numFmtId="0" fontId="101" fillId="0" borderId="84" pivotButton="0" quotePrefix="0" xfId="0"/>
    <xf numFmtId="0" fontId="101" fillId="0" borderId="84" applyAlignment="1" pivotButton="0" quotePrefix="0" xfId="0">
      <alignment horizontal="left" vertical="center"/>
    </xf>
    <xf numFmtId="0" fontId="102" fillId="47" borderId="84" applyAlignment="1" pivotButton="0" quotePrefix="0" xfId="0">
      <alignment vertical="center" wrapText="1"/>
    </xf>
    <xf numFmtId="0" fontId="102" fillId="47" borderId="0" pivotButton="0" quotePrefix="0" xfId="0"/>
    <xf numFmtId="0" fontId="101" fillId="0" borderId="84" applyAlignment="1" pivotButton="0" quotePrefix="0" xfId="0">
      <alignment vertical="center"/>
    </xf>
    <xf numFmtId="0" fontId="102" fillId="53" borderId="84" applyAlignment="1" pivotButton="0" quotePrefix="1" xfId="0">
      <alignment horizontal="center" vertical="center"/>
    </xf>
    <xf numFmtId="0" fontId="102" fillId="53" borderId="84" pivotButton="0" quotePrefix="0" xfId="0"/>
    <xf numFmtId="0" fontId="101" fillId="44" borderId="85" applyAlignment="1" pivotButton="0" quotePrefix="0" xfId="0">
      <alignment horizontal="center"/>
    </xf>
    <xf numFmtId="0" fontId="101" fillId="0" borderId="84" applyAlignment="1" pivotButton="0" quotePrefix="0" xfId="0">
      <alignment horizontal="center"/>
    </xf>
    <xf numFmtId="0" fontId="100" fillId="0" borderId="84" pivotButton="0" quotePrefix="0" xfId="0"/>
    <xf numFmtId="0" fontId="101" fillId="0" borderId="84" applyAlignment="1" pivotButton="0" quotePrefix="0" xfId="0">
      <alignment horizontal="left" vertical="center" indent="1"/>
    </xf>
    <xf numFmtId="0" fontId="101" fillId="54" borderId="84" applyAlignment="1" pivotButton="0" quotePrefix="0" xfId="0">
      <alignment vertical="center"/>
    </xf>
    <xf numFmtId="0" fontId="101" fillId="0" borderId="84" applyAlignment="1" pivotButton="0" quotePrefix="0" xfId="0">
      <alignment horizontal="left" vertical="center" indent="2"/>
    </xf>
    <xf numFmtId="0" fontId="101" fillId="44" borderId="85" applyAlignment="1" pivotButton="0" quotePrefix="0" xfId="0">
      <alignment horizontal="right"/>
    </xf>
    <xf numFmtId="0" fontId="101" fillId="44" borderId="85" pivotButton="0" quotePrefix="0" xfId="0"/>
    <xf numFmtId="0" fontId="102" fillId="53" borderId="84" applyAlignment="1" pivotButton="0" quotePrefix="0" xfId="0">
      <alignment horizontal="left" vertical="center" indent="2"/>
    </xf>
    <xf numFmtId="0" fontId="102" fillId="53" borderId="84" applyAlignment="1" pivotButton="0" quotePrefix="0" xfId="0">
      <alignment vertical="center"/>
    </xf>
    <xf numFmtId="0" fontId="101" fillId="44" borderId="85" applyAlignment="1" pivotButton="0" quotePrefix="0" xfId="0">
      <alignment horizontal="center" vertical="center"/>
    </xf>
    <xf numFmtId="0" fontId="101" fillId="44" borderId="85" applyAlignment="1" pivotButton="0" quotePrefix="0" xfId="0">
      <alignment vertical="center"/>
    </xf>
    <xf numFmtId="0" fontId="101" fillId="0" borderId="84" applyAlignment="1" pivotButton="0" quotePrefix="0" xfId="2">
      <alignment vertical="center"/>
    </xf>
    <xf numFmtId="0" fontId="102" fillId="53" borderId="84" applyAlignment="1" pivotButton="0" quotePrefix="0" xfId="2">
      <alignment vertical="center"/>
    </xf>
    <xf numFmtId="0" fontId="101" fillId="0" borderId="84" applyAlignment="1" pivotButton="0" quotePrefix="0" xfId="3">
      <alignment vertical="center"/>
    </xf>
    <xf numFmtId="0" fontId="101" fillId="0" borderId="84" applyAlignment="1" pivotButton="0" quotePrefix="0" xfId="0">
      <alignment horizontal="center" vertical="center"/>
    </xf>
    <xf numFmtId="0" fontId="101" fillId="0" borderId="84" applyAlignment="1" pivotButton="0" quotePrefix="0" xfId="0">
      <alignment horizontal="left" vertical="center" indent="3"/>
    </xf>
    <xf numFmtId="0" fontId="101" fillId="0" borderId="84" applyAlignment="1" pivotButton="0" quotePrefix="0" xfId="4">
      <alignment vertical="center"/>
    </xf>
    <xf numFmtId="0" fontId="101" fillId="0" borderId="84" applyAlignment="1" applyProtection="1" pivotButton="0" quotePrefix="0" xfId="0">
      <alignment horizontal="left"/>
      <protection locked="0" hidden="0"/>
    </xf>
    <xf numFmtId="0" fontId="101" fillId="0" borderId="84" applyAlignment="1" applyProtection="1" pivotButton="0" quotePrefix="0" xfId="0">
      <alignment horizontal="center"/>
      <protection locked="0" hidden="0"/>
    </xf>
    <xf numFmtId="0" fontId="101" fillId="0" borderId="84" applyAlignment="1" pivotButton="0" quotePrefix="0" xfId="0">
      <alignment horizontal="left"/>
    </xf>
    <xf numFmtId="0" fontId="101" fillId="0" borderId="84" applyAlignment="1" pivotButton="0" quotePrefix="1" xfId="0">
      <alignment horizontal="center" vertical="center"/>
    </xf>
    <xf numFmtId="0" fontId="101" fillId="0" borderId="84" applyAlignment="1" pivotButton="0" quotePrefix="0" xfId="0">
      <alignment horizontal="right"/>
    </xf>
    <xf numFmtId="0" fontId="101" fillId="0" borderId="84" applyAlignment="1" pivotButton="0" quotePrefix="1" xfId="0">
      <alignment vertical="center"/>
    </xf>
    <xf numFmtId="0" fontId="101" fillId="0" borderId="84" applyAlignment="1" pivotButton="0" quotePrefix="0" xfId="0">
      <alignment horizontal="right" vertical="center"/>
    </xf>
    <xf numFmtId="0" fontId="101" fillId="0" borderId="84" applyAlignment="1" pivotButton="0" quotePrefix="0" xfId="3">
      <alignment horizontal="right" vertical="center"/>
    </xf>
    <xf numFmtId="0" fontId="101" fillId="0" borderId="84" applyAlignment="1" pivotButton="0" quotePrefix="0" xfId="0">
      <alignment horizontal="left" vertical="center" wrapText="1"/>
    </xf>
    <xf numFmtId="0" fontId="101" fillId="0" borderId="84" pivotButton="0" quotePrefix="0" xfId="2"/>
    <xf numFmtId="0" fontId="102" fillId="47" borderId="86" applyAlignment="1" pivotButton="0" quotePrefix="0" xfId="0">
      <alignment vertical="center" wrapText="1"/>
    </xf>
    <xf numFmtId="0" fontId="94" fillId="55" borderId="84" applyAlignment="1" pivotButton="0" quotePrefix="0" xfId="0">
      <alignment horizontal="left" vertical="center" indent="1"/>
    </xf>
    <xf numFmtId="0" fontId="94" fillId="55" borderId="84" applyAlignment="1" pivotButton="0" quotePrefix="0" xfId="0">
      <alignment vertical="center"/>
    </xf>
    <xf numFmtId="0" fontId="98" fillId="56" borderId="84" applyAlignment="1" pivotButton="0" quotePrefix="0" xfId="0">
      <alignment horizontal="left" vertical="center" indent="2"/>
    </xf>
    <xf numFmtId="0" fontId="98" fillId="56" borderId="84" pivotButton="0" quotePrefix="0" xfId="0"/>
    <xf numFmtId="0" fontId="98" fillId="56" borderId="84" applyAlignment="1" pivotButton="0" quotePrefix="0" xfId="0">
      <alignment vertical="center"/>
    </xf>
    <xf numFmtId="0" fontId="92" fillId="0" borderId="84" applyAlignment="1" pivotButton="0" quotePrefix="0" xfId="0">
      <alignment horizontal="left" vertical="center" indent="2"/>
    </xf>
    <xf numFmtId="0" fontId="101" fillId="54" borderId="84" pivotButton="0" quotePrefix="0" xfId="0"/>
    <xf numFmtId="0" fontId="92" fillId="0" borderId="84" applyAlignment="1" pivotButton="0" quotePrefix="0" xfId="0">
      <alignment horizontal="left" vertical="center" indent="1"/>
    </xf>
    <xf numFmtId="0" fontId="92" fillId="0" borderId="84" applyAlignment="1" pivotButton="0" quotePrefix="0" xfId="0">
      <alignment vertical="center"/>
    </xf>
    <xf numFmtId="0" fontId="94" fillId="57" borderId="84" applyAlignment="1" pivotButton="0" quotePrefix="0" xfId="0">
      <alignment horizontal="left" vertical="center" indent="2"/>
    </xf>
    <xf numFmtId="0" fontId="94" fillId="57" borderId="84" applyAlignment="1" pivotButton="0" quotePrefix="0" xfId="0">
      <alignment vertical="center"/>
    </xf>
    <xf numFmtId="0" fontId="94" fillId="57" borderId="84" applyAlignment="1" pivotButton="0" quotePrefix="0" xfId="0">
      <alignment horizontal="center" vertical="center"/>
    </xf>
    <xf numFmtId="0" fontId="94" fillId="57" borderId="84" pivotButton="0" quotePrefix="0" xfId="0"/>
    <xf numFmtId="0" fontId="100" fillId="0" borderId="84" applyAlignment="1" pivotButton="0" quotePrefix="0" xfId="3">
      <alignment vertical="center"/>
    </xf>
    <xf numFmtId="0" fontId="101" fillId="44" borderId="85" applyAlignment="1" pivotButton="0" quotePrefix="0" xfId="4">
      <alignment vertical="center"/>
    </xf>
    <xf numFmtId="0" fontId="103" fillId="0" borderId="84" applyAlignment="1" pivotButton="0" quotePrefix="0" xfId="0">
      <alignment vertical="center"/>
    </xf>
    <xf numFmtId="0" fontId="94" fillId="57" borderId="84" applyAlignment="1" pivotButton="0" quotePrefix="0" xfId="0">
      <alignment horizontal="left" vertical="center" indent="1"/>
    </xf>
    <xf numFmtId="0" fontId="94" fillId="57" borderId="84" applyAlignment="1" pivotButton="0" quotePrefix="0" xfId="3">
      <alignment vertical="center"/>
    </xf>
    <xf numFmtId="0" fontId="92" fillId="0" borderId="84" pivotButton="0" quotePrefix="0" xfId="0"/>
    <xf numFmtId="0" fontId="104" fillId="0" borderId="84" pivotButton="0" quotePrefix="0" xfId="0"/>
    <xf numFmtId="0" fontId="104" fillId="0" borderId="84" applyAlignment="1" pivotButton="0" quotePrefix="0" xfId="0">
      <alignment horizontal="left" vertical="center" indent="2"/>
    </xf>
    <xf numFmtId="0" fontId="104" fillId="0" borderId="84" applyAlignment="1" pivotButton="0" quotePrefix="0" xfId="0">
      <alignment vertical="center"/>
    </xf>
  </cellXfs>
  <cellStyles count="15">
    <cellStyle name="Normal" xfId="0" builtinId="0"/>
    <cellStyle name="Normal 22 2" xfId="1"/>
    <cellStyle name="Comma" xfId="2" builtinId="3"/>
    <cellStyle name="Currency" xfId="3" builtinId="4"/>
    <cellStyle name="Percent" xfId="4" builtinId="5"/>
    <cellStyle name="Subtitle" xfId="5"/>
    <cellStyle name="TableTitle" xfId="6"/>
    <cellStyle name="TableHeading" xfId="7"/>
    <cellStyle name="Normal 3" xfId="8"/>
    <cellStyle name="Normal 2" xfId="9"/>
    <cellStyle name="tblHeader" xfId="10"/>
    <cellStyle name="tblText" xfId="11"/>
    <cellStyle name="Percent 2 2" xfId="12"/>
    <cellStyle name="Normal 4" xfId="13"/>
    <cellStyle name="Instructions" xfId="14"/>
  </cellStyles>
  <dxfs count="11">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b val="1"/>
        <condense val="0"/>
        <color indexed="10"/>
        <extend val="0"/>
      </font>
      <fill>
        <patternFill>
          <bgColor indexed="43"/>
        </patternFill>
      </fill>
    </dxf>
    <dxf>
      <font>
        <b val="1"/>
        <color rgb="FFFF0000"/>
      </font>
      <fill>
        <patternFill>
          <bgColor rgb="FFFFFF99"/>
        </patternFill>
      </fill>
    </dxf>
    <dxf>
      <font>
        <b val="1"/>
        <condense val="0"/>
        <color indexed="10"/>
        <extend val="0"/>
      </font>
      <fill>
        <patternFill>
          <bgColor indexed="43"/>
        </patternFill>
      </fill>
    </dxf>
    <dxf>
      <font>
        <color rgb="00FFFFFF"/>
      </font>
      <fill>
        <patternFill patternType="solid">
          <fgColor rgb="00FFFFFF"/>
        </patternFill>
      </fill>
      <border>
        <left style="thin">
          <color rgb="00FFFFFF"/>
        </left>
        <right style="thin">
          <color rgb="00FFFFFF"/>
        </right>
        <top style="thin">
          <color rgb="00FFFFFF"/>
        </top>
        <bottom style="thin">
          <color rgb="00FFFFFF"/>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externalLink" Target="/xl/externalLinks/externalLink1.xml" Id="rId29" /><Relationship Type="http://schemas.openxmlformats.org/officeDocument/2006/relationships/externalLink" Target="/xl/externalLinks/externalLink2.xml" Id="rId30" /><Relationship Type="http://schemas.openxmlformats.org/officeDocument/2006/relationships/externalLink" Target="/xl/externalLinks/externalLink3.xml" Id="rId31" /><Relationship Type="http://schemas.openxmlformats.org/officeDocument/2006/relationships/externalLink" Target="/xl/externalLinks/externalLink4.xml" Id="rId32" /><Relationship Type="http://schemas.openxmlformats.org/officeDocument/2006/relationships/externalLink" Target="/xl/externalLinks/externalLink5.xml" Id="rId33" /><Relationship Type="http://schemas.openxmlformats.org/officeDocument/2006/relationships/externalLink" Target="/xl/externalLinks/externalLink6.xml" Id="rId34" /><Relationship Type="http://schemas.openxmlformats.org/officeDocument/2006/relationships/externalLink" Target="/xl/externalLinks/externalLink7.xml" Id="rId35" /><Relationship Type="http://schemas.openxmlformats.org/officeDocument/2006/relationships/externalLink" Target="/xl/externalLinks/externalLink8.xml" Id="rId36" /><Relationship Type="http://schemas.openxmlformats.org/officeDocument/2006/relationships/externalLink" Target="/xl/externalLinks/externalLink9.xml" Id="rId37" /><Relationship Type="http://schemas.openxmlformats.org/officeDocument/2006/relationships/externalLink" Target="/xl/externalLinks/externalLink10.xml" Id="rId38" /><Relationship Type="http://schemas.openxmlformats.org/officeDocument/2006/relationships/externalLink" Target="/xl/externalLinks/externalLink11.xml" Id="rId39" /><Relationship Type="http://schemas.openxmlformats.org/officeDocument/2006/relationships/externalLink" Target="/xl/externalLinks/externalLink12.xml" Id="rId40" /><Relationship Type="http://schemas.openxmlformats.org/officeDocument/2006/relationships/externalLink" Target="/xl/externalLinks/externalLink13.xml" Id="rId41" /><Relationship Type="http://schemas.openxmlformats.org/officeDocument/2006/relationships/externalLink" Target="/xl/externalLinks/externalLink14.xml" Id="rId42" /><Relationship Type="http://schemas.openxmlformats.org/officeDocument/2006/relationships/styles" Target="styles.xml" Id="rId43" /><Relationship Type="http://schemas.openxmlformats.org/officeDocument/2006/relationships/theme" Target="theme/theme1.xml" Id="rId44" /></Relationships>
</file>

<file path=xl/comments/comment1.xml><?xml version="1.0" encoding="utf-8"?>
<comments xmlns="http://schemas.openxmlformats.org/spreadsheetml/2006/main">
  <authors>
    <author>Claude</author>
  </authors>
  <commentList>
    <comment ref="A107" authorId="0" shapeId="0">
      <text>
        <t>Value: P104
Source: Owner Income Statement, Green Industrial Development Group, 26100 E 68th Ave, R0226379</t>
      </text>
    </comment>
    <comment ref="C107" authorId="0" shapeId="0">
      <text>
        <t>Value: R0226379
Source: Owner Income Statement, Green Industrial Development Group, 26100 E 68th Ave, R0226379</t>
      </text>
    </comment>
    <comment ref="D107" authorId="0" shapeId="0">
      <text>
        <t>Value: 26100 E 68th Ave
Source: Owner Income Statement, Green Industrial Development Group, 26100 E 68th Ave, R0226379</t>
      </text>
    </comment>
    <comment ref="E107" authorId="0" shapeId="0">
      <text>
        <t>Value: Aurora
Source: Owner Income Statement, Green Industrial Development Group, 26100 E 68th Ave, R0226379</t>
      </text>
    </comment>
    <comment ref="F107" authorId="0" shapeId="0">
      <text>
        <t>Value: CO
Source: Owner Income Statement, Green Industrial Development Group, 26100 E 68th Ave, R0226379</t>
      </text>
    </comment>
    <comment ref="G107" authorId="0" shapeId="0">
      <text>
        <t>Value: Industrial
Source: Owner Income Statement, Green Industrial Development Group, 26100 E 68th Ave, R0226379</t>
      </text>
    </comment>
    <comment ref="H107" authorId="0" shapeId="0">
      <text>
        <t>Value: Industrial Multi-Tenant
Source: Owner Income Statement, Green Industrial Development Group, 26100 E 68th Ave, R0226379</t>
      </text>
    </comment>
    <comment ref="I107" authorId="0" shapeId="0">
      <text>
        <t>Value: None
Source: Owner Income Statement, Green Industrial Development Group, 26100 E 68th Ave, R0226379</t>
      </text>
    </comment>
    <comment ref="J107" authorId="0" shapeId="0">
      <text>
        <t>Value: 187720
Source: User-provided, 2026-06-03</t>
      </text>
    </comment>
    <comment ref="K107" authorId="0" shapeId="0">
      <text>
        <t>Value: None
Source: Owner Income Statement, Green Industrial Development Group, 26100 E 68th Ave, R0226379</t>
      </text>
    </comment>
    <comment ref="L107" authorId="0" shapeId="0">
      <text>
        <t>Value: R0226379
Source: Owner Income Statement, Green Industrial Development Group, 26100 E 68th Ave, R0226379</t>
      </text>
    </comment>
    <comment ref="M107" authorId="0" shapeId="0">
      <text>
        <t>Value: Green Industrial Development Group (.ptg)
Source: Owner Income Statement, Green Industrial Development Group, 26100 E 68th Ave, R0226379</t>
      </text>
    </comment>
    <comment ref="N107" authorId="0" shapeId="0">
      <text>
        <t>Value: Owner Income Statement 2023 &amp; 2024
Source: Owner Income Statement, Green Industrial Development Group, 26100 E 68th Ave, R0226379</t>
      </text>
    </comment>
    <comment ref="O107" authorId="0" shapeId="0">
      <text>
        <t>Value: 2026-06-03
Source: Owner Income Statement, Green Industrial Development Group, 26100 E 68th Ave, R0226379</t>
      </text>
    </comment>
    <comment ref="P107" authorId="0" shapeId="0">
      <text>
        <t>Value: Building 1; Filing 3 Block 1 Lot 1; CAM reimb + TBB structure; SF unknown; 2023-2024 actuals
Source: Owner Income Statement, Green Industrial Development Group, 26100 E 68th Ave, R0226379</t>
      </text>
    </comment>
  </commentList>
</comments>
</file>

<file path=xl/comments/comment2.xml><?xml version="1.0" encoding="utf-8"?>
<comments xmlns="http://schemas.openxmlformats.org/spreadsheetml/2006/main">
  <authors>
    <author>Claude</author>
  </authors>
  <commentList>
    <comment ref="A196" authorId="0" shapeId="0">
      <text>
        <t>Value: P104
Source: Owner Income Statement, Green Industrial Development Group, 26100 E 68th Ave, R0226379, 2024</t>
      </text>
    </comment>
    <comment ref="C196" authorId="0" shapeId="0">
      <text>
        <t>Value: R0226379
Source: Owner Income Statement, Green Industrial Development Group, 26100 E 68th Ave, R0226379, 2024</t>
      </text>
    </comment>
    <comment ref="D196" authorId="0" shapeId="0">
      <text>
        <t>Value: 26100 E 68th Ave
Source: Owner Income Statement, Green Industrial Development Group, 26100 E 68th Ave, R0226379, 2024</t>
      </text>
    </comment>
    <comment ref="E196" authorId="0" shapeId="0">
      <text>
        <t>Value: Aurora
Source: Owner Income Statement, Green Industrial Development Group, 26100 E 68th Ave, R0226379, 2024</t>
      </text>
    </comment>
    <comment ref="F196" authorId="0" shapeId="0">
      <text>
        <t>Value: CO
Source: Owner Income Statement, Green Industrial Development Group, 26100 E 68th Ave, R0226379, 2024</t>
      </text>
    </comment>
    <comment ref="G196" authorId="0" shapeId="0">
      <text>
        <t>Value: Industrial
Source: Owner Income Statement, Green Industrial Development Group, 26100 E 68th Ave, R0226379, 2024</t>
      </text>
    </comment>
    <comment ref="H196" authorId="0" shapeId="0">
      <text>
        <t>Value: Industrial Multi-Tenant
Source: Owner Income Statement, Green Industrial Development Group, 26100 E 68th Ave, R0226379, 2024</t>
      </text>
    </comment>
    <comment ref="J196" authorId="0" shapeId="0">
      <text>
        <t>Value: 187720
Source: User-provided, 2026-06-03</t>
      </text>
    </comment>
    <comment ref="K196" authorId="0" shapeId="0">
      <text>
        <t>Value: 2024
Source: Owner Income Statement, Green Industrial Development Group, 26100 E 68th Ave, R0226379, 2024</t>
      </text>
    </comment>
    <comment ref="L196" authorId="0" shapeId="0">
      <text>
        <t>Value: 1379735.79
Source: Owner Income Statement, Green Industrial Development Group, 26100 E 68th Ave, R0226379, 2024</t>
      </text>
    </comment>
    <comment ref="M196" authorId="0" shapeId="0">
      <text>
        <t>Value: 1145329.2999999998
Source: Owner Income Statement, Green Industrial Development Group, 26100 E 68th Ave, R0226379, 2024</t>
      </text>
    </comment>
    <comment ref="N196" authorId="0" shapeId="0">
      <text>
        <t>Value: 2525065.09
Source: Owner Income Statement, Green Industrial Development Group, 26100 E 68th Ave, R0226379, 2024</t>
      </text>
    </comment>
    <comment ref="O196" authorId="0" shapeId="0">
      <text>
        <t>Value: 176616.01
Source: Owner Income Statement, Green Industrial Development Group, 26100 E 68th Ave, R0226379, 2024</t>
      </text>
    </comment>
    <comment ref="P196" authorId="0" shapeId="0">
      <text>
        <t>Value: 113481.13
Source: Owner Income Statement, Green Industrial Development Group, 26100 E 68th Ave, R0226379, 2024</t>
      </text>
    </comment>
    <comment ref="S196" authorId="0" shapeId="0">
      <text>
        <t>Value: 17075.9
Source: Owner Income Statement, Green Industrial Development Group, 26100 E 68th Ave, R0226379, 2024</t>
      </text>
    </comment>
    <comment ref="T196" authorId="0" shapeId="0">
      <text>
        <t>Value: 2503.95
Source: Owner Income Statement, Green Industrial Development Group, 26100 E 68th Ave, R0226379, 2024</t>
      </text>
    </comment>
    <comment ref="V196" authorId="0" shapeId="0">
      <text>
        <t>Value: 5930.82
Source: Owner Income Statement, Green Industrial Development Group, 26100 E 68th Ave, R0226379, 2024</t>
      </text>
    </comment>
    <comment ref="W196" authorId="0" shapeId="0">
      <text>
        <t>Value: 13699.17
Source: Owner Income Statement, Green Industrial Development Group, 26100 E 68th Ave, R0226379, 2024</t>
      </text>
    </comment>
    <comment ref="X196" authorId="0" shapeId="0">
      <text>
        <t>Value: 16241.979999999998
Source: Owner Income Statement, Green Industrial Development Group, 26100 E 68th Ave, R0226379, 2024</t>
      </text>
    </comment>
    <comment ref="Y196" authorId="0" shapeId="0">
      <text>
        <t>Value: 55451.82
Source: Owner Income Statement, Green Industrial Development Group, 26100 E 68th Ave, R0226379, 2024</t>
      </text>
    </comment>
    <comment ref="AA196" authorId="0" shapeId="0">
      <text>
        <t>Value: 9292.15
Source: Owner Income Statement, Green Industrial Development Group, 26100 E 68th Ave, R0226379, 2024</t>
      </text>
    </comment>
    <comment ref="AB196" authorId="0" shapeId="0">
      <text>
        <t>Value: 32179.95
Source: Owner Income Statement, Green Industrial Development Group, 26100 E 68th Ave, R0226379, 2024</t>
      </text>
    </comment>
    <comment ref="AC196" authorId="0" shapeId="0">
      <text>
        <t>Value: 68623.09999999999
Source: Owner Income Statement, Green Industrial Development Group, 26100 E 68th Ave, R0226379, 2024</t>
      </text>
    </comment>
    <comment ref="AD196" authorId="0" shapeId="0">
      <text>
        <t>Value: 29263.75
Source: Owner Income Statement, Green Industrial Development Group, 26100 E 68th Ave, R0226379, 2024</t>
      </text>
    </comment>
    <comment ref="AE196" authorId="0" shapeId="0">
      <text>
        <t>Value: 11425.16
Source: Owner Income Statement, Green Industrial Development Group, 26100 E 68th Ave, R0226379, 2024</t>
      </text>
    </comment>
    <comment ref="AF196" authorId="0" shapeId="0">
      <text>
        <t>Value: 40688.91
Source: Owner Income Statement, Green Industrial Development Group, 26100 E 68th Ave, R0226379, 2024</t>
      </text>
    </comment>
    <comment ref="AG196" authorId="0" shapeId="0">
      <text>
        <t>Value: 4476.68
Source: Owner Income Statement, Green Industrial Development Group, 26100 E 68th Ave, R0226379, 2024</t>
      </text>
    </comment>
    <comment ref="AH196" authorId="0" shapeId="0">
      <text>
        <t>Value: 592603.42
Source: Owner Income Statement, Green Industrial Development Group, 26100 E 68th Ave, R0226379, 2024</t>
      </text>
    </comment>
    <comment ref="AI196" authorId="0" shapeId="0">
      <text>
        <t>Value: 681745.35
Source: Owner Income Statement, Green Industrial Development Group, 26100 E 68th Ave, R0226379, 2024</t>
      </text>
    </comment>
    <comment ref="AJ196" authorId="0" shapeId="0">
      <text>
        <t>Value: 1274348.77
Source: Owner Income Statement, Green Industrial Development Group, 26100 E 68th Ave, R0226379, 2024</t>
      </text>
    </comment>
    <comment ref="AK196" authorId="0" shapeId="0">
      <text>
        <t>Value: 1250716.32
Source: Owner Income Statement, Green Industrial Development Group, 26100 E 68th Ave, R0226379, 2024</t>
      </text>
    </comment>
    <comment ref="AM196" authorId="0" shapeId="0">
      <text>
        <t>Value: 2024 actuals; CAM reimb + TBB structure; TBBs (178,730.57) included in Total OPX; RE Taxes include Metro District (179,316.74); Mgmt = CAM Mgmt + non-recov mgmt; Landscape+Snow+Security+Sweeping in Contract Svcs; SF unknown
Source: Owner Income Statement, Green Industrial Development Group, 26100 E 68th Ave, R0226379, 2024</t>
      </text>
    </comment>
    <comment ref="A197" authorId="0" shapeId="0">
      <text>
        <t>Value: P104
Source: Owner Income Statement, Green Industrial Development Group, 26100 E 68th Ave, R0226379, 2023</t>
      </text>
    </comment>
    <comment ref="C197" authorId="0" shapeId="0">
      <text>
        <t>Value: R0226379
Source: Owner Income Statement, Green Industrial Development Group, 26100 E 68th Ave, R0226379, 2023</t>
      </text>
    </comment>
    <comment ref="D197" authorId="0" shapeId="0">
      <text>
        <t>Value: 26100 E 68th Ave
Source: Owner Income Statement, Green Industrial Development Group, 26100 E 68th Ave, R0226379, 2023</t>
      </text>
    </comment>
    <comment ref="E197" authorId="0" shapeId="0">
      <text>
        <t>Value: Aurora
Source: Owner Income Statement, Green Industrial Development Group, 26100 E 68th Ave, R0226379, 2023</t>
      </text>
    </comment>
    <comment ref="F197" authorId="0" shapeId="0">
      <text>
        <t>Value: CO
Source: Owner Income Statement, Green Industrial Development Group, 26100 E 68th Ave, R0226379, 2023</t>
      </text>
    </comment>
    <comment ref="G197" authorId="0" shapeId="0">
      <text>
        <t>Value: Industrial
Source: Owner Income Statement, Green Industrial Development Group, 26100 E 68th Ave, R0226379, 2023</t>
      </text>
    </comment>
    <comment ref="H197" authorId="0" shapeId="0">
      <text>
        <t>Value: Industrial Multi-Tenant
Source: Owner Income Statement, Green Industrial Development Group, 26100 E 68th Ave, R0226379, 2023</t>
      </text>
    </comment>
    <comment ref="J197" authorId="0" shapeId="0">
      <text>
        <t>Value: 187720
Source: User-provided, 2026-06-03</t>
      </text>
    </comment>
    <comment ref="K197" authorId="0" shapeId="0">
      <text>
        <t>Value: 2023
Source: Owner Income Statement, Green Industrial Development Group, 26100 E 68th Ave, R0226379, 2023</t>
      </text>
    </comment>
    <comment ref="L197" authorId="0" shapeId="0">
      <text>
        <t>Value: 1185113.75
Source: Owner Income Statement, Green Industrial Development Group, 26100 E 68th Ave, R0226379, 2023</t>
      </text>
    </comment>
    <comment ref="M197" authorId="0" shapeId="0">
      <text>
        <t>Value: 1132267.35
Source: Owner Income Statement, Green Industrial Development Group, 26100 E 68th Ave, R0226379, 2023</t>
      </text>
    </comment>
    <comment ref="N197" authorId="0" shapeId="0">
      <text>
        <t>Value: 2317381.1
Source: Owner Income Statement, Green Industrial Development Group, 26100 E 68th Ave, R0226379, 2023</t>
      </text>
    </comment>
    <comment ref="O197" authorId="0" shapeId="0">
      <text>
        <t>Value: 116967.52
Source: Owner Income Statement, Green Industrial Development Group, 26100 E 68th Ave, R0226379, 2023</t>
      </text>
    </comment>
    <comment ref="P197" authorId="0" shapeId="0">
      <text>
        <t>Value: 106274.14
Source: Owner Income Statement, Green Industrial Development Group, 26100 E 68th Ave, R0226379, 2023</t>
      </text>
    </comment>
    <comment ref="S197" authorId="0" shapeId="0">
      <text>
        <t>Value: 3365.97
Source: Owner Income Statement, Green Industrial Development Group, 26100 E 68th Ave, R0226379, 2023</t>
      </text>
    </comment>
    <comment ref="T197" authorId="0" shapeId="0">
      <text>
        <t>Value: 4470.25
Source: Owner Income Statement, Green Industrial Development Group, 26100 E 68th Ave, R0226379, 2023</t>
      </text>
    </comment>
    <comment ref="V197" authorId="0" shapeId="0">
      <text>
        <t>Value: 27567.8
Source: Owner Income Statement, Green Industrial Development Group, 26100 E 68th Ave, R0226379, 2023</t>
      </text>
    </comment>
    <comment ref="W197" authorId="0" shapeId="0">
      <text>
        <t>Value: 17386.24
Source: Owner Income Statement, Green Industrial Development Group, 26100 E 68th Ave, R0226379, 2023</t>
      </text>
    </comment>
    <comment ref="X197" authorId="0" shapeId="0">
      <text>
        <t>Value: 15567.46
Source: Owner Income Statement, Green Industrial Development Group, 26100 E 68th Ave, R0226379, 2023</t>
      </text>
    </comment>
    <comment ref="Y197" authorId="0" shapeId="0">
      <text>
        <t>Value: 68357.72
Source: Owner Income Statement, Green Industrial Development Group, 26100 E 68th Ave, R0226379, 2023</t>
      </text>
    </comment>
    <comment ref="AA197" authorId="0" shapeId="0">
      <text>
        <t>Value: 10701.130000000001
Source: Owner Income Statement, Green Industrial Development Group, 26100 E 68th Ave, R0226379, 2023</t>
      </text>
    </comment>
    <comment ref="AB197" authorId="0" shapeId="0">
      <text>
        <t>Value: 28242.53
Source: Owner Income Statement, Green Industrial Development Group, 26100 E 68th Ave, R0226379, 2023</t>
      </text>
    </comment>
    <comment ref="AC197" authorId="0" shapeId="0">
      <text>
        <t>Value: 91036.76999999999
Source: Owner Income Statement, Green Industrial Development Group, 26100 E 68th Ave, R0226379, 2023</t>
      </text>
    </comment>
    <comment ref="AD197" authorId="0" shapeId="0">
      <text>
        <t>Value: 25899.28
Source: Owner Income Statement, Green Industrial Development Group, 26100 E 68th Ave, R0226379, 2023</t>
      </text>
    </comment>
    <comment ref="AE197" authorId="0" shapeId="0">
      <text>
        <t>Value: 11031.13
Source: Owner Income Statement, Green Industrial Development Group, 26100 E 68th Ave, R0226379, 2023</t>
      </text>
    </comment>
    <comment ref="AF197" authorId="0" shapeId="0">
      <text>
        <t>Value: 36930.409999999996
Source: Owner Income Statement, Green Industrial Development Group, 26100 E 68th Ave, R0226379, 2023</t>
      </text>
    </comment>
    <comment ref="AG197" authorId="0" shapeId="0">
      <text>
        <t>Value: 9341.34
Source: Owner Income Statement, Green Industrial Development Group, 26100 E 68th Ave, R0226379, 2023</t>
      </text>
    </comment>
    <comment ref="AH197" authorId="0" shapeId="0">
      <text>
        <t>Value: 540838.58
Source: Owner Income Statement, Green Industrial Development Group, 26100 E 68th Ave, R0226379, 2023</t>
      </text>
    </comment>
    <comment ref="AI197" authorId="0" shapeId="0">
      <text>
        <t>Value: 659137.36
Source: Owner Income Statement, Green Industrial Development Group, 26100 E 68th Ave, R0226379, 2023</t>
      </text>
    </comment>
    <comment ref="AJ197" authorId="0" shapeId="0">
      <text>
        <t>Value: 1199975.94
Source: Owner Income Statement, Green Industrial Development Group, 26100 E 68th Ave, R0226379, 2023</t>
      </text>
    </comment>
    <comment ref="AK197" authorId="0" shapeId="0">
      <text>
        <t>Value: 1117405.16
Source: Owner Income Statement, Green Industrial Development Group, 26100 E 68th Ave, R0226379, 2023</t>
      </text>
    </comment>
    <comment ref="AM197" authorId="0" shapeId="0">
      <text>
        <t>Value: 2023 actuals; CAM reimb + TBB structure; TBBs (171,359.08) included in Total OPX; RE Taxes include Metro District (172,730.34); Int Unit R&amp;M includes R&amp;M-Other (23,055.03); Other/Admin includes Personal Prop Tax (1,206.89); SF unknown
Source: Owner Income Statement, Green Industrial Development Group, 26100 E 68th Ave, R0226379, 2023</t>
      </text>
    </comment>
  </commentList>
</comments>
</file>

<file path=xl/externalLinks/_rels/externalLink1.xml.rels><Relationships xmlns="http://schemas.openxmlformats.org/package/2006/relationships"><Relationship Type="http://schemas.openxmlformats.org/officeDocument/2006/relationships/externalLinkPath" Target="file:///\\darkhelmet\cvc-darkhelmet\CB%20Files\CB%202008\08-0690_Cortez\ARC%20Merrill%20Lynch%20MHP%200606.xls" TargetMode="External" Id="rId1" /></Relationships>
</file>

<file path=xl/externalLinks/_rels/externalLink2.xml.rels><Relationships xmlns="http://schemas.openxmlformats.org/package/2006/relationships"><Relationship Type="http://schemas.openxmlformats.org/officeDocument/2006/relationships/externalLinkPath" Target="file:///\\vader\CVC-Vader\AppraisalFinalCopies\2012\14059\Valuation\Copy%20of%20Excess_Rent.xls" TargetMode="External" Id="rId1" /></Relationships>
</file>

<file path=xl/externalLinks/_rels/externalLink3.xml.rels><Relationships xmlns="http://schemas.openxmlformats.org/package/2006/relationships"><Relationship Type="http://schemas.microsoft.com/office/2006/relationships/xlExternalLinkPath/xlPathMissing" Target="0118000415%204900%20Florence%20Street1" TargetMode="External" Id="rId1" /></Relationships>
</file>

<file path=xl/externalLinks/_rels/externalLink4.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4195%20Centennial%20Boulevard\Elite%20Vision%20Improved%20Sales%20Revised.xlsx" TargetMode="External" Id="rId1" /></Relationships>
</file>

<file path=xl/externalLinks/_rels/externalLink5.xml.rels><Relationships xmlns="http://schemas.openxmlformats.org/package/2006/relationships"><Relationship Type="http://schemas.openxmlformats.org/officeDocument/2006/relationships/externalLinkPath" Target="file:///\\gcfilesrv\ASR$\Users\scraig\Desktop\More%20Stuff\Templates\Income%20Approach,%20Owner-User.xlsx" TargetMode="External" Id="rId1" /></Relationships>
</file>

<file path=xl/externalLinks/_rels/externalLink6.xml.rels><Relationships xmlns="http://schemas.openxmlformats.org/package/2006/relationships"><Relationship Type="http://schemas.openxmlformats.org/officeDocument/2006/relationships/externalLinkPath" Target="file:///C:\Users\scraig\Desktop\More%20Stuff\Templates\Income%20Approach,%20Owner-User.xlsx" TargetMode="External" Id="rId1" /></Relationships>
</file>

<file path=xl/externalLinks/_rels/externalLink7.xml.rels><Relationships xmlns="http://schemas.openxmlformats.org/package/2006/relationships"><Relationship Type="http://schemas.openxmlformats.org/officeDocument/2006/relationships/externalLinkPath" Target="file:///D:\Appraisals\BBGAppraisals-2021\BBGDenver\Researchers\Templates\Eval%20Template\Newest%20Eval%20and%20Restricted%20Template\Commercial-Base-Excel%20-%20v3.2.4%20(2).xlsm" TargetMode="External" Id="rId1" /></Relationships>
</file>

<file path=xl/externalLinks/_rels/externalLink8.xml.rels><Relationships xmlns="http://schemas.openxmlformats.org/package/2006/relationships"><Relationship Type="http://schemas.openxmlformats.org/officeDocument/2006/relationships/externalLinkPath" Target="file:///\\gcfilesrv\ASR$\01_Commercial\06_2021%20Review_Valuation_Appeals\2021%20-%20BAA%20Appeal\JDB\2021BAA6146%20-%20LYONS%20REAL%20ESTATE%20HOLDINGS%20LLC\R0088278.xlsx" TargetMode="External" Id="rId1" /></Relationships>
</file>

<file path=xl/externalLinks/_rels/externalLink9.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Template%20Stuff\Commercial-Base-Excel.xlsm" TargetMode="External" Id="rId1" /></Relationships>
</file>

<file path=xl/externalLinks/_rels/externalLink10.xml.rels><Relationships xmlns="http://schemas.openxmlformats.org/package/2006/relationships"><Relationship Type="http://schemas.openxmlformats.org/officeDocument/2006/relationships/externalLinkPath" Target="file:///\\gcfilesrv\ASR$\Users\kknipling\Box%20Sync\BBGAppraisalFiles\2018\0118002788%20-%20%20Denver%20CO%2080229,%20Denver\Working%20Documents\older%20version\6945%20Tutt%20Boulevard%20Analysis%20Revised%20New.xls" TargetMode="External" Id="rId1" /></Relationships>
</file>

<file path=xl/externalLinks/_rels/externalLink11.xml.rels><Relationships xmlns="http://schemas.openxmlformats.org/package/2006/relationships"><Relationship Type="http://schemas.openxmlformats.org/officeDocument/2006/relationships/externalLinkPath" Target="file:///\\eaglefive\CVC-EagleFive\Documents%20and%20Settings\pwalsh\My%20Documents\Payroll\Cost%20Approach.xls" TargetMode="External" Id="rId1" /></Relationships>
</file>

<file path=xl/externalLinks/_rels/externalLink12.xml.rels><Relationships xmlns="http://schemas.openxmlformats.org/package/2006/relationships"><Relationship Type="http://schemas.openxmlformats.org/officeDocument/2006/relationships/externalLinkPath" Target="file:///C:\Users\jbatchelder\AppData\Local\Microsoft\Windows\INetCache\Content.Outlook\QS388HG5\ST%20Retail%20IA%20%20SCA%205668%20Beeler%20Street.xlsx" TargetMode="External" Id="rId1" /></Relationships>
</file>

<file path=xl/externalLinks/_rels/externalLink13.xml.rels><Relationships xmlns="http://schemas.openxmlformats.org/package/2006/relationships"><Relationship Type="http://schemas.openxmlformats.org/officeDocument/2006/relationships/externalLinkPath" Target="file:///C:\Users\JBatchelder\Box%20Sync\BBGAppraisalFiles\2019\0119005598%20-%20%20Denver%20CO%2080237,%20Denver\Working%20Documents\3603%20s%20monaco%20parkway%20(jbatchelder@bbgres.com).xlsm" TargetMode="External" Id="rId1" /></Relationships>
</file>

<file path=xl/externalLinks/_rels/externalLink14.xml.rels><Relationships xmlns="http://schemas.openxmlformats.org/package/2006/relationships"><Relationship Type="http://schemas.openxmlformats.org/officeDocument/2006/relationships/externalLinkPath" Target="file:///D:\Appraisals\BBGAppraisals-2023\0123100874%20-%201024%20Cherokee%20Street,%20Denver\Working%20Documents\1024%20Cherokee%20Street%20FE.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structions"/>
      <sheetName val="Raw Data Fields"/>
      <sheetName val="Inputs"/>
      <sheetName val="Methodology"/>
      <sheetName val="RevSel"/>
      <sheetName val="ExpSel"/>
      <sheetName val="ARC Property List"/>
      <sheetName val="Values"/>
      <sheetName val="SFC"/>
      <sheetName val="Intro"/>
      <sheetName val="Restricted"/>
      <sheetName val="Survey Results"/>
      <sheetName val="Exposure"/>
      <sheetName val="Area"/>
      <sheetName val="Demos"/>
      <sheetName val="MktStdy"/>
      <sheetName val="MktStdyRents"/>
      <sheetName val="Zoning"/>
      <sheetName val="Site"/>
      <sheetName val="Improv"/>
      <sheetName val="ImpAnalysis"/>
      <sheetName val="Tax"/>
      <sheetName val="TaxAssum"/>
      <sheetName val="Tax Comps"/>
      <sheetName val="L Sum"/>
      <sheetName val="L Grid"/>
      <sheetName val="L Sum (2)"/>
      <sheetName val="L Grid (2)"/>
      <sheetName val="Ins Val (2)"/>
      <sheetName val="Cost"/>
      <sheetName val="Cost_Comps"/>
      <sheetName val="Ins Val"/>
      <sheetName val="LUD"/>
      <sheetName val="IS_Sum"/>
      <sheetName val="IS Grid"/>
      <sheetName val="IS Concl"/>
      <sheetName val="Rent Sum"/>
      <sheetName val="Comp. Rents"/>
      <sheetName val="Mkt Rent-Pads"/>
      <sheetName val="Mkt Rent-Rental Units"/>
      <sheetName val="ARC Financials"/>
      <sheetName val="Op History"/>
      <sheetName val="OpHistDial"/>
      <sheetName val="Exp Comps"/>
      <sheetName val="Exp Charts"/>
      <sheetName val="ExpChartDial"/>
      <sheetName val="Cap Rates"/>
      <sheetName val="Dir Cap"/>
      <sheetName val="DirCapDial"/>
      <sheetName val="DCF Assum"/>
      <sheetName val="APT DCF"/>
      <sheetName val="DCF Dial"/>
      <sheetName val="Key Assumptions"/>
      <sheetName val="Int Rev"/>
      <sheetName val="Job Center"/>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Raw Data Fields"/>
      <sheetName val="License"/>
      <sheetName val="Start Here"/>
      <sheetName val="Inputs"/>
      <sheetName val="RevSel"/>
      <sheetName val="ExpSel"/>
      <sheetName val="InputsRangeNames"/>
      <sheetName val="WA Import"/>
      <sheetName val="MapImport"/>
      <sheetName val="Values"/>
      <sheetName val="SFC"/>
      <sheetName val="Intro"/>
      <sheetName val="Restricted"/>
      <sheetName val="Survey Results"/>
      <sheetName val="Exposure"/>
      <sheetName val="Area"/>
      <sheetName val="Demos"/>
      <sheetName val="MPAA Trends"/>
      <sheetName val="Rest Trends"/>
      <sheetName val="LTL Trends"/>
      <sheetName val="PRW Trends"/>
      <sheetName val="MfgHousing"/>
      <sheetName val="TortoWheaton"/>
      <sheetName val="MktStdy"/>
      <sheetName val="MktStdyRents"/>
      <sheetName val="Site"/>
      <sheetName val="Improv"/>
      <sheetName val="ImpAnalysis"/>
      <sheetName val="Zoning"/>
      <sheetName val="Tax"/>
      <sheetName val="TaxAssum"/>
      <sheetName val="Tax Comps"/>
      <sheetName val="Ground Lease"/>
      <sheetName val="L Sum"/>
      <sheetName val="L Grid"/>
      <sheetName val="L Sum Narr"/>
      <sheetName val="L Sum (2)"/>
      <sheetName val="L Grid (2)"/>
      <sheetName val="L Sum Narr (2)"/>
      <sheetName val="CostComponents"/>
      <sheetName val="Cost"/>
      <sheetName val="Cost_Comps"/>
      <sheetName val="CostCompAssump"/>
      <sheetName val="Ins Val"/>
      <sheetName val="LUD"/>
      <sheetName val="IS_Sum"/>
      <sheetName val="ISGridSel"/>
      <sheetName val="IS Grid"/>
      <sheetName val="IS_Sum Narr"/>
      <sheetName val="IS Concl"/>
      <sheetName val="Natl Comps"/>
      <sheetName val="IS_Sum (2)"/>
      <sheetName val="ISGridSel (2)"/>
      <sheetName val="IS Grid (2)"/>
      <sheetName val="IS_Sum Narr (2)"/>
      <sheetName val="RentSumDisplay"/>
      <sheetName val="Rent Sum"/>
      <sheetName val="Rent Grid"/>
      <sheetName val="Rent Sum Narr"/>
      <sheetName val="RentSumDisplay (2)"/>
      <sheetName val="Rent Sum (2)"/>
      <sheetName val="Rent Sum Narr (2)"/>
      <sheetName val="Comp. Rents"/>
      <sheetName val="Lease Abstract"/>
      <sheetName val="BMR"/>
      <sheetName val="Mkt Rent"/>
      <sheetName val="Op History"/>
      <sheetName val="OpHistDial"/>
      <sheetName val="Exp Comps"/>
      <sheetName val="Exp Charts"/>
      <sheetName val="Cap Rates"/>
      <sheetName val="Dir Cap"/>
      <sheetName val="DirCapDial"/>
      <sheetName val="Dir Cap (2)"/>
      <sheetName val="DCF Assum"/>
      <sheetName val="APT DCF"/>
      <sheetName val="Int Rev"/>
      <sheetName val="Job Center"/>
    </sheetNames>
    <sheetDataSet>
      <sheetData sheetId="0" refreshError="1"/>
      <sheetData sheetId="1" refreshError="1"/>
      <sheetData sheetId="2" refreshError="1"/>
      <sheetData sheetId="3" refreshError="1">
        <row r="4">
          <cell r="C4" t="str">
            <v>08-277DN-0690</v>
          </cell>
        </row>
        <row r="9">
          <cell r="C9" t="str">
            <v>Jared Lay</v>
          </cell>
        </row>
        <row r="10">
          <cell r="C10" t="str">
            <v>Tom Baroch, MAI</v>
          </cell>
        </row>
        <row r="12">
          <cell r="C12" t="str">
            <v>Office Name - P/C ****</v>
          </cell>
        </row>
        <row r="13">
          <cell r="C13" t="str">
            <v>Complete</v>
          </cell>
        </row>
        <row r="14">
          <cell r="C14" t="str">
            <v>Summary</v>
          </cell>
        </row>
        <row r="15">
          <cell r="C15" t="str">
            <v>Robert Oehler</v>
          </cell>
        </row>
        <row r="16">
          <cell r="C16" t="str">
            <v>President and CEO</v>
          </cell>
        </row>
        <row r="18">
          <cell r="C18" t="str">
            <v>626-773-8878</v>
          </cell>
        </row>
        <row r="19">
          <cell r="C19" t="str">
            <v>626-773-8870</v>
          </cell>
        </row>
        <row r="21">
          <cell r="C21" t="str">
            <v>Pacific Alliance Bank</v>
          </cell>
        </row>
        <row r="24">
          <cell r="C24" t="str">
            <v>8400 East Valley Boulevard</v>
          </cell>
        </row>
        <row r="25">
          <cell r="C25" t="str">
            <v>Rosemead</v>
          </cell>
        </row>
        <row r="26">
          <cell r="C26" t="str">
            <v>California</v>
          </cell>
        </row>
        <row r="27">
          <cell r="C27">
            <v>91770</v>
          </cell>
        </row>
        <row r="30">
          <cell r="C30">
            <v>39679</v>
          </cell>
        </row>
        <row r="31">
          <cell r="C31">
            <v>39674</v>
          </cell>
        </row>
        <row r="32">
          <cell r="C32">
            <v>39679</v>
          </cell>
        </row>
        <row r="34">
          <cell r="C34" t="str">
            <v>Leased Fee Interest</v>
          </cell>
        </row>
        <row r="36">
          <cell r="C36" t="str">
            <v>Existing</v>
          </cell>
        </row>
        <row r="37">
          <cell r="C37">
            <v>0</v>
          </cell>
        </row>
        <row r="39">
          <cell r="C39" t="str">
            <v>As Is</v>
          </cell>
        </row>
        <row r="40">
          <cell r="C40"/>
          <cell r="D40">
            <v>6</v>
          </cell>
        </row>
        <row r="41">
          <cell r="C41"/>
          <cell r="D41">
            <v>6</v>
          </cell>
        </row>
        <row r="42">
          <cell r="C42">
            <v>0.03</v>
          </cell>
        </row>
        <row r="43">
          <cell r="C43">
            <v>39674</v>
          </cell>
        </row>
        <row r="44">
          <cell r="C44">
            <v>39674</v>
          </cell>
        </row>
        <row r="45">
          <cell r="C45">
            <v>39674</v>
          </cell>
        </row>
        <row r="47">
          <cell r="D47" t="b">
            <v>0</v>
          </cell>
        </row>
        <row r="52">
          <cell r="D52" t="b">
            <v>0</v>
          </cell>
          <cell r="E52" t="str">
            <v>Fee Simple</v>
          </cell>
        </row>
        <row r="56">
          <cell r="C56" t="str">
            <v>Great Scott's Restaurant</v>
          </cell>
        </row>
        <row r="58">
          <cell r="C58">
            <v>1900</v>
          </cell>
        </row>
        <row r="59">
          <cell r="C59" t="str">
            <v>1551 Cortez Street</v>
          </cell>
        </row>
        <row r="60">
          <cell r="C60" t="str">
            <v>Unincorporated Adams County</v>
          </cell>
        </row>
        <row r="61">
          <cell r="C61" t="str">
            <v>Colorado</v>
          </cell>
        </row>
        <row r="62">
          <cell r="C62">
            <v>80221</v>
          </cell>
        </row>
        <row r="63">
          <cell r="C63" t="str">
            <v>Adams</v>
          </cell>
          <cell r="D63" t="str">
            <v>County</v>
          </cell>
        </row>
        <row r="65">
          <cell r="C65" t="str">
            <v>Standard</v>
          </cell>
          <cell r="D65" t="str">
            <v>Single</v>
          </cell>
        </row>
        <row r="66">
          <cell r="C66" t="str">
            <v>1719-334-14-016</v>
          </cell>
        </row>
        <row r="70">
          <cell r="C70" t="str">
            <v>Retail</v>
          </cell>
        </row>
        <row r="73">
          <cell r="C73" t="str">
            <v>RET_Restaurant</v>
          </cell>
        </row>
        <row r="74">
          <cell r="C74" t="str">
            <v>Retail</v>
          </cell>
        </row>
        <row r="75">
          <cell r="C75" t="str">
            <v>Restaurant</v>
          </cell>
        </row>
        <row r="76">
          <cell r="C76" t="str">
            <v>Retail</v>
          </cell>
        </row>
        <row r="77">
          <cell r="C77">
            <v>250</v>
          </cell>
        </row>
        <row r="78">
          <cell r="C78">
            <v>0.9399908172635445</v>
          </cell>
        </row>
        <row r="79">
          <cell r="C79">
            <v>40946</v>
          </cell>
        </row>
        <row r="81">
          <cell r="C81">
            <v>0</v>
          </cell>
        </row>
        <row r="82">
          <cell r="C82">
            <v>0</v>
          </cell>
        </row>
        <row r="83">
          <cell r="C83">
            <v>0</v>
          </cell>
        </row>
        <row r="85">
          <cell r="C85">
            <v>0.9399908172635445</v>
          </cell>
        </row>
        <row r="93">
          <cell r="C93">
            <v>112</v>
          </cell>
        </row>
        <row r="95">
          <cell r="C95">
            <v>12000</v>
          </cell>
        </row>
        <row r="96">
          <cell r="C96">
            <v>108000</v>
          </cell>
        </row>
        <row r="97">
          <cell r="C97">
            <v>0</v>
          </cell>
        </row>
        <row r="98">
          <cell r="C98">
            <v>0</v>
          </cell>
        </row>
        <row r="99">
          <cell r="C99">
            <v>0</v>
          </cell>
        </row>
        <row r="102">
          <cell r="C102">
            <v>20</v>
          </cell>
        </row>
        <row r="103">
          <cell r="C103">
            <v>100</v>
          </cell>
        </row>
        <row r="104">
          <cell r="C104">
            <v>0.1</v>
          </cell>
        </row>
        <row r="105">
          <cell r="C105">
            <v>0.9</v>
          </cell>
        </row>
        <row r="106">
          <cell r="C106">
            <v>0</v>
          </cell>
        </row>
        <row r="107">
          <cell r="C107">
            <v>0</v>
          </cell>
        </row>
        <row r="108">
          <cell r="C108">
            <v>0</v>
          </cell>
        </row>
        <row r="109">
          <cell r="C109">
            <v>0.05</v>
          </cell>
        </row>
        <row r="117">
          <cell r="C117">
            <v>35</v>
          </cell>
        </row>
        <row r="118">
          <cell r="C118">
            <v>10</v>
          </cell>
        </row>
        <row r="132">
          <cell r="D132">
            <v>1</v>
          </cell>
        </row>
        <row r="133">
          <cell r="C133" t="str">
            <v>Restaurant</v>
          </cell>
        </row>
        <row r="134">
          <cell r="C134">
            <v>4680</v>
          </cell>
        </row>
        <row r="142">
          <cell r="C142">
            <v>0</v>
          </cell>
        </row>
        <row r="143">
          <cell r="C143" t="str">
            <v>---</v>
          </cell>
        </row>
        <row r="144">
          <cell r="C144">
            <v>0</v>
          </cell>
        </row>
        <row r="146">
          <cell r="C146">
            <v>4680</v>
          </cell>
        </row>
        <row r="147">
          <cell r="C147">
            <v>4680</v>
          </cell>
        </row>
        <row r="148">
          <cell r="C148" t="str">
            <v>1</v>
          </cell>
          <cell r="D148" t="str">
            <v>Unit</v>
          </cell>
        </row>
        <row r="149">
          <cell r="C149">
            <v>1</v>
          </cell>
        </row>
        <row r="150">
          <cell r="D150">
            <v>0</v>
          </cell>
        </row>
        <row r="151">
          <cell r="D151">
            <v>7.0000000000000007E-2</v>
          </cell>
        </row>
        <row r="152">
          <cell r="C152">
            <v>0.92999999999999994</v>
          </cell>
        </row>
        <row r="154">
          <cell r="C154">
            <v>1</v>
          </cell>
        </row>
        <row r="155">
          <cell r="C155">
            <v>1</v>
          </cell>
        </row>
        <row r="156">
          <cell r="C156">
            <v>1975</v>
          </cell>
        </row>
        <row r="158">
          <cell r="C158" t="str">
            <v>average</v>
          </cell>
        </row>
        <row r="159">
          <cell r="C159">
            <v>38</v>
          </cell>
        </row>
        <row r="160">
          <cell r="C160">
            <v>15</v>
          </cell>
        </row>
        <row r="161">
          <cell r="C161">
            <v>50</v>
          </cell>
        </row>
        <row r="164">
          <cell r="C164" t="str">
            <v>Potential Rental Income</v>
          </cell>
        </row>
        <row r="165">
          <cell r="C165"/>
        </row>
        <row r="166">
          <cell r="C166"/>
        </row>
        <row r="167">
          <cell r="C167"/>
        </row>
        <row r="168">
          <cell r="C168"/>
        </row>
        <row r="169">
          <cell r="C169"/>
        </row>
        <row r="170">
          <cell r="C170"/>
        </row>
        <row r="171">
          <cell r="C171"/>
        </row>
        <row r="173">
          <cell r="C173"/>
        </row>
        <row r="174">
          <cell r="C174"/>
        </row>
        <row r="175">
          <cell r="C175"/>
        </row>
        <row r="176">
          <cell r="C176"/>
        </row>
        <row r="177">
          <cell r="C177"/>
        </row>
        <row r="178">
          <cell r="C178"/>
        </row>
        <row r="179">
          <cell r="C179"/>
        </row>
        <row r="180">
          <cell r="C180"/>
        </row>
        <row r="181">
          <cell r="C181"/>
        </row>
        <row r="182">
          <cell r="C182"/>
        </row>
        <row r="183">
          <cell r="C183"/>
        </row>
        <row r="184">
          <cell r="C184"/>
        </row>
        <row r="185">
          <cell r="C185" t="str">
            <v>Management Fee</v>
          </cell>
        </row>
        <row r="186">
          <cell r="C186"/>
        </row>
        <row r="187">
          <cell r="C187"/>
        </row>
        <row r="188">
          <cell r="C188"/>
        </row>
        <row r="189">
          <cell r="C189"/>
        </row>
        <row r="190">
          <cell r="C190"/>
        </row>
        <row r="191">
          <cell r="C191"/>
        </row>
        <row r="192">
          <cell r="C192" t="str">
            <v>Reserves for Replacement</v>
          </cell>
        </row>
      </sheetData>
      <sheetData sheetId="4" refreshError="1"/>
      <sheetData sheetId="5" refreshError="1"/>
      <sheetData sheetId="6" refreshError="1">
        <row r="2">
          <cell r="E2">
            <v>1</v>
          </cell>
          <cell r="G2">
            <v>71</v>
          </cell>
          <cell r="J2">
            <v>1</v>
          </cell>
          <cell r="K2">
            <v>2</v>
          </cell>
          <cell r="N2">
            <v>2</v>
          </cell>
          <cell r="O2">
            <v>2</v>
          </cell>
          <cell r="P2">
            <v>2</v>
          </cell>
          <cell r="T2">
            <v>1</v>
          </cell>
          <cell r="U2">
            <v>3</v>
          </cell>
          <cell r="V2">
            <v>9</v>
          </cell>
          <cell r="W2">
            <v>4</v>
          </cell>
          <cell r="X2">
            <v>3</v>
          </cell>
        </row>
        <row r="4">
          <cell r="A4">
            <v>1</v>
          </cell>
          <cell r="E4" t="str">
            <v>Assignment</v>
          </cell>
          <cell r="I4" t="str">
            <v>A</v>
          </cell>
          <cell r="J4" t="str">
            <v>Fireproofed structural steel frames with reinforced concrete or masonry floors and roofs</v>
          </cell>
          <cell r="K4" t="str">
            <v>A +</v>
          </cell>
          <cell r="N4" t="str">
            <v>$ Per AC</v>
          </cell>
          <cell r="O4">
            <v>0.9399908172635445</v>
          </cell>
          <cell r="P4" t="str">
            <v>Subject Acs.</v>
          </cell>
          <cell r="Q4">
            <v>0</v>
          </cell>
          <cell r="S4" t="str">
            <v>Land Value</v>
          </cell>
          <cell r="T4" t="str">
            <v>General Investment</v>
          </cell>
          <cell r="U4" t="str">
            <v>General Investment</v>
          </cell>
          <cell r="V4" t="str">
            <v>Regional Mall</v>
          </cell>
          <cell r="W4" t="str">
            <v>Apartment</v>
          </cell>
          <cell r="X4" t="str">
            <v>poor</v>
          </cell>
          <cell r="Y4" t="str">
            <v>---</v>
          </cell>
        </row>
        <row r="5">
          <cell r="A5">
            <v>2</v>
          </cell>
          <cell r="E5" t="str">
            <v>Cancelled</v>
          </cell>
          <cell r="I5" t="str">
            <v>B</v>
          </cell>
          <cell r="J5" t="str">
            <v>Reinforced concrete frames and concrete or masonry floors and roofs</v>
          </cell>
          <cell r="K5" t="str">
            <v>A</v>
          </cell>
          <cell r="N5" t="str">
            <v>$ PSF</v>
          </cell>
          <cell r="O5">
            <v>40946</v>
          </cell>
          <cell r="P5" t="str">
            <v>Subject SF</v>
          </cell>
          <cell r="Q5">
            <v>0</v>
          </cell>
          <cell r="S5" t="str">
            <v>As Is</v>
          </cell>
          <cell r="T5" t="str">
            <v>Apartments</v>
          </cell>
          <cell r="U5" t="str">
            <v>Apartments</v>
          </cell>
          <cell r="V5" t="str">
            <v>Power Center</v>
          </cell>
          <cell r="W5" t="str">
            <v>Industrial</v>
          </cell>
          <cell r="X5" t="str">
            <v>fair</v>
          </cell>
          <cell r="Y5" t="str">
            <v>Retail Space</v>
          </cell>
        </row>
        <row r="6">
          <cell r="A6">
            <v>3</v>
          </cell>
          <cell r="E6" t="str">
            <v>Completed</v>
          </cell>
          <cell r="I6" t="str">
            <v>C</v>
          </cell>
          <cell r="J6" t="str">
            <v>Masonry/concrete ext. walls &amp; wood/steel roof &amp; floor struct., exc. concrete slab on grade</v>
          </cell>
          <cell r="K6" t="str">
            <v>A -</v>
          </cell>
          <cell r="N6" t="str">
            <v>$ Per Unit</v>
          </cell>
          <cell r="O6">
            <v>250</v>
          </cell>
          <cell r="P6" t="str">
            <v>Subject Units</v>
          </cell>
          <cell r="Q6">
            <v>0</v>
          </cell>
          <cell r="S6" t="str">
            <v>As Complete</v>
          </cell>
          <cell r="T6" t="str">
            <v>Net Leased Investments</v>
          </cell>
          <cell r="U6" t="str">
            <v>Net Leased Investments</v>
          </cell>
          <cell r="V6" t="str">
            <v>Strip Shopping Center</v>
          </cell>
          <cell r="W6" t="str">
            <v>Office</v>
          </cell>
          <cell r="X6" t="str">
            <v>average</v>
          </cell>
          <cell r="Y6" t="str">
            <v>Anchors</v>
          </cell>
        </row>
        <row r="7">
          <cell r="A7">
            <v>4</v>
          </cell>
          <cell r="E7" t="str">
            <v>Draft</v>
          </cell>
          <cell r="I7" t="str">
            <v>D</v>
          </cell>
          <cell r="J7" t="str">
            <v>Wood frame, floor and structure; considered combustible</v>
          </cell>
          <cell r="K7" t="str">
            <v>A/B</v>
          </cell>
          <cell r="S7" t="str">
            <v>As Stabilized</v>
          </cell>
          <cell r="T7" t="str">
            <v>Business Parks</v>
          </cell>
          <cell r="U7" t="str">
            <v>Business Parks</v>
          </cell>
          <cell r="V7" t="str">
            <v>CBD Office</v>
          </cell>
          <cell r="W7" t="str">
            <v>Retail</v>
          </cell>
          <cell r="X7" t="str">
            <v>good</v>
          </cell>
          <cell r="Y7" t="str">
            <v>Jr. Anchors</v>
          </cell>
        </row>
        <row r="8">
          <cell r="A8">
            <v>5</v>
          </cell>
          <cell r="E8" t="str">
            <v>On Hold</v>
          </cell>
          <cell r="I8" t="str">
            <v>S</v>
          </cell>
          <cell r="J8" t="str">
            <v>Frames, roofs and walls of incombustible metal</v>
          </cell>
          <cell r="K8" t="str">
            <v>B +</v>
          </cell>
          <cell r="S8" t="str">
            <v>Retrospective Value</v>
          </cell>
          <cell r="T8" t="str">
            <v>Industrial R&amp;D</v>
          </cell>
          <cell r="U8" t="str">
            <v>Industrial R&amp;D</v>
          </cell>
          <cell r="V8" t="str">
            <v>Suburban Office</v>
          </cell>
          <cell r="X8" t="str">
            <v>excellent</v>
          </cell>
          <cell r="Y8" t="str">
            <v>End Cap</v>
          </cell>
        </row>
        <row r="9">
          <cell r="A9">
            <v>6</v>
          </cell>
          <cell r="E9" t="str">
            <v>Proposal</v>
          </cell>
          <cell r="K9" t="str">
            <v>B</v>
          </cell>
          <cell r="S9"/>
          <cell r="T9" t="str">
            <v>Self Storage</v>
          </cell>
          <cell r="U9" t="str">
            <v>Self Storage</v>
          </cell>
          <cell r="V9" t="str">
            <v>Flex/R&amp;D</v>
          </cell>
          <cell r="Y9" t="str">
            <v>In-line</v>
          </cell>
        </row>
        <row r="10">
          <cell r="A10">
            <v>7</v>
          </cell>
          <cell r="E10" t="str">
            <v>Verbal</v>
          </cell>
          <cell r="K10" t="str">
            <v>B -</v>
          </cell>
          <cell r="T10" t="str">
            <v>Warehouse/Distribution</v>
          </cell>
          <cell r="U10" t="str">
            <v>Warehouse/Distribution</v>
          </cell>
          <cell r="V10" t="str">
            <v>Warehouse</v>
          </cell>
          <cell r="Y10" t="str">
            <v>Bank</v>
          </cell>
        </row>
        <row r="11">
          <cell r="A11">
            <v>8</v>
          </cell>
          <cell r="K11" t="str">
            <v>B/C</v>
          </cell>
          <cell r="T11" t="str">
            <v>Suburban Office</v>
          </cell>
          <cell r="U11" t="str">
            <v>Suburban Office</v>
          </cell>
          <cell r="V11" t="str">
            <v>Apartment</v>
          </cell>
          <cell r="Y11" t="str">
            <v>Restaurant</v>
          </cell>
        </row>
        <row r="12">
          <cell r="A12">
            <v>9</v>
          </cell>
          <cell r="K12" t="str">
            <v>C +</v>
          </cell>
          <cell r="T12" t="str">
            <v>Urban Office</v>
          </cell>
          <cell r="U12" t="str">
            <v>Urban Office</v>
          </cell>
          <cell r="V12" t="str">
            <v>Net Lease</v>
          </cell>
          <cell r="Y12" t="str">
            <v>Theater</v>
          </cell>
        </row>
        <row r="13">
          <cell r="A13">
            <v>10</v>
          </cell>
          <cell r="K13" t="str">
            <v>C</v>
          </cell>
          <cell r="T13" t="str">
            <v>Regional Malls</v>
          </cell>
          <cell r="U13" t="str">
            <v>Regional Malls</v>
          </cell>
          <cell r="V13" t="str">
            <v>Domestic Self Storage</v>
          </cell>
          <cell r="Y13" t="str">
            <v>Auto Dealership</v>
          </cell>
        </row>
        <row r="14">
          <cell r="A14">
            <v>11</v>
          </cell>
          <cell r="K14" t="str">
            <v>C -</v>
          </cell>
          <cell r="T14" t="str">
            <v>Power Centers</v>
          </cell>
          <cell r="U14" t="str">
            <v>Power Centers</v>
          </cell>
          <cell r="Y14" t="str">
            <v>Storage</v>
          </cell>
        </row>
        <row r="15">
          <cell r="A15">
            <v>12</v>
          </cell>
          <cell r="K15" t="str">
            <v>C/D</v>
          </cell>
          <cell r="T15" t="str">
            <v>Community Centers</v>
          </cell>
          <cell r="U15" t="str">
            <v>Community Centers</v>
          </cell>
          <cell r="Y15" t="str">
            <v>Pad Site</v>
          </cell>
        </row>
        <row r="16">
          <cell r="A16">
            <v>13</v>
          </cell>
          <cell r="K16" t="str">
            <v>D +</v>
          </cell>
          <cell r="T16" t="str">
            <v>Neighborhood Centers</v>
          </cell>
          <cell r="U16" t="str">
            <v>Neighborhood Centers</v>
          </cell>
          <cell r="Y16" t="str">
            <v>Ground Lease</v>
          </cell>
        </row>
        <row r="17">
          <cell r="A17">
            <v>14</v>
          </cell>
          <cell r="K17" t="str">
            <v>D</v>
          </cell>
          <cell r="T17" t="str">
            <v>Strip Centers</v>
          </cell>
          <cell r="U17" t="str">
            <v>Strip Centers</v>
          </cell>
          <cell r="Y17" t="str">
            <v>---</v>
          </cell>
        </row>
        <row r="18">
          <cell r="A18">
            <v>15</v>
          </cell>
          <cell r="K18" t="str">
            <v>D -</v>
          </cell>
          <cell r="T18" t="str">
            <v>Hotels</v>
          </cell>
          <cell r="U18" t="str">
            <v>Hotels</v>
          </cell>
          <cell r="Y18" t="str">
            <v>Office Space</v>
          </cell>
        </row>
        <row r="19">
          <cell r="A19">
            <v>16</v>
          </cell>
          <cell r="T19" t="str">
            <v>All Responses</v>
          </cell>
          <cell r="U19" t="str">
            <v>All Responses</v>
          </cell>
          <cell r="Y19" t="str">
            <v>Ground Floor Retail</v>
          </cell>
        </row>
        <row r="20">
          <cell r="A20">
            <v>17</v>
          </cell>
          <cell r="Y20" t="str">
            <v>Low &amp; Mid Floors</v>
          </cell>
        </row>
        <row r="21">
          <cell r="A21">
            <v>18</v>
          </cell>
          <cell r="Y21" t="str">
            <v>Upper Floors</v>
          </cell>
        </row>
        <row r="22">
          <cell r="A22">
            <v>19</v>
          </cell>
          <cell r="Y22" t="str">
            <v>Premium Floors</v>
          </cell>
        </row>
        <row r="23">
          <cell r="A23">
            <v>20</v>
          </cell>
          <cell r="Y23" t="str">
            <v>Storage</v>
          </cell>
        </row>
        <row r="24">
          <cell r="A24">
            <v>21</v>
          </cell>
          <cell r="Y24" t="str">
            <v>---</v>
          </cell>
        </row>
        <row r="25">
          <cell r="A25">
            <v>22</v>
          </cell>
          <cell r="Y25" t="str">
            <v>Industrial Space</v>
          </cell>
        </row>
        <row r="26">
          <cell r="A26">
            <v>23</v>
          </cell>
          <cell r="Y26" t="str">
            <v>Warehouse</v>
          </cell>
        </row>
        <row r="27">
          <cell r="A27">
            <v>24</v>
          </cell>
          <cell r="Y27" t="str">
            <v>Office Service</v>
          </cell>
        </row>
        <row r="28">
          <cell r="A28">
            <v>25</v>
          </cell>
          <cell r="Y28" t="str">
            <v>Flex</v>
          </cell>
        </row>
        <row r="29">
          <cell r="A29">
            <v>26</v>
          </cell>
          <cell r="Y29" t="str">
            <v>Tech</v>
          </cell>
        </row>
        <row r="30">
          <cell r="A30">
            <v>27</v>
          </cell>
          <cell r="Y30" t="str">
            <v>Manufacturing</v>
          </cell>
        </row>
        <row r="31">
          <cell r="A31">
            <v>28</v>
          </cell>
          <cell r="Y31" t="str">
            <v>Distribution</v>
          </cell>
        </row>
        <row r="32">
          <cell r="A32">
            <v>29</v>
          </cell>
          <cell r="Y32" t="str">
            <v>Break Bulk</v>
          </cell>
        </row>
        <row r="33">
          <cell r="A33">
            <v>30</v>
          </cell>
          <cell r="Y33" t="str">
            <v>Research &amp; Development</v>
          </cell>
        </row>
        <row r="34">
          <cell r="A34">
            <v>31</v>
          </cell>
          <cell r="Y34" t="str">
            <v>Clean Room</v>
          </cell>
        </row>
        <row r="35">
          <cell r="A35">
            <v>32</v>
          </cell>
          <cell r="Y35" t="str">
            <v>Cold Storage</v>
          </cell>
        </row>
        <row r="36">
          <cell r="A36">
            <v>33</v>
          </cell>
          <cell r="Y36" t="str">
            <v>Ambient</v>
          </cell>
        </row>
        <row r="37">
          <cell r="A37">
            <v>34</v>
          </cell>
          <cell r="Y37" t="str">
            <v>Cooler</v>
          </cell>
        </row>
        <row r="38">
          <cell r="A38">
            <v>35</v>
          </cell>
          <cell r="Y38" t="str">
            <v>Freezer</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sheetData>
      <sheetData sheetId="7" refreshError="1">
        <row r="8">
          <cell r="J8" t="str">
            <v>Rosie's Diner</v>
          </cell>
          <cell r="Q8" t="str">
            <v>14061 East Iliff Avenue</v>
          </cell>
          <cell r="S8" t="str">
            <v>Aurora</v>
          </cell>
          <cell r="T8">
            <v>80014</v>
          </cell>
          <cell r="V8" t="str">
            <v>CO</v>
          </cell>
          <cell r="AA8">
            <v>0.82</v>
          </cell>
          <cell r="AD8">
            <v>0</v>
          </cell>
          <cell r="AN8">
            <v>0</v>
          </cell>
          <cell r="AP8">
            <v>0</v>
          </cell>
          <cell r="AT8">
            <v>3604</v>
          </cell>
          <cell r="AU8">
            <v>2000</v>
          </cell>
          <cell r="AW8">
            <v>0</v>
          </cell>
          <cell r="BD8">
            <v>38749</v>
          </cell>
          <cell r="BI8">
            <v>900000</v>
          </cell>
          <cell r="BM8">
            <v>900000</v>
          </cell>
          <cell r="CC8">
            <v>0</v>
          </cell>
          <cell r="CE8">
            <v>0</v>
          </cell>
          <cell r="CG8">
            <v>0</v>
          </cell>
          <cell r="CH8">
            <v>0</v>
          </cell>
          <cell r="CI8">
            <v>249.72</v>
          </cell>
          <cell r="CJ8">
            <v>0</v>
          </cell>
          <cell r="GM8" t="str">
            <v>Sale</v>
          </cell>
        </row>
        <row r="9">
          <cell r="J9" t="str">
            <v>Thornton Restauant</v>
          </cell>
          <cell r="Q9" t="str">
            <v>610-650 East 104th Avenue</v>
          </cell>
          <cell r="S9" t="str">
            <v>Thornton</v>
          </cell>
          <cell r="T9">
            <v>80233</v>
          </cell>
          <cell r="V9" t="str">
            <v>CO</v>
          </cell>
          <cell r="AA9">
            <v>0.78</v>
          </cell>
          <cell r="AD9">
            <v>0</v>
          </cell>
          <cell r="AN9">
            <v>0</v>
          </cell>
          <cell r="AP9">
            <v>0</v>
          </cell>
          <cell r="AT9">
            <v>4686</v>
          </cell>
          <cell r="AU9">
            <v>1974</v>
          </cell>
          <cell r="AW9">
            <v>0</v>
          </cell>
          <cell r="BD9">
            <v>39083</v>
          </cell>
          <cell r="BI9">
            <v>1004000</v>
          </cell>
          <cell r="BM9">
            <v>1004000</v>
          </cell>
          <cell r="CC9">
            <v>0</v>
          </cell>
          <cell r="CE9">
            <v>0</v>
          </cell>
          <cell r="CG9">
            <v>0</v>
          </cell>
          <cell r="CH9">
            <v>0</v>
          </cell>
          <cell r="CI9">
            <v>214.26</v>
          </cell>
          <cell r="CJ9">
            <v>0</v>
          </cell>
          <cell r="GM9" t="str">
            <v>Sale</v>
          </cell>
        </row>
        <row r="10">
          <cell r="J10" t="str">
            <v>India Garden Restaurant</v>
          </cell>
          <cell r="Q10" t="str">
            <v>7180 East Hampden Avenue</v>
          </cell>
          <cell r="S10" t="str">
            <v>Denver</v>
          </cell>
          <cell r="T10">
            <v>80224</v>
          </cell>
          <cell r="V10" t="str">
            <v>CO</v>
          </cell>
          <cell r="AA10">
            <v>0.52</v>
          </cell>
          <cell r="AD10">
            <v>0</v>
          </cell>
          <cell r="AN10">
            <v>0</v>
          </cell>
          <cell r="AP10">
            <v>0</v>
          </cell>
          <cell r="AT10">
            <v>6297</v>
          </cell>
          <cell r="AU10">
            <v>1974</v>
          </cell>
          <cell r="AW10">
            <v>0</v>
          </cell>
          <cell r="BD10">
            <v>39203</v>
          </cell>
          <cell r="BI10">
            <v>1200000</v>
          </cell>
          <cell r="BM10">
            <v>1200000</v>
          </cell>
          <cell r="CC10">
            <v>0</v>
          </cell>
          <cell r="CE10">
            <v>0</v>
          </cell>
          <cell r="CG10">
            <v>0</v>
          </cell>
          <cell r="CH10">
            <v>0</v>
          </cell>
          <cell r="CI10">
            <v>190.57</v>
          </cell>
          <cell r="CJ10">
            <v>0</v>
          </cell>
          <cell r="GM10" t="str">
            <v>Sale</v>
          </cell>
        </row>
        <row r="11">
          <cell r="J11" t="str">
            <v>The Chalet</v>
          </cell>
          <cell r="Q11" t="str">
            <v>7340 West 38th Avenue</v>
          </cell>
          <cell r="S11" t="str">
            <v>Wheat Ridge</v>
          </cell>
          <cell r="T11">
            <v>80033</v>
          </cell>
          <cell r="V11" t="str">
            <v>CO</v>
          </cell>
          <cell r="AA11">
            <v>0.47</v>
          </cell>
          <cell r="AD11">
            <v>0</v>
          </cell>
          <cell r="AN11">
            <v>0</v>
          </cell>
          <cell r="AP11">
            <v>0</v>
          </cell>
          <cell r="AT11">
            <v>2817</v>
          </cell>
          <cell r="AU11">
            <v>1957</v>
          </cell>
          <cell r="AW11">
            <v>0</v>
          </cell>
          <cell r="BD11">
            <v>39295</v>
          </cell>
          <cell r="BI11">
            <v>600000</v>
          </cell>
          <cell r="BM11">
            <v>600000</v>
          </cell>
          <cell r="BQ11">
            <v>1</v>
          </cell>
          <cell r="CC11">
            <v>0</v>
          </cell>
          <cell r="CE11">
            <v>0</v>
          </cell>
          <cell r="CG11">
            <v>0</v>
          </cell>
          <cell r="CH11">
            <v>0</v>
          </cell>
          <cell r="CI11">
            <v>212.99</v>
          </cell>
          <cell r="CJ11">
            <v>0</v>
          </cell>
          <cell r="GM11" t="str">
            <v>Sale</v>
          </cell>
        </row>
        <row r="12">
          <cell r="J12" t="str">
            <v>Former Marie Callenders</v>
          </cell>
          <cell r="Q12" t="str">
            <v>6030 West 92nd Avenue</v>
          </cell>
          <cell r="S12" t="str">
            <v>Westminster</v>
          </cell>
          <cell r="T12">
            <v>80031</v>
          </cell>
          <cell r="V12" t="str">
            <v>CO</v>
          </cell>
          <cell r="AA12">
            <v>1.07</v>
          </cell>
          <cell r="AP12">
            <v>0</v>
          </cell>
          <cell r="AT12">
            <v>10552</v>
          </cell>
          <cell r="AU12">
            <v>1986</v>
          </cell>
          <cell r="AW12">
            <v>0</v>
          </cell>
          <cell r="BD12">
            <v>39417</v>
          </cell>
          <cell r="BI12">
            <v>1720000</v>
          </cell>
          <cell r="BM12">
            <v>1720000</v>
          </cell>
          <cell r="CC12">
            <v>0</v>
          </cell>
          <cell r="CE12">
            <v>0</v>
          </cell>
          <cell r="CG12">
            <v>0</v>
          </cell>
          <cell r="CH12">
            <v>0</v>
          </cell>
          <cell r="CI12">
            <v>163</v>
          </cell>
          <cell r="CJ12">
            <v>0</v>
          </cell>
          <cell r="GM12" t="str">
            <v>Sale</v>
          </cell>
        </row>
        <row r="20">
          <cell r="J20" t="str">
            <v>Shea Plaza</v>
          </cell>
          <cell r="Q20" t="str">
            <v>NEC Shea Boulevard &amp; 32nd Street</v>
          </cell>
          <cell r="S20" t="str">
            <v>Phoenix</v>
          </cell>
          <cell r="T20">
            <v>85028</v>
          </cell>
          <cell r="V20" t="str">
            <v>AZ</v>
          </cell>
          <cell r="AA20">
            <v>7.74</v>
          </cell>
          <cell r="AC20" t="str">
            <v>Yes - Vacant Pa</v>
          </cell>
          <cell r="AD20">
            <v>0</v>
          </cell>
          <cell r="AL20">
            <v>0</v>
          </cell>
          <cell r="AT20">
            <v>86000</v>
          </cell>
          <cell r="AU20">
            <v>1971</v>
          </cell>
          <cell r="BD20">
            <v>38504</v>
          </cell>
          <cell r="BM20">
            <v>13450000</v>
          </cell>
          <cell r="BQ20">
            <v>1</v>
          </cell>
          <cell r="CC20">
            <v>11.4</v>
          </cell>
          <cell r="CE20">
            <v>7.29</v>
          </cell>
          <cell r="CI20">
            <v>156.4</v>
          </cell>
          <cell r="CJ20">
            <v>0</v>
          </cell>
          <cell r="GM20" t="str">
            <v>Sale</v>
          </cell>
        </row>
        <row r="21">
          <cell r="J21" t="str">
            <v>Shoppes at Palm Valley</v>
          </cell>
          <cell r="Q21" t="str">
            <v>3865 Mickler Road</v>
          </cell>
          <cell r="S21" t="str">
            <v>Ponte Vedra Beach</v>
          </cell>
          <cell r="V21" t="str">
            <v>FL</v>
          </cell>
          <cell r="Y21" t="str">
            <v>067240 0000</v>
          </cell>
          <cell r="AA21">
            <v>5.57</v>
          </cell>
          <cell r="AC21" t="str">
            <v>none</v>
          </cell>
          <cell r="AD21">
            <v>0</v>
          </cell>
          <cell r="AL21">
            <v>0</v>
          </cell>
          <cell r="AT21">
            <v>39927</v>
          </cell>
          <cell r="AU21">
            <v>2005</v>
          </cell>
          <cell r="BD21">
            <v>38504</v>
          </cell>
          <cell r="BM21">
            <v>12730000</v>
          </cell>
          <cell r="BQ21">
            <v>1</v>
          </cell>
          <cell r="CC21">
            <v>21.49</v>
          </cell>
          <cell r="CE21">
            <v>6.74</v>
          </cell>
          <cell r="CI21">
            <v>318.83</v>
          </cell>
          <cell r="CJ21">
            <v>0</v>
          </cell>
          <cell r="GM21" t="str">
            <v>Sale</v>
          </cell>
        </row>
        <row r="22">
          <cell r="J22" t="str">
            <v>Shops at Boca Grove</v>
          </cell>
          <cell r="Q22" t="str">
            <v>21055 Jog Road</v>
          </cell>
          <cell r="S22" t="str">
            <v>Boca Raton</v>
          </cell>
          <cell r="T22">
            <v>33433</v>
          </cell>
          <cell r="V22" t="str">
            <v>FL</v>
          </cell>
          <cell r="Y22" t="str">
            <v>00-4247-22-00-000-3090</v>
          </cell>
          <cell r="AA22">
            <v>6.31</v>
          </cell>
          <cell r="AD22">
            <v>0</v>
          </cell>
          <cell r="AL22">
            <v>0</v>
          </cell>
          <cell r="AT22">
            <v>190110</v>
          </cell>
          <cell r="AU22">
            <v>1984</v>
          </cell>
          <cell r="BD22">
            <v>38504</v>
          </cell>
          <cell r="BM22">
            <v>0</v>
          </cell>
          <cell r="BQ22">
            <v>0.91</v>
          </cell>
          <cell r="CC22">
            <v>0</v>
          </cell>
          <cell r="CE22">
            <v>0</v>
          </cell>
          <cell r="CI22">
            <v>0</v>
          </cell>
          <cell r="CJ22">
            <v>0</v>
          </cell>
          <cell r="GM22" t="str">
            <v>Contract</v>
          </cell>
        </row>
        <row r="23">
          <cell r="J23" t="str">
            <v>Steele Creek Crossing</v>
          </cell>
          <cell r="Q23" t="str">
            <v>12810 York Road</v>
          </cell>
          <cell r="S23" t="str">
            <v>Charlotte</v>
          </cell>
          <cell r="V23" t="str">
            <v>NC</v>
          </cell>
          <cell r="Y23" t="str">
            <v>201-231-12 &amp;13</v>
          </cell>
          <cell r="AA23">
            <v>11.28</v>
          </cell>
          <cell r="AD23">
            <v>0</v>
          </cell>
          <cell r="AL23">
            <v>10908</v>
          </cell>
          <cell r="AT23">
            <v>69201</v>
          </cell>
          <cell r="AU23">
            <v>2000</v>
          </cell>
          <cell r="BD23">
            <v>38504</v>
          </cell>
          <cell r="BM23">
            <v>14500000</v>
          </cell>
          <cell r="CC23">
            <v>0</v>
          </cell>
          <cell r="CE23">
            <v>0</v>
          </cell>
          <cell r="CI23">
            <v>209.53</v>
          </cell>
          <cell r="CJ23">
            <v>0</v>
          </cell>
          <cell r="GM23" t="str">
            <v>Contract</v>
          </cell>
        </row>
        <row r="24">
          <cell r="J24" t="str">
            <v>The Pavilion</v>
          </cell>
          <cell r="Q24" t="str">
            <v>1900-1998 Hacienda Drive</v>
          </cell>
          <cell r="S24" t="str">
            <v>Vista</v>
          </cell>
          <cell r="T24">
            <v>92083</v>
          </cell>
          <cell r="V24" t="str">
            <v>CA</v>
          </cell>
          <cell r="Y24" t="str">
            <v>166-054-25, 44</v>
          </cell>
          <cell r="AA24">
            <v>10.87</v>
          </cell>
          <cell r="AD24">
            <v>0</v>
          </cell>
          <cell r="AL24">
            <v>0</v>
          </cell>
          <cell r="AT24">
            <v>135754</v>
          </cell>
          <cell r="AU24">
            <v>1989</v>
          </cell>
          <cell r="BD24">
            <v>38504</v>
          </cell>
          <cell r="BM24">
            <v>28500000</v>
          </cell>
          <cell r="BQ24">
            <v>0.97</v>
          </cell>
          <cell r="CC24">
            <v>14.38</v>
          </cell>
          <cell r="CE24">
            <v>6.85</v>
          </cell>
          <cell r="CI24">
            <v>209.94</v>
          </cell>
          <cell r="CJ24">
            <v>0</v>
          </cell>
          <cell r="GM24" t="str">
            <v>Sale</v>
          </cell>
        </row>
        <row r="25">
          <cell r="J25" t="str">
            <v>Torrey Hills Center</v>
          </cell>
          <cell r="Q25" t="str">
            <v>4639 to 4853 Carmel Mountain Road</v>
          </cell>
          <cell r="S25" t="str">
            <v>San Diego</v>
          </cell>
          <cell r="T25">
            <v>92130</v>
          </cell>
          <cell r="V25" t="str">
            <v>CA</v>
          </cell>
          <cell r="AA25">
            <v>15.3</v>
          </cell>
          <cell r="AD25">
            <v>0</v>
          </cell>
          <cell r="AT25">
            <v>86584</v>
          </cell>
          <cell r="AU25">
            <v>2005</v>
          </cell>
          <cell r="BD25">
            <v>38504</v>
          </cell>
          <cell r="BM25">
            <v>36750000</v>
          </cell>
          <cell r="BQ25" t="str">
            <v>N/A</v>
          </cell>
          <cell r="CC25">
            <v>25.9</v>
          </cell>
          <cell r="CE25">
            <v>6.1</v>
          </cell>
          <cell r="CI25">
            <v>424.44</v>
          </cell>
          <cell r="CJ25">
            <v>0</v>
          </cell>
          <cell r="GM25" t="str">
            <v>Sale</v>
          </cell>
        </row>
        <row r="32">
          <cell r="L32" t="str">
            <v>NWC Sam Houston Parkway &amp; Mesa</v>
          </cell>
          <cell r="O32" t="str">
            <v>NWC Sam Houston Parkway &amp; Mesa</v>
          </cell>
          <cell r="Q32" t="str">
            <v>Humble</v>
          </cell>
          <cell r="T32" t="str">
            <v>Tx</v>
          </cell>
          <cell r="AA32">
            <v>5.2256</v>
          </cell>
          <cell r="AB32">
            <v>227627</v>
          </cell>
          <cell r="AH32" t="str">
            <v>N/A</v>
          </cell>
          <cell r="AK32">
            <v>0</v>
          </cell>
          <cell r="AM32">
            <v>37469</v>
          </cell>
          <cell r="AR32">
            <v>967415</v>
          </cell>
          <cell r="AV32">
            <v>967415</v>
          </cell>
          <cell r="AZ32" t="str">
            <v>Retail</v>
          </cell>
          <cell r="DM32" t="str">
            <v>Sale</v>
          </cell>
        </row>
        <row r="33">
          <cell r="L33" t="str">
            <v>Proposed Retail Center Site</v>
          </cell>
          <cell r="O33" t="str">
            <v>South side Bellaire Blvd west of Corporate Drive</v>
          </cell>
          <cell r="Q33" t="str">
            <v>Houston</v>
          </cell>
          <cell r="R33">
            <v>77025</v>
          </cell>
          <cell r="T33" t="str">
            <v>TX</v>
          </cell>
          <cell r="AA33">
            <v>5.444</v>
          </cell>
          <cell r="AB33">
            <v>237141</v>
          </cell>
          <cell r="AK33">
            <v>0</v>
          </cell>
          <cell r="AM33">
            <v>37469</v>
          </cell>
          <cell r="AR33">
            <v>2134269</v>
          </cell>
          <cell r="AV33">
            <v>2134269</v>
          </cell>
          <cell r="AZ33" t="str">
            <v>Retail center</v>
          </cell>
          <cell r="DM33" t="str">
            <v>Sale</v>
          </cell>
        </row>
        <row r="34">
          <cell r="L34" t="str">
            <v>Strip Center Site</v>
          </cell>
          <cell r="O34" t="str">
            <v>W Corner of Grant and Prado Woods</v>
          </cell>
          <cell r="Q34" t="str">
            <v>Cypress</v>
          </cell>
          <cell r="R34">
            <v>77429</v>
          </cell>
          <cell r="T34" t="str">
            <v>TX</v>
          </cell>
          <cell r="AA34">
            <v>3.82</v>
          </cell>
          <cell r="AB34">
            <v>166399</v>
          </cell>
          <cell r="AH34" t="str">
            <v>none</v>
          </cell>
          <cell r="AK34">
            <v>0</v>
          </cell>
          <cell r="AM34">
            <v>37500</v>
          </cell>
          <cell r="AR34">
            <v>665596</v>
          </cell>
          <cell r="AV34">
            <v>665596</v>
          </cell>
          <cell r="AZ34" t="str">
            <v>Strip center</v>
          </cell>
          <cell r="DM34" t="str">
            <v>Sale</v>
          </cell>
        </row>
        <row r="44">
          <cell r="L44" t="str">
            <v>4965 Dorchester Road</v>
          </cell>
          <cell r="O44" t="str">
            <v>4965 Dorchester Road</v>
          </cell>
          <cell r="Q44" t="str">
            <v>North Charleston</v>
          </cell>
          <cell r="R44">
            <v>29418</v>
          </cell>
          <cell r="T44" t="str">
            <v>SC</v>
          </cell>
          <cell r="AA44">
            <v>1.52</v>
          </cell>
          <cell r="AB44">
            <v>66211</v>
          </cell>
          <cell r="AH44" t="str">
            <v>B2</v>
          </cell>
          <cell r="AK44">
            <v>0</v>
          </cell>
          <cell r="AM44">
            <v>38261</v>
          </cell>
          <cell r="AR44">
            <v>315000</v>
          </cell>
          <cell r="AV44">
            <v>315000</v>
          </cell>
          <cell r="AZ44" t="str">
            <v>Unknown</v>
          </cell>
          <cell r="DM44" t="str">
            <v>Sale</v>
          </cell>
        </row>
        <row r="45">
          <cell r="L45" t="str">
            <v>7520 South Tryon Street</v>
          </cell>
          <cell r="O45" t="str">
            <v>7520 South Tryon Street</v>
          </cell>
          <cell r="Q45" t="str">
            <v>Charlotte</v>
          </cell>
          <cell r="T45" t="str">
            <v>NC</v>
          </cell>
          <cell r="AA45">
            <v>5.3120000000000003</v>
          </cell>
          <cell r="AB45">
            <v>231391</v>
          </cell>
          <cell r="AH45" t="str">
            <v>B-1SCD</v>
          </cell>
          <cell r="AK45">
            <v>0</v>
          </cell>
          <cell r="AM45">
            <v>38261</v>
          </cell>
          <cell r="AR45">
            <v>1069000</v>
          </cell>
          <cell r="AV45">
            <v>1069000</v>
          </cell>
          <cell r="AZ45" t="str">
            <v>Retail</v>
          </cell>
          <cell r="DM45" t="str">
            <v>Sale</v>
          </cell>
        </row>
        <row r="46">
          <cell r="L46" t="str">
            <v>801 Lew Dewitt Boulevard</v>
          </cell>
          <cell r="O46" t="str">
            <v>801 Lew DeWitt Boulevard</v>
          </cell>
          <cell r="Q46" t="str">
            <v>Waynesboro</v>
          </cell>
          <cell r="R46">
            <v>22980</v>
          </cell>
          <cell r="T46" t="str">
            <v>VA</v>
          </cell>
          <cell r="AA46">
            <v>18.943999999999999</v>
          </cell>
          <cell r="AB46">
            <v>825200</v>
          </cell>
          <cell r="AH46" t="str">
            <v>C-2</v>
          </cell>
          <cell r="AK46">
            <v>0</v>
          </cell>
          <cell r="AM46">
            <v>38261</v>
          </cell>
          <cell r="AR46">
            <v>3600000</v>
          </cell>
          <cell r="AV46">
            <v>3600000</v>
          </cell>
          <cell r="AZ46" t="str">
            <v>Retail Center</v>
          </cell>
          <cell r="DM46" t="str">
            <v>Sale</v>
          </cell>
        </row>
        <row r="47">
          <cell r="L47" t="str">
            <v>983 S. Rand Road</v>
          </cell>
          <cell r="O47" t="str">
            <v>983 S. Rand Road</v>
          </cell>
          <cell r="Q47" t="str">
            <v>Lake Zurich</v>
          </cell>
          <cell r="R47">
            <v>60047</v>
          </cell>
          <cell r="T47" t="str">
            <v>IL</v>
          </cell>
          <cell r="AA47">
            <v>4.4000000000000004</v>
          </cell>
          <cell r="AB47">
            <v>191664</v>
          </cell>
          <cell r="AH47" t="str">
            <v>R-1, Lake Zurich</v>
          </cell>
          <cell r="AK47">
            <v>0</v>
          </cell>
          <cell r="AM47">
            <v>38261</v>
          </cell>
          <cell r="AR47">
            <v>1100000</v>
          </cell>
          <cell r="AV47">
            <v>1100000</v>
          </cell>
          <cell r="AZ47" t="str">
            <v>Retail center</v>
          </cell>
          <cell r="DM47" t="str">
            <v>Sale</v>
          </cell>
        </row>
        <row r="48">
          <cell r="L48" t="str">
            <v>A-2 Zoned Acreage</v>
          </cell>
          <cell r="O48" t="str">
            <v>16985 E 136th Ave</v>
          </cell>
          <cell r="Q48" t="str">
            <v>Brighton</v>
          </cell>
          <cell r="R48">
            <v>80601</v>
          </cell>
          <cell r="T48" t="str">
            <v>CO</v>
          </cell>
          <cell r="AA48">
            <v>4</v>
          </cell>
          <cell r="AB48">
            <v>174240</v>
          </cell>
          <cell r="AH48" t="str">
            <v>A-2, Brighton</v>
          </cell>
          <cell r="AK48">
            <v>0</v>
          </cell>
          <cell r="AM48">
            <v>38261</v>
          </cell>
          <cell r="AR48">
            <v>840000</v>
          </cell>
          <cell r="AV48">
            <v>840000</v>
          </cell>
          <cell r="AZ48" t="str">
            <v>Commercial Land</v>
          </cell>
          <cell r="DM48" t="str">
            <v>Sale</v>
          </cell>
        </row>
        <row r="49">
          <cell r="L49" t="str">
            <v>Commercial Land</v>
          </cell>
          <cell r="O49" t="str">
            <v>NEC of W Herndon and N Blythe</v>
          </cell>
          <cell r="Q49" t="str">
            <v>Fresno</v>
          </cell>
          <cell r="R49">
            <v>93650</v>
          </cell>
          <cell r="T49" t="str">
            <v>CA</v>
          </cell>
          <cell r="AA49">
            <v>6.8</v>
          </cell>
          <cell r="AB49">
            <v>296208</v>
          </cell>
          <cell r="AH49" t="str">
            <v>C-3</v>
          </cell>
          <cell r="AK49">
            <v>0</v>
          </cell>
          <cell r="AM49">
            <v>38261</v>
          </cell>
          <cell r="AR49">
            <v>1429500</v>
          </cell>
          <cell r="AV49">
            <v>1429500</v>
          </cell>
          <cell r="AZ49" t="str">
            <v>Commercial/Light Industrial</v>
          </cell>
          <cell r="DM49" t="str">
            <v>Sale</v>
          </cell>
        </row>
        <row r="56">
          <cell r="J56" t="str">
            <v>Inwood Central Shopping Center</v>
          </cell>
          <cell r="Q56" t="str">
            <v>8021 Antoine Village</v>
          </cell>
          <cell r="S56" t="str">
            <v>Houston</v>
          </cell>
          <cell r="T56">
            <v>77088</v>
          </cell>
          <cell r="V56" t="str">
            <v>TX</v>
          </cell>
          <cell r="AD56">
            <v>0</v>
          </cell>
          <cell r="AG56" t="str">
            <v>Ginham Goose</v>
          </cell>
          <cell r="AN56">
            <v>0</v>
          </cell>
          <cell r="AP56">
            <v>0</v>
          </cell>
          <cell r="AS56">
            <v>83262</v>
          </cell>
          <cell r="AU56">
            <v>1981</v>
          </cell>
          <cell r="CK56">
            <v>0.98</v>
          </cell>
          <cell r="CL56">
            <v>0.98</v>
          </cell>
          <cell r="CO56" t="str">
            <v>$8.00 -$11.00</v>
          </cell>
          <cell r="CQ56" t="str">
            <v>None</v>
          </cell>
          <cell r="CR56" t="str">
            <v>NNN</v>
          </cell>
          <cell r="CS56" t="str">
            <v>Cam, Tax, Ins.</v>
          </cell>
          <cell r="CW56" t="str">
            <v>Negotiable</v>
          </cell>
          <cell r="DI56">
            <v>0</v>
          </cell>
          <cell r="DJ56">
            <v>0</v>
          </cell>
          <cell r="DK56">
            <v>0</v>
          </cell>
          <cell r="DL56">
            <v>0</v>
          </cell>
          <cell r="DM56">
            <v>0</v>
          </cell>
          <cell r="DS56">
            <v>0</v>
          </cell>
          <cell r="DT56">
            <v>0</v>
          </cell>
          <cell r="DU56">
            <v>0</v>
          </cell>
          <cell r="DV56">
            <v>0</v>
          </cell>
          <cell r="DW56">
            <v>0</v>
          </cell>
          <cell r="DX56">
            <v>0</v>
          </cell>
          <cell r="DY56">
            <v>0</v>
          </cell>
          <cell r="DZ56">
            <v>0</v>
          </cell>
          <cell r="EA56">
            <v>0</v>
          </cell>
          <cell r="ER56">
            <v>0</v>
          </cell>
          <cell r="ES56">
            <v>0</v>
          </cell>
          <cell r="ET56">
            <v>0</v>
          </cell>
          <cell r="EU56">
            <v>0</v>
          </cell>
          <cell r="EV56">
            <v>0</v>
          </cell>
          <cell r="EX56" t="b">
            <v>0</v>
          </cell>
          <cell r="EY56">
            <v>0</v>
          </cell>
          <cell r="EZ56">
            <v>0</v>
          </cell>
        </row>
        <row r="57">
          <cell r="J57" t="str">
            <v>Inwood Village</v>
          </cell>
          <cell r="Q57" t="str">
            <v>6438-6496 W. Little York</v>
          </cell>
          <cell r="S57" t="str">
            <v>Houston</v>
          </cell>
          <cell r="T57">
            <v>77088</v>
          </cell>
          <cell r="V57" t="str">
            <v>Tx</v>
          </cell>
          <cell r="AD57">
            <v>0</v>
          </cell>
          <cell r="AG57" t="str">
            <v>Ace Cash Express</v>
          </cell>
          <cell r="AN57">
            <v>0</v>
          </cell>
          <cell r="AP57">
            <v>0</v>
          </cell>
          <cell r="AS57">
            <v>68000</v>
          </cell>
          <cell r="AU57">
            <v>1975</v>
          </cell>
          <cell r="CK57">
            <v>1</v>
          </cell>
          <cell r="CL57">
            <v>1</v>
          </cell>
          <cell r="CO57" t="str">
            <v>$6.24 - $17.04</v>
          </cell>
          <cell r="CS57" t="str">
            <v>NNN - $3.84</v>
          </cell>
          <cell r="CW57" t="str">
            <v>Negotiable</v>
          </cell>
          <cell r="DI57">
            <v>0</v>
          </cell>
          <cell r="DJ57">
            <v>0</v>
          </cell>
          <cell r="DK57">
            <v>0</v>
          </cell>
          <cell r="DL57">
            <v>0</v>
          </cell>
          <cell r="DM57">
            <v>0</v>
          </cell>
          <cell r="DS57">
            <v>0</v>
          </cell>
          <cell r="DT57">
            <v>0</v>
          </cell>
          <cell r="DU57">
            <v>0</v>
          </cell>
          <cell r="DV57">
            <v>0</v>
          </cell>
          <cell r="DW57">
            <v>0</v>
          </cell>
          <cell r="DX57">
            <v>0</v>
          </cell>
          <cell r="DY57">
            <v>0</v>
          </cell>
          <cell r="DZ57">
            <v>0</v>
          </cell>
          <cell r="EA57">
            <v>0</v>
          </cell>
          <cell r="ER57">
            <v>0</v>
          </cell>
          <cell r="ES57">
            <v>0</v>
          </cell>
          <cell r="ET57">
            <v>0</v>
          </cell>
          <cell r="EU57">
            <v>0</v>
          </cell>
          <cell r="EV57">
            <v>0</v>
          </cell>
          <cell r="EX57" t="b">
            <v>0</v>
          </cell>
          <cell r="EY57">
            <v>0</v>
          </cell>
          <cell r="EZ57">
            <v>0</v>
          </cell>
        </row>
        <row r="58">
          <cell r="J58" t="str">
            <v>Jones Square Shopping Center</v>
          </cell>
          <cell r="Q58" t="str">
            <v>SWC Jones &amp; West</v>
          </cell>
          <cell r="S58" t="str">
            <v>Houston</v>
          </cell>
          <cell r="T58">
            <v>77065</v>
          </cell>
          <cell r="V58" t="str">
            <v>TX</v>
          </cell>
          <cell r="AD58">
            <v>0</v>
          </cell>
          <cell r="AN58">
            <v>0</v>
          </cell>
          <cell r="AP58">
            <v>0</v>
          </cell>
          <cell r="AS58">
            <v>28195</v>
          </cell>
          <cell r="AU58">
            <v>1985</v>
          </cell>
          <cell r="CK58">
            <v>0.94</v>
          </cell>
          <cell r="CL58">
            <v>0.94</v>
          </cell>
          <cell r="CO58" t="str">
            <v>$12.00 psf</v>
          </cell>
          <cell r="CQ58" t="str">
            <v>none</v>
          </cell>
          <cell r="CR58" t="str">
            <v>NNN</v>
          </cell>
          <cell r="CS58" t="str">
            <v>$4.92 psf</v>
          </cell>
          <cell r="CW58" t="str">
            <v>negotiable</v>
          </cell>
          <cell r="DI58">
            <v>0</v>
          </cell>
          <cell r="DJ58">
            <v>0</v>
          </cell>
          <cell r="DK58">
            <v>0</v>
          </cell>
          <cell r="DL58">
            <v>0</v>
          </cell>
          <cell r="DM58">
            <v>0</v>
          </cell>
          <cell r="DS58">
            <v>0</v>
          </cell>
          <cell r="DT58">
            <v>0</v>
          </cell>
          <cell r="DU58">
            <v>0</v>
          </cell>
          <cell r="DV58">
            <v>0</v>
          </cell>
          <cell r="DW58">
            <v>0</v>
          </cell>
          <cell r="DX58">
            <v>0</v>
          </cell>
          <cell r="DY58">
            <v>0</v>
          </cell>
          <cell r="DZ58">
            <v>0</v>
          </cell>
          <cell r="EA58">
            <v>0</v>
          </cell>
          <cell r="ER58">
            <v>0</v>
          </cell>
          <cell r="ES58">
            <v>0</v>
          </cell>
          <cell r="ET58">
            <v>0</v>
          </cell>
          <cell r="EU58">
            <v>0</v>
          </cell>
          <cell r="EV58">
            <v>0</v>
          </cell>
          <cell r="EX58" t="b">
            <v>0</v>
          </cell>
          <cell r="EY58">
            <v>0</v>
          </cell>
          <cell r="EZ58">
            <v>0</v>
          </cell>
        </row>
        <row r="59">
          <cell r="J59" t="str">
            <v>Lakewood Forest</v>
          </cell>
          <cell r="Q59" t="str">
            <v>NWC Louetta &amp; Highway 249</v>
          </cell>
          <cell r="S59" t="str">
            <v>Houston</v>
          </cell>
          <cell r="V59" t="str">
            <v>TX</v>
          </cell>
          <cell r="AD59">
            <v>0</v>
          </cell>
          <cell r="AN59">
            <v>0</v>
          </cell>
          <cell r="AP59">
            <v>0</v>
          </cell>
          <cell r="AS59">
            <v>78225</v>
          </cell>
          <cell r="AU59">
            <v>1982</v>
          </cell>
          <cell r="CK59">
            <v>0.89</v>
          </cell>
          <cell r="CL59">
            <v>0.89</v>
          </cell>
          <cell r="CO59" t="str">
            <v>$8.00-$16.00 psf</v>
          </cell>
          <cell r="CR59" t="str">
            <v>NNN</v>
          </cell>
          <cell r="CS59" t="str">
            <v>$3.60 psf</v>
          </cell>
          <cell r="CW59" t="str">
            <v>negotiable</v>
          </cell>
          <cell r="DI59">
            <v>0</v>
          </cell>
          <cell r="DJ59">
            <v>0</v>
          </cell>
          <cell r="DK59">
            <v>0</v>
          </cell>
          <cell r="DL59">
            <v>0</v>
          </cell>
          <cell r="DM59">
            <v>0</v>
          </cell>
          <cell r="DS59">
            <v>0</v>
          </cell>
          <cell r="DT59">
            <v>0</v>
          </cell>
          <cell r="DU59">
            <v>0</v>
          </cell>
          <cell r="DV59">
            <v>0</v>
          </cell>
          <cell r="DW59">
            <v>0</v>
          </cell>
          <cell r="DX59">
            <v>0</v>
          </cell>
          <cell r="DY59">
            <v>0</v>
          </cell>
          <cell r="DZ59">
            <v>0</v>
          </cell>
          <cell r="EA59">
            <v>0</v>
          </cell>
          <cell r="ER59">
            <v>0</v>
          </cell>
          <cell r="ES59">
            <v>0</v>
          </cell>
          <cell r="ET59">
            <v>0</v>
          </cell>
          <cell r="EU59">
            <v>0</v>
          </cell>
          <cell r="EV59">
            <v>0</v>
          </cell>
          <cell r="EX59" t="b">
            <v>0</v>
          </cell>
          <cell r="EY59">
            <v>0</v>
          </cell>
          <cell r="EZ59">
            <v>0</v>
          </cell>
        </row>
        <row r="60">
          <cell r="J60" t="str">
            <v>Spring Cypress Village</v>
          </cell>
          <cell r="Q60" t="str">
            <v>22506 Tomball Parkway</v>
          </cell>
          <cell r="S60" t="str">
            <v>Houston</v>
          </cell>
          <cell r="V60" t="str">
            <v>TX</v>
          </cell>
          <cell r="AD60">
            <v>0</v>
          </cell>
          <cell r="AN60">
            <v>0</v>
          </cell>
          <cell r="AP60">
            <v>0</v>
          </cell>
          <cell r="AS60">
            <v>100793</v>
          </cell>
          <cell r="AU60">
            <v>1982</v>
          </cell>
          <cell r="CK60">
            <v>0.55900000000000005</v>
          </cell>
          <cell r="CL60">
            <v>0.55900000000000005</v>
          </cell>
          <cell r="CO60" t="str">
            <v>$10.00-$15.00 psf</v>
          </cell>
          <cell r="CQ60" t="str">
            <v>None</v>
          </cell>
          <cell r="CR60" t="str">
            <v>NNN</v>
          </cell>
          <cell r="CS60" t="str">
            <v>$2.90 psf</v>
          </cell>
          <cell r="CW60" t="str">
            <v>Negotiable</v>
          </cell>
          <cell r="DI60">
            <v>0</v>
          </cell>
          <cell r="DJ60">
            <v>0</v>
          </cell>
          <cell r="DK60">
            <v>0</v>
          </cell>
          <cell r="DL60">
            <v>0</v>
          </cell>
          <cell r="DM60">
            <v>0</v>
          </cell>
          <cell r="DS60">
            <v>0</v>
          </cell>
          <cell r="DT60">
            <v>0</v>
          </cell>
          <cell r="DU60">
            <v>0</v>
          </cell>
          <cell r="DV60">
            <v>0</v>
          </cell>
          <cell r="DW60">
            <v>0</v>
          </cell>
          <cell r="DX60">
            <v>0</v>
          </cell>
          <cell r="DY60">
            <v>0</v>
          </cell>
          <cell r="DZ60">
            <v>0</v>
          </cell>
          <cell r="EA60">
            <v>0</v>
          </cell>
          <cell r="ER60">
            <v>0</v>
          </cell>
          <cell r="ES60">
            <v>0</v>
          </cell>
          <cell r="ET60">
            <v>0</v>
          </cell>
          <cell r="EU60">
            <v>0</v>
          </cell>
          <cell r="EV60">
            <v>0</v>
          </cell>
          <cell r="EX60" t="b">
            <v>0</v>
          </cell>
          <cell r="EY60">
            <v>0</v>
          </cell>
          <cell r="EZ60">
            <v>0</v>
          </cell>
        </row>
        <row r="69">
          <cell r="J69" t="str">
            <v>Abercorn Walk</v>
          </cell>
          <cell r="Q69" t="str">
            <v>5525 Abercorn Street</v>
          </cell>
          <cell r="S69" t="str">
            <v>Savannah</v>
          </cell>
          <cell r="T69">
            <v>31405</v>
          </cell>
          <cell r="V69" t="str">
            <v>GA</v>
          </cell>
          <cell r="AA69">
            <v>5.6</v>
          </cell>
          <cell r="AD69">
            <v>0</v>
          </cell>
          <cell r="AN69">
            <v>0</v>
          </cell>
          <cell r="AS69">
            <v>70000</v>
          </cell>
          <cell r="AU69">
            <v>2005</v>
          </cell>
          <cell r="CK69" t="str">
            <v>Lease-up</v>
          </cell>
          <cell r="CL69" t="str">
            <v>Lease-up</v>
          </cell>
          <cell r="CO69">
            <v>35</v>
          </cell>
          <cell r="CQ69">
            <v>0.03</v>
          </cell>
          <cell r="CR69" t="str">
            <v>NNN</v>
          </cell>
          <cell r="CS69" t="str">
            <v>$4.70 PSF</v>
          </cell>
          <cell r="DI69">
            <v>0</v>
          </cell>
          <cell r="DJ69">
            <v>0</v>
          </cell>
          <cell r="DK69">
            <v>0</v>
          </cell>
          <cell r="DL69">
            <v>0</v>
          </cell>
          <cell r="DS69">
            <v>0</v>
          </cell>
          <cell r="DT69">
            <v>0</v>
          </cell>
          <cell r="DU69">
            <v>0</v>
          </cell>
          <cell r="DV69">
            <v>0</v>
          </cell>
          <cell r="DX69">
            <v>0</v>
          </cell>
          <cell r="DY69">
            <v>0</v>
          </cell>
          <cell r="DZ69">
            <v>0</v>
          </cell>
          <cell r="EA69">
            <v>0</v>
          </cell>
          <cell r="ER69">
            <v>0</v>
          </cell>
          <cell r="ES69">
            <v>0</v>
          </cell>
          <cell r="ET69">
            <v>0</v>
          </cell>
          <cell r="EU69">
            <v>0</v>
          </cell>
        </row>
        <row r="70">
          <cell r="J70" t="str">
            <v>Creekside Village</v>
          </cell>
          <cell r="Q70" t="str">
            <v>9400 Interstate 35 South</v>
          </cell>
          <cell r="S70" t="str">
            <v>Austin</v>
          </cell>
          <cell r="V70" t="str">
            <v>TX</v>
          </cell>
          <cell r="AA70">
            <v>0</v>
          </cell>
          <cell r="AD70">
            <v>0</v>
          </cell>
          <cell r="AF70" t="str">
            <v>PetsMart</v>
          </cell>
          <cell r="AN70">
            <v>0</v>
          </cell>
          <cell r="AS70">
            <v>260926</v>
          </cell>
          <cell r="AU70">
            <v>2005</v>
          </cell>
          <cell r="CK70">
            <v>0.96899999999999997</v>
          </cell>
          <cell r="CL70">
            <v>0.96899999999999997</v>
          </cell>
          <cell r="CO70">
            <v>26.5</v>
          </cell>
          <cell r="CQ70" t="str">
            <v>Varies per Tenant</v>
          </cell>
          <cell r="CR70" t="str">
            <v>NNN</v>
          </cell>
          <cell r="CS70">
            <v>5.3</v>
          </cell>
          <cell r="CW70" t="str">
            <v>$15 from Shell</v>
          </cell>
          <cell r="CZ70">
            <v>38412</v>
          </cell>
          <cell r="DB70">
            <v>38412</v>
          </cell>
          <cell r="DD70">
            <v>38412</v>
          </cell>
          <cell r="DF70">
            <v>38412</v>
          </cell>
          <cell r="DI70">
            <v>22304</v>
          </cell>
          <cell r="DJ70">
            <v>1200</v>
          </cell>
          <cell r="DK70">
            <v>3000</v>
          </cell>
          <cell r="DL70">
            <v>2500</v>
          </cell>
          <cell r="DN70" t="str">
            <v>PetsMart</v>
          </cell>
          <cell r="DO70" t="str">
            <v>EB Games</v>
          </cell>
          <cell r="DP70" t="str">
            <v>Sprint</v>
          </cell>
          <cell r="DQ70" t="str">
            <v>Twin Liquors</v>
          </cell>
          <cell r="DS70">
            <v>12.5</v>
          </cell>
          <cell r="DT70">
            <v>26</v>
          </cell>
          <cell r="DU70">
            <v>30.8</v>
          </cell>
          <cell r="DV70">
            <v>21.6</v>
          </cell>
          <cell r="DX70">
            <v>0</v>
          </cell>
          <cell r="DY70">
            <v>0</v>
          </cell>
          <cell r="DZ70">
            <v>0</v>
          </cell>
          <cell r="EA70">
            <v>0</v>
          </cell>
          <cell r="ER70">
            <v>10</v>
          </cell>
          <cell r="ES70">
            <v>5</v>
          </cell>
          <cell r="ET70">
            <v>7</v>
          </cell>
          <cell r="EU70">
            <v>5</v>
          </cell>
        </row>
        <row r="71">
          <cell r="J71" t="str">
            <v>Dollar Tree</v>
          </cell>
          <cell r="Q71" t="str">
            <v>250 San Pablo Towne Center</v>
          </cell>
          <cell r="S71" t="str">
            <v>San Pablo</v>
          </cell>
          <cell r="V71" t="str">
            <v>CA</v>
          </cell>
          <cell r="AA71">
            <v>0</v>
          </cell>
          <cell r="AD71">
            <v>0</v>
          </cell>
          <cell r="AF71" t="str">
            <v>Longs Drugs</v>
          </cell>
          <cell r="AG71" t="str">
            <v>24 Hour Fitness</v>
          </cell>
          <cell r="AN71">
            <v>10080</v>
          </cell>
          <cell r="AS71">
            <v>176760</v>
          </cell>
          <cell r="AU71">
            <v>1991</v>
          </cell>
          <cell r="CL71">
            <v>0.99</v>
          </cell>
          <cell r="CS71" t="str">
            <v>NNN</v>
          </cell>
          <cell r="CZ71">
            <v>37653</v>
          </cell>
          <cell r="DI71">
            <v>10080</v>
          </cell>
          <cell r="DJ71">
            <v>0</v>
          </cell>
          <cell r="DK71">
            <v>0</v>
          </cell>
          <cell r="DL71">
            <v>0</v>
          </cell>
          <cell r="DN71" t="str">
            <v>Dollar Tree</v>
          </cell>
          <cell r="DS71">
            <v>0.84</v>
          </cell>
          <cell r="DT71">
            <v>0</v>
          </cell>
          <cell r="DU71">
            <v>0</v>
          </cell>
          <cell r="DV71">
            <v>0</v>
          </cell>
          <cell r="DX71">
            <v>0</v>
          </cell>
          <cell r="DY71">
            <v>0</v>
          </cell>
          <cell r="DZ71">
            <v>0</v>
          </cell>
          <cell r="EA71">
            <v>0</v>
          </cell>
          <cell r="EH71" t="str">
            <v>10% in Yr. 6</v>
          </cell>
          <cell r="ER71">
            <v>10</v>
          </cell>
          <cell r="ES71">
            <v>0</v>
          </cell>
          <cell r="ET71">
            <v>0</v>
          </cell>
          <cell r="EU71">
            <v>0</v>
          </cell>
        </row>
        <row r="72">
          <cell r="J72" t="str">
            <v>Parkway Plaza</v>
          </cell>
          <cell r="Q72" t="str">
            <v>1096 Concord Parkway</v>
          </cell>
          <cell r="S72" t="str">
            <v>Concord</v>
          </cell>
          <cell r="T72">
            <v>28025</v>
          </cell>
          <cell r="V72" t="str">
            <v>NC</v>
          </cell>
          <cell r="AA72">
            <v>0</v>
          </cell>
          <cell r="AD72">
            <v>0</v>
          </cell>
          <cell r="AN72">
            <v>0</v>
          </cell>
          <cell r="AS72">
            <v>35000</v>
          </cell>
          <cell r="AU72">
            <v>1999</v>
          </cell>
          <cell r="CK72">
            <v>1</v>
          </cell>
          <cell r="CL72">
            <v>1</v>
          </cell>
          <cell r="CO72" t="str">
            <v>$16 psf</v>
          </cell>
          <cell r="CQ72" t="str">
            <v>Varies</v>
          </cell>
          <cell r="CR72" t="str">
            <v>NNN</v>
          </cell>
          <cell r="CS72">
            <v>2.2999999999999998</v>
          </cell>
          <cell r="CW72" t="str">
            <v>None</v>
          </cell>
          <cell r="DI72">
            <v>0</v>
          </cell>
          <cell r="DJ72">
            <v>0</v>
          </cell>
          <cell r="DK72">
            <v>0</v>
          </cell>
          <cell r="DL72">
            <v>0</v>
          </cell>
          <cell r="DS72">
            <v>0</v>
          </cell>
          <cell r="DT72">
            <v>0</v>
          </cell>
          <cell r="DU72">
            <v>0</v>
          </cell>
          <cell r="DV72">
            <v>0</v>
          </cell>
          <cell r="DX72">
            <v>0</v>
          </cell>
          <cell r="DY72">
            <v>0</v>
          </cell>
          <cell r="DZ72">
            <v>0</v>
          </cell>
          <cell r="EA72">
            <v>0</v>
          </cell>
          <cell r="ER72">
            <v>0</v>
          </cell>
          <cell r="ES72">
            <v>0</v>
          </cell>
          <cell r="ET72">
            <v>0</v>
          </cell>
          <cell r="EU72">
            <v>0</v>
          </cell>
        </row>
        <row r="73">
          <cell r="J73" t="str">
            <v>San Marin Plaza</v>
          </cell>
          <cell r="Q73" t="str">
            <v>179 San Marin Drive</v>
          </cell>
          <cell r="S73" t="str">
            <v>Novato</v>
          </cell>
          <cell r="V73" t="str">
            <v>CA</v>
          </cell>
          <cell r="AA73">
            <v>0</v>
          </cell>
          <cell r="AD73">
            <v>0</v>
          </cell>
          <cell r="AN73">
            <v>0</v>
          </cell>
          <cell r="AS73">
            <v>70483</v>
          </cell>
          <cell r="AU73">
            <v>1984</v>
          </cell>
          <cell r="CL73">
            <v>0.95</v>
          </cell>
          <cell r="CO73">
            <v>1.5</v>
          </cell>
          <cell r="CQ73">
            <v>0.03</v>
          </cell>
          <cell r="CR73" t="str">
            <v>NNN</v>
          </cell>
          <cell r="CW73" t="str">
            <v>Negotiable</v>
          </cell>
          <cell r="DI73">
            <v>0</v>
          </cell>
          <cell r="DJ73">
            <v>0</v>
          </cell>
          <cell r="DK73">
            <v>0</v>
          </cell>
          <cell r="DL73">
            <v>0</v>
          </cell>
          <cell r="DS73">
            <v>0</v>
          </cell>
          <cell r="DT73">
            <v>0</v>
          </cell>
          <cell r="DU73">
            <v>0</v>
          </cell>
          <cell r="DV73">
            <v>0</v>
          </cell>
          <cell r="DX73">
            <v>0</v>
          </cell>
          <cell r="DY73">
            <v>0</v>
          </cell>
          <cell r="DZ73">
            <v>0</v>
          </cell>
          <cell r="EA73">
            <v>0</v>
          </cell>
          <cell r="ER73">
            <v>0</v>
          </cell>
          <cell r="ES73">
            <v>0</v>
          </cell>
          <cell r="ET73">
            <v>0</v>
          </cell>
          <cell r="EU73">
            <v>0</v>
          </cell>
        </row>
        <row r="74">
          <cell r="J74" t="str">
            <v>Savannah Crossing</v>
          </cell>
          <cell r="Q74" t="str">
            <v>13065 Abercorn Street</v>
          </cell>
          <cell r="S74" t="str">
            <v>Savannah</v>
          </cell>
          <cell r="V74" t="str">
            <v>GA</v>
          </cell>
          <cell r="AD74">
            <v>0</v>
          </cell>
          <cell r="AS74">
            <v>65693</v>
          </cell>
          <cell r="AU74">
            <v>1989</v>
          </cell>
          <cell r="CK74">
            <v>0.94</v>
          </cell>
          <cell r="CL74">
            <v>0.94</v>
          </cell>
          <cell r="CO74">
            <v>20</v>
          </cell>
          <cell r="CQ74" t="str">
            <v>None</v>
          </cell>
          <cell r="CR74" t="str">
            <v>NNN</v>
          </cell>
          <cell r="CS74" t="str">
            <v>$2.20 psf</v>
          </cell>
          <cell r="CW74" t="str">
            <v>As Is</v>
          </cell>
          <cell r="DI74">
            <v>0</v>
          </cell>
          <cell r="DJ74">
            <v>0</v>
          </cell>
          <cell r="DK74">
            <v>0</v>
          </cell>
          <cell r="DL74">
            <v>0</v>
          </cell>
          <cell r="DS74">
            <v>0</v>
          </cell>
          <cell r="DT74">
            <v>0</v>
          </cell>
          <cell r="DU74">
            <v>0</v>
          </cell>
          <cell r="DV74">
            <v>0</v>
          </cell>
          <cell r="DX74">
            <v>0</v>
          </cell>
          <cell r="DY74">
            <v>0</v>
          </cell>
          <cell r="DZ74">
            <v>0</v>
          </cell>
          <cell r="EA74">
            <v>0</v>
          </cell>
          <cell r="ER74">
            <v>0</v>
          </cell>
          <cell r="ES74">
            <v>0</v>
          </cell>
          <cell r="ET74">
            <v>0</v>
          </cell>
          <cell r="EU74">
            <v>0</v>
          </cell>
        </row>
        <row r="75">
          <cell r="J75" t="str">
            <v>Springfield Commons</v>
          </cell>
          <cell r="S75" t="str">
            <v>Springfield</v>
          </cell>
          <cell r="V75" t="str">
            <v>OH</v>
          </cell>
          <cell r="AD75">
            <v>0</v>
          </cell>
          <cell r="AS75">
            <v>207497</v>
          </cell>
          <cell r="CK75">
            <v>1</v>
          </cell>
          <cell r="CO75" t="str">
            <v>$6.30-$13.00</v>
          </cell>
          <cell r="CZ75">
            <v>38384</v>
          </cell>
          <cell r="DB75">
            <v>35735</v>
          </cell>
          <cell r="DD75">
            <v>38200</v>
          </cell>
          <cell r="DF75">
            <v>38353</v>
          </cell>
          <cell r="DI75">
            <v>125357</v>
          </cell>
          <cell r="DJ75">
            <v>32850</v>
          </cell>
          <cell r="DK75">
            <v>20044</v>
          </cell>
          <cell r="DL75">
            <v>19466</v>
          </cell>
          <cell r="DN75" t="str">
            <v>Lowe's</v>
          </cell>
          <cell r="DO75" t="str">
            <v>Toys R Us</v>
          </cell>
          <cell r="DP75" t="str">
            <v>Best Buy</v>
          </cell>
          <cell r="DQ75" t="str">
            <v>PETsMART</v>
          </cell>
          <cell r="DS75">
            <v>6.3</v>
          </cell>
          <cell r="DT75">
            <v>7.7</v>
          </cell>
          <cell r="DU75">
            <v>12.47</v>
          </cell>
          <cell r="DV75">
            <v>13</v>
          </cell>
          <cell r="DX75">
            <v>0</v>
          </cell>
          <cell r="DY75">
            <v>0</v>
          </cell>
          <cell r="DZ75">
            <v>0</v>
          </cell>
          <cell r="EA75">
            <v>0</v>
          </cell>
          <cell r="ER75">
            <v>10</v>
          </cell>
          <cell r="ES75">
            <v>10</v>
          </cell>
          <cell r="ET75">
            <v>10</v>
          </cell>
          <cell r="EU75">
            <v>10</v>
          </cell>
        </row>
      </sheetData>
      <sheetData sheetId="8" refreshError="1"/>
      <sheetData sheetId="9" refreshError="1">
        <row r="8">
          <cell r="E8">
            <v>7710000</v>
          </cell>
        </row>
        <row r="9">
          <cell r="E9">
            <v>1080000</v>
          </cell>
        </row>
        <row r="21">
          <cell r="M21">
            <v>1080000</v>
          </cell>
          <cell r="N21">
            <v>1080000</v>
          </cell>
          <cell r="O21">
            <v>1080000</v>
          </cell>
        </row>
        <row r="32">
          <cell r="V32">
            <v>1080000</v>
          </cell>
        </row>
        <row r="37">
          <cell r="V37">
            <v>1080000</v>
          </cell>
        </row>
        <row r="44">
          <cell r="AC44">
            <v>1080000</v>
          </cell>
        </row>
      </sheetData>
      <sheetData sheetId="10" refreshError="1"/>
      <sheetData sheetId="11" refreshError="1"/>
      <sheetData sheetId="12" refreshError="1"/>
      <sheetData sheetId="13" refreshError="1">
        <row r="2">
          <cell r="A2">
            <v>2007</v>
          </cell>
        </row>
        <row r="3">
          <cell r="A3" t="str">
            <v>2nd Qtr. 2008</v>
          </cell>
        </row>
        <row r="4">
          <cell r="A4" t="str">
            <v>General Investment A</v>
          </cell>
          <cell r="B4">
            <v>5.7500000000000002E-2</v>
          </cell>
          <cell r="C4">
            <v>7.4999999999999997E-2</v>
          </cell>
          <cell r="D4">
            <v>6.8928571428571395E-2</v>
          </cell>
          <cell r="E4">
            <v>7.0000000000000007E-2</v>
          </cell>
          <cell r="F4">
            <v>8.5000000000000006E-2</v>
          </cell>
          <cell r="G4">
            <v>7.7083333333333295E-2</v>
          </cell>
          <cell r="H4">
            <v>0.08</v>
          </cell>
          <cell r="I4">
            <v>0.09</v>
          </cell>
          <cell r="J4">
            <v>8.5000000000000006E-2</v>
          </cell>
          <cell r="K4">
            <v>3.3833333333333299E-2</v>
          </cell>
          <cell r="L4">
            <v>2.9166666666666698E-2</v>
          </cell>
          <cell r="M4">
            <v>2.9166666666666698E-2</v>
          </cell>
          <cell r="N4">
            <v>1</v>
          </cell>
          <cell r="O4">
            <v>6</v>
          </cell>
          <cell r="P4">
            <v>4.4000000000000004</v>
          </cell>
        </row>
        <row r="5">
          <cell r="A5" t="str">
            <v>General Investment B</v>
          </cell>
          <cell r="B5">
            <v>7.0000000000000007E-2</v>
          </cell>
          <cell r="C5">
            <v>0.08</v>
          </cell>
          <cell r="D5">
            <v>7.4583333333333293E-2</v>
          </cell>
          <cell r="E5">
            <v>7.7499999999999999E-2</v>
          </cell>
          <cell r="F5">
            <v>0.09</v>
          </cell>
          <cell r="G5">
            <v>8.2000000000000003E-2</v>
          </cell>
          <cell r="H5">
            <v>0.09</v>
          </cell>
          <cell r="I5">
            <v>9.5000000000000001E-2</v>
          </cell>
          <cell r="J5">
            <v>9.1666666666666702E-2</v>
          </cell>
          <cell r="K5">
            <v>3.4000000000000002E-2</v>
          </cell>
          <cell r="L5">
            <v>2.9000000000000001E-2</v>
          </cell>
          <cell r="M5">
            <v>2.9000000000000001E-2</v>
          </cell>
          <cell r="N5">
            <v>1</v>
          </cell>
          <cell r="O5">
            <v>6</v>
          </cell>
          <cell r="P5">
            <v>4</v>
          </cell>
        </row>
        <row r="6">
          <cell r="A6" t="str">
            <v>General Investment C</v>
          </cell>
          <cell r="B6">
            <v>0.08</v>
          </cell>
          <cell r="C6">
            <v>0.09</v>
          </cell>
          <cell r="D6">
            <v>8.5999999999999993E-2</v>
          </cell>
          <cell r="E6">
            <v>0.09</v>
          </cell>
          <cell r="F6">
            <v>0.1</v>
          </cell>
          <cell r="G6">
            <v>9.3124999999999999E-2</v>
          </cell>
          <cell r="H6">
            <v>0.1</v>
          </cell>
          <cell r="I6">
            <v>0.11</v>
          </cell>
          <cell r="J6">
            <v>0.105</v>
          </cell>
          <cell r="K6">
            <v>3.125E-2</v>
          </cell>
          <cell r="L6">
            <v>2.8750000000000001E-2</v>
          </cell>
          <cell r="M6">
            <v>2.8750000000000001E-2</v>
          </cell>
          <cell r="N6">
            <v>2</v>
          </cell>
          <cell r="O6">
            <v>6</v>
          </cell>
          <cell r="P6">
            <v>3.3333333333333335</v>
          </cell>
        </row>
        <row r="7">
          <cell r="A7" t="str">
            <v>Apartments A</v>
          </cell>
          <cell r="B7">
            <v>4.7500000000000001E-2</v>
          </cell>
          <cell r="C7">
            <v>6.5000000000000002E-2</v>
          </cell>
          <cell r="D7">
            <v>5.6071428571428598E-2</v>
          </cell>
          <cell r="E7">
            <v>0.05</v>
          </cell>
          <cell r="F7">
            <v>7.4999999999999997E-2</v>
          </cell>
          <cell r="G7">
            <v>6.2642857142857097E-2</v>
          </cell>
          <cell r="H7">
            <v>6.5000000000000002E-2</v>
          </cell>
          <cell r="I7">
            <v>0.09</v>
          </cell>
          <cell r="J7">
            <v>7.5999999999999998E-2</v>
          </cell>
          <cell r="K7">
            <v>3.09230769230769E-2</v>
          </cell>
          <cell r="L7">
            <v>2.9423076923076899E-2</v>
          </cell>
          <cell r="M7">
            <v>2.8846153846153799E-2</v>
          </cell>
          <cell r="N7">
            <v>1</v>
          </cell>
          <cell r="O7">
            <v>12</v>
          </cell>
          <cell r="P7">
            <v>6.8181818181818183</v>
          </cell>
        </row>
        <row r="8">
          <cell r="A8" t="str">
            <v>Apartments B</v>
          </cell>
          <cell r="B8">
            <v>5.2499999999999998E-2</v>
          </cell>
          <cell r="C8">
            <v>0.08</v>
          </cell>
          <cell r="D8">
            <v>6.5227272727272703E-2</v>
          </cell>
          <cell r="E8">
            <v>5.7500000000000002E-2</v>
          </cell>
          <cell r="F8">
            <v>8.2500000000000004E-2</v>
          </cell>
          <cell r="G8">
            <v>7.0000000000000007E-2</v>
          </cell>
          <cell r="H8">
            <v>7.0000000000000007E-2</v>
          </cell>
          <cell r="I8">
            <v>0.10249999999999999</v>
          </cell>
          <cell r="J8">
            <v>8.3611111111111094E-2</v>
          </cell>
          <cell r="K8">
            <v>2.87E-2</v>
          </cell>
          <cell r="L8">
            <v>2.9499999999999998E-2</v>
          </cell>
          <cell r="M8">
            <v>2.8500000000000001E-2</v>
          </cell>
          <cell r="N8">
            <v>1</v>
          </cell>
          <cell r="O8">
            <v>12</v>
          </cell>
          <cell r="P8">
            <v>6</v>
          </cell>
        </row>
        <row r="9">
          <cell r="A9" t="str">
            <v>Apartments C</v>
          </cell>
          <cell r="B9">
            <v>7.0000000000000007E-2</v>
          </cell>
          <cell r="C9">
            <v>8.5000000000000006E-2</v>
          </cell>
          <cell r="D9">
            <v>7.4083333333333307E-2</v>
          </cell>
          <cell r="E9">
            <v>7.4999999999999997E-2</v>
          </cell>
          <cell r="F9">
            <v>0.08</v>
          </cell>
          <cell r="G9">
            <v>7.8399999999999997E-2</v>
          </cell>
          <cell r="H9">
            <v>8.5000000000000006E-2</v>
          </cell>
          <cell r="I9">
            <v>9.5000000000000001E-2</v>
          </cell>
          <cell r="J9">
            <v>0.09</v>
          </cell>
          <cell r="K9">
            <v>2.9399999999999999E-2</v>
          </cell>
          <cell r="L9">
            <v>2.9000000000000001E-2</v>
          </cell>
          <cell r="M9">
            <v>2.8000000000000001E-2</v>
          </cell>
          <cell r="N9">
            <v>2</v>
          </cell>
          <cell r="O9">
            <v>9</v>
          </cell>
          <cell r="P9">
            <v>5.75</v>
          </cell>
        </row>
        <row r="10">
          <cell r="A10" t="str">
            <v>Net Leased Investments A</v>
          </cell>
          <cell r="B10">
            <v>0.04</v>
          </cell>
          <cell r="C10">
            <v>7.4999999999999997E-2</v>
          </cell>
          <cell r="D10">
            <v>5.7500000000000002E-2</v>
          </cell>
          <cell r="E10">
            <v>0.05</v>
          </cell>
          <cell r="F10">
            <v>7.2499999999999995E-2</v>
          </cell>
          <cell r="G10">
            <v>5.9499999999999997E-2</v>
          </cell>
          <cell r="H10">
            <v>0.06</v>
          </cell>
          <cell r="I10">
            <v>7.0000000000000007E-2</v>
          </cell>
          <cell r="J10">
            <v>6.3333333333333297E-2</v>
          </cell>
          <cell r="K10">
            <v>3.4000000000000002E-2</v>
          </cell>
          <cell r="L10">
            <v>0.03</v>
          </cell>
          <cell r="M10">
            <v>0.03</v>
          </cell>
          <cell r="N10">
            <v>1</v>
          </cell>
          <cell r="O10">
            <v>6</v>
          </cell>
          <cell r="P10">
            <v>2.8</v>
          </cell>
        </row>
        <row r="11">
          <cell r="A11" t="str">
            <v>Net Leased Investments B</v>
          </cell>
          <cell r="B11">
            <v>0.05</v>
          </cell>
          <cell r="C11">
            <v>7.7499999999999999E-2</v>
          </cell>
          <cell r="D11">
            <v>6.3750000000000001E-2</v>
          </cell>
          <cell r="E11">
            <v>5.5E-2</v>
          </cell>
          <cell r="F11">
            <v>7.7499999999999999E-2</v>
          </cell>
          <cell r="G11">
            <v>6.6500000000000004E-2</v>
          </cell>
          <cell r="H11">
            <v>6.5000000000000002E-2</v>
          </cell>
          <cell r="I11">
            <v>7.4999999999999997E-2</v>
          </cell>
          <cell r="J11">
            <v>7.0000000000000007E-2</v>
          </cell>
          <cell r="K11">
            <v>3.4000000000000002E-2</v>
          </cell>
          <cell r="L11">
            <v>0.03</v>
          </cell>
          <cell r="M11">
            <v>0.03</v>
          </cell>
          <cell r="N11">
            <v>1</v>
          </cell>
          <cell r="O11">
            <v>6</v>
          </cell>
          <cell r="P11">
            <v>2.8</v>
          </cell>
        </row>
        <row r="12">
          <cell r="A12" t="str">
            <v>Net Leased Investments C</v>
          </cell>
          <cell r="B12">
            <v>0.06</v>
          </cell>
          <cell r="C12">
            <v>8.2500000000000004E-2</v>
          </cell>
          <cell r="D12">
            <v>6.9583333333333303E-2</v>
          </cell>
          <cell r="E12">
            <v>7.0000000000000007E-2</v>
          </cell>
          <cell r="F12">
            <v>8.2500000000000004E-2</v>
          </cell>
          <cell r="G12">
            <v>7.5499999999999998E-2</v>
          </cell>
          <cell r="H12">
            <v>7.4999999999999997E-2</v>
          </cell>
          <cell r="I12">
            <v>8.5000000000000006E-2</v>
          </cell>
          <cell r="J12">
            <v>0.08</v>
          </cell>
          <cell r="K12">
            <v>3.4000000000000002E-2</v>
          </cell>
          <cell r="L12">
            <v>0.03</v>
          </cell>
          <cell r="M12">
            <v>0.03</v>
          </cell>
          <cell r="N12">
            <v>1</v>
          </cell>
          <cell r="O12">
            <v>6</v>
          </cell>
          <cell r="P12">
            <v>4.2</v>
          </cell>
        </row>
        <row r="13">
          <cell r="A13" t="str">
            <v>Business Parks A</v>
          </cell>
          <cell r="B13">
            <v>5.2499999999999998E-2</v>
          </cell>
          <cell r="C13">
            <v>6.7500000000000004E-2</v>
          </cell>
          <cell r="D13">
            <v>0.06</v>
          </cell>
          <cell r="E13">
            <v>6.5000000000000002E-2</v>
          </cell>
          <cell r="F13">
            <v>7.0000000000000007E-2</v>
          </cell>
          <cell r="G13">
            <v>6.7916666666666695E-2</v>
          </cell>
          <cell r="H13">
            <v>7.4999999999999997E-2</v>
          </cell>
          <cell r="I13">
            <v>8.7499999999999994E-2</v>
          </cell>
          <cell r="J13">
            <v>7.9166666666666705E-2</v>
          </cell>
          <cell r="K13">
            <v>3.6333333333333301E-2</v>
          </cell>
          <cell r="L13">
            <v>0.03</v>
          </cell>
          <cell r="M13">
            <v>0.03</v>
          </cell>
          <cell r="N13">
            <v>1</v>
          </cell>
          <cell r="O13">
            <v>6</v>
          </cell>
          <cell r="P13">
            <v>5</v>
          </cell>
        </row>
        <row r="14">
          <cell r="A14" t="str">
            <v>Business Parks B</v>
          </cell>
          <cell r="B14">
            <v>5.7500000000000002E-2</v>
          </cell>
          <cell r="C14">
            <v>7.2499999999999995E-2</v>
          </cell>
          <cell r="D14">
            <v>6.7000000000000004E-2</v>
          </cell>
          <cell r="E14">
            <v>7.0000000000000007E-2</v>
          </cell>
          <cell r="F14">
            <v>0.08</v>
          </cell>
          <cell r="G14">
            <v>7.4499999999999997E-2</v>
          </cell>
          <cell r="H14">
            <v>0.08</v>
          </cell>
          <cell r="I14">
            <v>9.2499999999999999E-2</v>
          </cell>
          <cell r="J14">
            <v>8.5500000000000007E-2</v>
          </cell>
          <cell r="K14">
            <v>3.4000000000000002E-2</v>
          </cell>
          <cell r="L14">
            <v>0.03</v>
          </cell>
          <cell r="M14">
            <v>0.03</v>
          </cell>
          <cell r="N14">
            <v>1</v>
          </cell>
          <cell r="O14">
            <v>6</v>
          </cell>
          <cell r="P14">
            <v>4.75</v>
          </cell>
        </row>
        <row r="15">
          <cell r="A15" t="str">
            <v>Business Parks C</v>
          </cell>
          <cell r="B15">
            <v>7.0000000000000007E-2</v>
          </cell>
          <cell r="C15">
            <v>8.7499999999999994E-2</v>
          </cell>
          <cell r="D15">
            <v>7.9375000000000001E-2</v>
          </cell>
          <cell r="E15">
            <v>7.4999999999999997E-2</v>
          </cell>
          <cell r="F15">
            <v>0.09</v>
          </cell>
          <cell r="G15">
            <v>8.5000000000000006E-2</v>
          </cell>
          <cell r="H15">
            <v>0.08</v>
          </cell>
          <cell r="I15">
            <v>0.1075</v>
          </cell>
          <cell r="J15">
            <v>9.4375000000000001E-2</v>
          </cell>
          <cell r="K15">
            <v>3.3500000000000002E-2</v>
          </cell>
          <cell r="L15">
            <v>0.03</v>
          </cell>
          <cell r="M15">
            <v>0.03</v>
          </cell>
          <cell r="N15">
            <v>2</v>
          </cell>
          <cell r="O15">
            <v>9</v>
          </cell>
          <cell r="P15">
            <v>6.666666666666667</v>
          </cell>
        </row>
        <row r="16">
          <cell r="A16" t="str">
            <v>Industrial R&amp;D A</v>
          </cell>
          <cell r="B16">
            <v>5.2499999999999998E-2</v>
          </cell>
          <cell r="C16">
            <v>7.4999999999999997E-2</v>
          </cell>
          <cell r="D16">
            <v>6.5777777777777796E-2</v>
          </cell>
          <cell r="E16">
            <v>6.5000000000000002E-2</v>
          </cell>
          <cell r="F16">
            <v>8.5000000000000006E-2</v>
          </cell>
          <cell r="G16">
            <v>7.3833333333333306E-2</v>
          </cell>
          <cell r="H16">
            <v>7.4999999999999997E-2</v>
          </cell>
          <cell r="I16">
            <v>0.09</v>
          </cell>
          <cell r="J16">
            <v>8.2142857142857101E-2</v>
          </cell>
          <cell r="K16">
            <v>3.2875000000000001E-2</v>
          </cell>
          <cell r="L16">
            <v>2.9374999999999998E-2</v>
          </cell>
          <cell r="M16">
            <v>2.8750000000000001E-2</v>
          </cell>
          <cell r="N16">
            <v>1</v>
          </cell>
          <cell r="O16">
            <v>9</v>
          </cell>
          <cell r="P16">
            <v>6.166666666666667</v>
          </cell>
        </row>
        <row r="17">
          <cell r="A17" t="str">
            <v>Industrial R&amp;D B</v>
          </cell>
          <cell r="B17">
            <v>7.0000000000000007E-2</v>
          </cell>
          <cell r="C17">
            <v>8.5000000000000006E-2</v>
          </cell>
          <cell r="D17">
            <v>7.5999999999999998E-2</v>
          </cell>
          <cell r="E17">
            <v>7.6999999999999999E-2</v>
          </cell>
          <cell r="F17">
            <v>0.09</v>
          </cell>
          <cell r="G17">
            <v>8.1714285714285698E-2</v>
          </cell>
          <cell r="H17">
            <v>8.5000000000000006E-2</v>
          </cell>
          <cell r="I17">
            <v>9.5000000000000001E-2</v>
          </cell>
          <cell r="J17">
            <v>9.0999999999999998E-2</v>
          </cell>
          <cell r="K17">
            <v>3.0333333333333299E-2</v>
          </cell>
          <cell r="L17">
            <v>2.9166666666666698E-2</v>
          </cell>
          <cell r="M17">
            <v>2.8333333333333301E-2</v>
          </cell>
          <cell r="N17">
            <v>1</v>
          </cell>
          <cell r="O17">
            <v>9</v>
          </cell>
          <cell r="P17">
            <v>6.25</v>
          </cell>
        </row>
        <row r="18">
          <cell r="A18" t="str">
            <v>Industrial R&amp;D C</v>
          </cell>
          <cell r="B18">
            <v>0.08</v>
          </cell>
          <cell r="C18">
            <v>0.1</v>
          </cell>
          <cell r="D18">
            <v>8.77857142857143E-2</v>
          </cell>
          <cell r="E18">
            <v>8.6999999999999994E-2</v>
          </cell>
          <cell r="F18">
            <v>0.11</v>
          </cell>
          <cell r="G18">
            <v>9.4571428571428598E-2</v>
          </cell>
          <cell r="H18">
            <v>0.09</v>
          </cell>
          <cell r="I18">
            <v>0.12</v>
          </cell>
          <cell r="J18">
            <v>0.104</v>
          </cell>
          <cell r="K18">
            <v>2.9166666666666698E-2</v>
          </cell>
          <cell r="L18">
            <v>2.9166666666666698E-2</v>
          </cell>
          <cell r="M18">
            <v>2.8333333333333301E-2</v>
          </cell>
          <cell r="N18">
            <v>2</v>
          </cell>
          <cell r="O18">
            <v>12</v>
          </cell>
          <cell r="P18">
            <v>8</v>
          </cell>
        </row>
        <row r="19">
          <cell r="A19" t="str">
            <v>Self Storage A</v>
          </cell>
          <cell r="B19">
            <v>6.5000000000000002E-2</v>
          </cell>
          <cell r="C19">
            <v>7.4999999999999997E-2</v>
          </cell>
          <cell r="D19">
            <v>7.0000000000000007E-2</v>
          </cell>
          <cell r="E19">
            <v>7.0000000000000007E-2</v>
          </cell>
          <cell r="F19">
            <v>8.5000000000000006E-2</v>
          </cell>
          <cell r="G19">
            <v>7.5833333333333294E-2</v>
          </cell>
          <cell r="H19">
            <v>8.5000000000000006E-2</v>
          </cell>
          <cell r="I19">
            <v>0.09</v>
          </cell>
          <cell r="J19">
            <v>8.7999999999999995E-2</v>
          </cell>
          <cell r="K19">
            <v>2.9166666666666698E-2</v>
          </cell>
          <cell r="L19">
            <v>2.9166666666666698E-2</v>
          </cell>
          <cell r="M19">
            <v>2.9166666666666698E-2</v>
          </cell>
          <cell r="N19">
            <v>3</v>
          </cell>
          <cell r="O19">
            <v>12</v>
          </cell>
          <cell r="P19">
            <v>7</v>
          </cell>
        </row>
        <row r="20">
          <cell r="A20" t="str">
            <v>Self Storage B</v>
          </cell>
          <cell r="B20">
            <v>7.0000000000000007E-2</v>
          </cell>
          <cell r="C20">
            <v>8.5000000000000006E-2</v>
          </cell>
          <cell r="D20">
            <v>7.5937500000000005E-2</v>
          </cell>
          <cell r="E20">
            <v>7.7499999999999999E-2</v>
          </cell>
          <cell r="F20">
            <v>0.09</v>
          </cell>
          <cell r="G20">
            <v>8.2857142857142893E-2</v>
          </cell>
          <cell r="H20">
            <v>8.7499999999999994E-2</v>
          </cell>
          <cell r="I20">
            <v>9.7500000000000003E-2</v>
          </cell>
          <cell r="J20">
            <v>9.1999999999999998E-2</v>
          </cell>
          <cell r="K20">
            <v>3.0833333333333299E-2</v>
          </cell>
          <cell r="L20">
            <v>2.9166666666666698E-2</v>
          </cell>
          <cell r="M20">
            <v>2.9166666666666698E-2</v>
          </cell>
          <cell r="N20">
            <v>1</v>
          </cell>
          <cell r="O20">
            <v>12</v>
          </cell>
          <cell r="P20">
            <v>6.5714285714285712</v>
          </cell>
        </row>
        <row r="21">
          <cell r="A21" t="str">
            <v>Self Storage C</v>
          </cell>
          <cell r="B21">
            <v>7.0000000000000007E-2</v>
          </cell>
          <cell r="C21">
            <v>0.09</v>
          </cell>
          <cell r="D21">
            <v>8.2142857142857101E-2</v>
          </cell>
          <cell r="E21">
            <v>0.08</v>
          </cell>
          <cell r="F21">
            <v>0.1</v>
          </cell>
          <cell r="G21">
            <v>8.9285714285714302E-2</v>
          </cell>
          <cell r="H21">
            <v>0.09</v>
          </cell>
          <cell r="I21">
            <v>0.1075</v>
          </cell>
          <cell r="J21">
            <v>9.8000000000000004E-2</v>
          </cell>
          <cell r="K21">
            <v>3.0833333333333299E-2</v>
          </cell>
          <cell r="L21">
            <v>2.9166666666666698E-2</v>
          </cell>
          <cell r="M21">
            <v>2.9166666666666698E-2</v>
          </cell>
          <cell r="N21">
            <v>2</v>
          </cell>
          <cell r="O21">
            <v>12</v>
          </cell>
          <cell r="P21">
            <v>6.833333333333333</v>
          </cell>
        </row>
        <row r="22">
          <cell r="A22" t="str">
            <v>Warehouse/Distribution A</v>
          </cell>
          <cell r="B22">
            <v>0.05</v>
          </cell>
          <cell r="C22">
            <v>7.4999999999999997E-2</v>
          </cell>
          <cell r="D22">
            <v>6.1785714285714298E-2</v>
          </cell>
          <cell r="E22">
            <v>0.06</v>
          </cell>
          <cell r="F22">
            <v>8.7499999999999994E-2</v>
          </cell>
          <cell r="G22">
            <v>6.9642857142857104E-2</v>
          </cell>
          <cell r="H22">
            <v>6.25E-2</v>
          </cell>
          <cell r="I22">
            <v>0.09</v>
          </cell>
          <cell r="J22">
            <v>7.6833333333333295E-2</v>
          </cell>
          <cell r="K22">
            <v>3.06153846153846E-2</v>
          </cell>
          <cell r="L22">
            <v>2.73076923076923E-2</v>
          </cell>
          <cell r="M22">
            <v>2.69230769230769E-2</v>
          </cell>
          <cell r="N22">
            <v>1</v>
          </cell>
          <cell r="O22">
            <v>12</v>
          </cell>
          <cell r="P22">
            <v>7.1818181818181817</v>
          </cell>
        </row>
        <row r="23">
          <cell r="A23" t="str">
            <v>Warehouse/Distribution B</v>
          </cell>
          <cell r="B23">
            <v>0.06</v>
          </cell>
          <cell r="C23">
            <v>0.08</v>
          </cell>
          <cell r="D23">
            <v>7.1999999999999995E-2</v>
          </cell>
          <cell r="E23">
            <v>6.7500000000000004E-2</v>
          </cell>
          <cell r="F23">
            <v>0.09</v>
          </cell>
          <cell r="G23">
            <v>7.7499999999999999E-2</v>
          </cell>
          <cell r="H23">
            <v>7.7499999999999999E-2</v>
          </cell>
          <cell r="I23">
            <v>9.5000000000000001E-2</v>
          </cell>
          <cell r="J23">
            <v>8.7857142857142898E-2</v>
          </cell>
          <cell r="K23">
            <v>2.5000000000000001E-2</v>
          </cell>
          <cell r="L23">
            <v>2.6111111111111099E-2</v>
          </cell>
          <cell r="M23">
            <v>2.5555555555555599E-2</v>
          </cell>
          <cell r="N23">
            <v>6</v>
          </cell>
          <cell r="O23">
            <v>12</v>
          </cell>
          <cell r="P23">
            <v>8.1428571428571423</v>
          </cell>
        </row>
        <row r="24">
          <cell r="A24" t="str">
            <v>Warehouse/Distribution C</v>
          </cell>
          <cell r="B24">
            <v>0.08</v>
          </cell>
          <cell r="C24">
            <v>0.1</v>
          </cell>
          <cell r="D24">
            <v>8.7916666666666698E-2</v>
          </cell>
          <cell r="E24">
            <v>8.5000000000000006E-2</v>
          </cell>
          <cell r="F24">
            <v>0.105</v>
          </cell>
          <cell r="G24">
            <v>9.2916666666666703E-2</v>
          </cell>
          <cell r="H24">
            <v>0.09</v>
          </cell>
          <cell r="I24">
            <v>0.11</v>
          </cell>
          <cell r="J24">
            <v>0.10187499999999999</v>
          </cell>
          <cell r="K24">
            <v>2.5000000000000001E-2</v>
          </cell>
          <cell r="L24">
            <v>2.9000000000000001E-2</v>
          </cell>
          <cell r="M24">
            <v>2.8000000000000001E-2</v>
          </cell>
          <cell r="N24">
            <v>6</v>
          </cell>
          <cell r="O24">
            <v>12</v>
          </cell>
          <cell r="P24">
            <v>10</v>
          </cell>
        </row>
        <row r="25">
          <cell r="A25" t="str">
            <v>Suburban Office A</v>
          </cell>
          <cell r="B25">
            <v>4.7500000000000001E-2</v>
          </cell>
          <cell r="C25">
            <v>7.7499999999999999E-2</v>
          </cell>
          <cell r="D25">
            <v>6.3039999999999999E-2</v>
          </cell>
          <cell r="E25">
            <v>0.06</v>
          </cell>
          <cell r="F25">
            <v>0.09</v>
          </cell>
          <cell r="G25">
            <v>7.2620000000000004E-2</v>
          </cell>
          <cell r="H25">
            <v>7.0000000000000007E-2</v>
          </cell>
          <cell r="I25">
            <v>0.11</v>
          </cell>
          <cell r="J25">
            <v>8.3673913043478307E-2</v>
          </cell>
          <cell r="K25">
            <v>3.3250000000000002E-2</v>
          </cell>
          <cell r="L25">
            <v>2.9374999999999998E-2</v>
          </cell>
          <cell r="M25">
            <v>2.9166666666666698E-2</v>
          </cell>
          <cell r="N25">
            <v>1</v>
          </cell>
          <cell r="O25">
            <v>12</v>
          </cell>
          <cell r="P25">
            <v>6.1818181818181817</v>
          </cell>
        </row>
        <row r="26">
          <cell r="A26" t="str">
            <v>Suburban Office B</v>
          </cell>
          <cell r="B26">
            <v>0.06</v>
          </cell>
          <cell r="C26">
            <v>8.5000000000000006E-2</v>
          </cell>
          <cell r="D26">
            <v>7.0906250000000004E-2</v>
          </cell>
          <cell r="E26">
            <v>6.7500000000000004E-2</v>
          </cell>
          <cell r="F26">
            <v>9.2499999999999999E-2</v>
          </cell>
          <cell r="G26">
            <v>7.8750000000000001E-2</v>
          </cell>
          <cell r="H26">
            <v>7.4999999999999997E-2</v>
          </cell>
          <cell r="I26">
            <v>0.11</v>
          </cell>
          <cell r="J26">
            <v>0.09</v>
          </cell>
          <cell r="K26">
            <v>0.03</v>
          </cell>
          <cell r="L26">
            <v>2.9000000000000001E-2</v>
          </cell>
          <cell r="M26">
            <v>2.8666666666666701E-2</v>
          </cell>
          <cell r="N26">
            <v>1</v>
          </cell>
          <cell r="O26">
            <v>12</v>
          </cell>
          <cell r="P26">
            <v>6.5384615384615383</v>
          </cell>
        </row>
        <row r="27">
          <cell r="A27" t="str">
            <v>Suburban Office C</v>
          </cell>
          <cell r="B27">
            <v>7.0000000000000007E-2</v>
          </cell>
          <cell r="C27">
            <v>9.2499999999999999E-2</v>
          </cell>
          <cell r="D27">
            <v>8.1785714285714295E-2</v>
          </cell>
          <cell r="E27">
            <v>7.4999999999999997E-2</v>
          </cell>
          <cell r="F27">
            <v>0.10249999999999999</v>
          </cell>
          <cell r="G27">
            <v>8.9285714285714302E-2</v>
          </cell>
          <cell r="H27">
            <v>0.08</v>
          </cell>
          <cell r="I27">
            <v>0.11</v>
          </cell>
          <cell r="J27">
            <v>9.6000000000000002E-2</v>
          </cell>
          <cell r="K27">
            <v>3.2000000000000001E-2</v>
          </cell>
          <cell r="L27">
            <v>2.9166666666666698E-2</v>
          </cell>
          <cell r="M27">
            <v>2.9166666666666698E-2</v>
          </cell>
          <cell r="N27">
            <v>2</v>
          </cell>
          <cell r="O27">
            <v>9</v>
          </cell>
          <cell r="P27">
            <v>5.8</v>
          </cell>
        </row>
        <row r="28">
          <cell r="A28" t="str">
            <v>Urban Office A</v>
          </cell>
          <cell r="B28">
            <v>4.4999999999999998E-2</v>
          </cell>
          <cell r="C28">
            <v>7.4999999999999997E-2</v>
          </cell>
          <cell r="D28">
            <v>5.7847826086956503E-2</v>
          </cell>
          <cell r="E28">
            <v>5.5E-2</v>
          </cell>
          <cell r="F28">
            <v>8.5000000000000006E-2</v>
          </cell>
          <cell r="G28">
            <v>6.75869565217391E-2</v>
          </cell>
          <cell r="H28">
            <v>0.06</v>
          </cell>
          <cell r="I28">
            <v>8.7499999999999994E-2</v>
          </cell>
          <cell r="J28">
            <v>7.5714285714285706E-2</v>
          </cell>
          <cell r="K28">
            <v>3.6181818181818197E-2</v>
          </cell>
          <cell r="L28">
            <v>2.9772727272727301E-2</v>
          </cell>
          <cell r="M28">
            <v>2.9318181818181799E-2</v>
          </cell>
          <cell r="N28">
            <v>1</v>
          </cell>
          <cell r="O28">
            <v>12</v>
          </cell>
          <cell r="P28">
            <v>5.7222222222222223</v>
          </cell>
        </row>
        <row r="29">
          <cell r="A29" t="str">
            <v>Urban Office B</v>
          </cell>
          <cell r="B29">
            <v>5.5E-2</v>
          </cell>
          <cell r="C29">
            <v>0.08</v>
          </cell>
          <cell r="D29">
            <v>6.5566666666666704E-2</v>
          </cell>
          <cell r="E29">
            <v>0.06</v>
          </cell>
          <cell r="F29">
            <v>0.09</v>
          </cell>
          <cell r="G29">
            <v>7.41666666666667E-2</v>
          </cell>
          <cell r="H29">
            <v>7.0000000000000007E-2</v>
          </cell>
          <cell r="I29">
            <v>0.09</v>
          </cell>
          <cell r="J29">
            <v>8.0576923076923102E-2</v>
          </cell>
          <cell r="K29">
            <v>3.3642857142857099E-2</v>
          </cell>
          <cell r="L29">
            <v>2.9642857142857099E-2</v>
          </cell>
          <cell r="M29">
            <v>2.8928571428571401E-2</v>
          </cell>
          <cell r="N29">
            <v>2</v>
          </cell>
          <cell r="O29">
            <v>12</v>
          </cell>
          <cell r="P29">
            <v>5.75</v>
          </cell>
        </row>
        <row r="30">
          <cell r="A30" t="str">
            <v>Urban Office C</v>
          </cell>
          <cell r="B30">
            <v>6.5000000000000002E-2</v>
          </cell>
          <cell r="C30">
            <v>0.1</v>
          </cell>
          <cell r="D30">
            <v>8.20833333333333E-2</v>
          </cell>
          <cell r="E30">
            <v>7.4999999999999997E-2</v>
          </cell>
          <cell r="F30">
            <v>0.105</v>
          </cell>
          <cell r="G30">
            <v>0.09</v>
          </cell>
          <cell r="H30">
            <v>8.5000000000000006E-2</v>
          </cell>
          <cell r="I30">
            <v>0.1075</v>
          </cell>
          <cell r="J30">
            <v>9.5625000000000002E-2</v>
          </cell>
          <cell r="K30">
            <v>3.4000000000000002E-2</v>
          </cell>
          <cell r="L30">
            <v>2.9000000000000001E-2</v>
          </cell>
          <cell r="M30">
            <v>2.9000000000000001E-2</v>
          </cell>
          <cell r="N30">
            <v>2</v>
          </cell>
          <cell r="O30">
            <v>6</v>
          </cell>
          <cell r="P30">
            <v>5</v>
          </cell>
        </row>
        <row r="31">
          <cell r="A31" t="str">
            <v>Regional Malls A</v>
          </cell>
          <cell r="B31">
            <v>0.05</v>
          </cell>
          <cell r="C31">
            <v>8.5000000000000006E-2</v>
          </cell>
          <cell r="D31">
            <v>6.2649999999999997E-2</v>
          </cell>
          <cell r="E31">
            <v>0.06</v>
          </cell>
          <cell r="F31">
            <v>0.09</v>
          </cell>
          <cell r="G31">
            <v>6.9250000000000006E-2</v>
          </cell>
          <cell r="H31">
            <v>6.5000000000000002E-2</v>
          </cell>
          <cell r="I31">
            <v>0.09</v>
          </cell>
          <cell r="J31">
            <v>7.6749999999999999E-2</v>
          </cell>
          <cell r="K31">
            <v>3.3444444444444402E-2</v>
          </cell>
          <cell r="L31">
            <v>2.9444444444444402E-2</v>
          </cell>
          <cell r="M31">
            <v>2.8888888888888901E-2</v>
          </cell>
          <cell r="N31">
            <v>1</v>
          </cell>
          <cell r="O31">
            <v>12</v>
          </cell>
          <cell r="P31">
            <v>6.5</v>
          </cell>
        </row>
        <row r="32">
          <cell r="A32" t="str">
            <v>Regional Malls B</v>
          </cell>
          <cell r="B32">
            <v>0.06</v>
          </cell>
          <cell r="C32">
            <v>8.2500000000000004E-2</v>
          </cell>
          <cell r="D32">
            <v>6.7916666666666695E-2</v>
          </cell>
          <cell r="E32">
            <v>6.7500000000000004E-2</v>
          </cell>
          <cell r="F32">
            <v>8.5000000000000006E-2</v>
          </cell>
          <cell r="G32">
            <v>7.41666666666667E-2</v>
          </cell>
          <cell r="H32">
            <v>7.4999999999999997E-2</v>
          </cell>
          <cell r="I32">
            <v>8.6999999999999994E-2</v>
          </cell>
          <cell r="J32">
            <v>8.1125000000000003E-2</v>
          </cell>
          <cell r="K32">
            <v>3.04E-2</v>
          </cell>
          <cell r="L32">
            <v>2.9000000000000001E-2</v>
          </cell>
          <cell r="M32">
            <v>2.8000000000000001E-2</v>
          </cell>
          <cell r="N32">
            <v>1</v>
          </cell>
          <cell r="O32">
            <v>6</v>
          </cell>
          <cell r="P32">
            <v>4.75</v>
          </cell>
        </row>
        <row r="33">
          <cell r="A33" t="str">
            <v>Regional Malls C</v>
          </cell>
          <cell r="B33">
            <v>7.0000000000000007E-2</v>
          </cell>
          <cell r="C33">
            <v>8.5000000000000006E-2</v>
          </cell>
          <cell r="D33">
            <v>7.6666666666666702E-2</v>
          </cell>
          <cell r="E33">
            <v>7.4999999999999997E-2</v>
          </cell>
          <cell r="F33">
            <v>0.09</v>
          </cell>
          <cell r="G33">
            <v>8.2916666666666694E-2</v>
          </cell>
          <cell r="H33">
            <v>0.08</v>
          </cell>
          <cell r="I33">
            <v>0.09</v>
          </cell>
          <cell r="J33">
            <v>8.7499999999999994E-2</v>
          </cell>
          <cell r="K33">
            <v>2.8199999999999999E-2</v>
          </cell>
          <cell r="L33">
            <v>2.9000000000000001E-2</v>
          </cell>
          <cell r="M33">
            <v>2.8000000000000001E-2</v>
          </cell>
          <cell r="N33">
            <v>2</v>
          </cell>
          <cell r="O33">
            <v>9</v>
          </cell>
          <cell r="P33">
            <v>6.5</v>
          </cell>
        </row>
        <row r="34">
          <cell r="A34" t="str">
            <v>Power Centers A</v>
          </cell>
          <cell r="B34">
            <v>5.5E-2</v>
          </cell>
          <cell r="C34">
            <v>7.7499999999999999E-2</v>
          </cell>
          <cell r="D34">
            <v>6.3899999999999998E-2</v>
          </cell>
          <cell r="E34">
            <v>6.25E-2</v>
          </cell>
          <cell r="F34">
            <v>0.08</v>
          </cell>
          <cell r="G34">
            <v>7.0000000000000007E-2</v>
          </cell>
          <cell r="H34">
            <v>7.0000000000000007E-2</v>
          </cell>
          <cell r="I34">
            <v>8.7499999999999994E-2</v>
          </cell>
          <cell r="J34">
            <v>7.7785714285714305E-2</v>
          </cell>
          <cell r="K34">
            <v>3.2444444444444401E-2</v>
          </cell>
          <cell r="L34">
            <v>2.9444444444444402E-2</v>
          </cell>
          <cell r="M34">
            <v>2.8888888888888901E-2</v>
          </cell>
          <cell r="N34">
            <v>1</v>
          </cell>
          <cell r="O34">
            <v>6</v>
          </cell>
          <cell r="P34">
            <v>4.5714285714285712</v>
          </cell>
        </row>
        <row r="35">
          <cell r="A35" t="str">
            <v>Power Centers B</v>
          </cell>
          <cell r="B35">
            <v>6.25E-2</v>
          </cell>
          <cell r="C35">
            <v>0.08</v>
          </cell>
          <cell r="D35">
            <v>7.0833333333333304E-2</v>
          </cell>
          <cell r="E35">
            <v>6.7500000000000004E-2</v>
          </cell>
          <cell r="F35">
            <v>8.5000000000000006E-2</v>
          </cell>
          <cell r="G35">
            <v>7.5937500000000005E-2</v>
          </cell>
          <cell r="H35">
            <v>0.08</v>
          </cell>
          <cell r="I35">
            <v>9.2499999999999999E-2</v>
          </cell>
          <cell r="J35">
            <v>8.6400000000000005E-2</v>
          </cell>
          <cell r="K35">
            <v>3.0249999999999999E-2</v>
          </cell>
          <cell r="L35">
            <v>2.9374999999999998E-2</v>
          </cell>
          <cell r="M35">
            <v>2.8750000000000001E-2</v>
          </cell>
          <cell r="N35">
            <v>1</v>
          </cell>
          <cell r="O35">
            <v>6</v>
          </cell>
          <cell r="P35">
            <v>4.333333333333333</v>
          </cell>
        </row>
        <row r="36">
          <cell r="A36" t="str">
            <v>Power Centers C</v>
          </cell>
          <cell r="B36">
            <v>7.0000000000000007E-2</v>
          </cell>
          <cell r="C36">
            <v>0.09</v>
          </cell>
          <cell r="D36">
            <v>8.1562499999999996E-2</v>
          </cell>
          <cell r="E36">
            <v>7.4999999999999997E-2</v>
          </cell>
          <cell r="F36">
            <v>9.5000000000000001E-2</v>
          </cell>
          <cell r="G36">
            <v>8.7142857142857105E-2</v>
          </cell>
          <cell r="H36">
            <v>0.08</v>
          </cell>
          <cell r="I36">
            <v>0.1075</v>
          </cell>
          <cell r="J36">
            <v>9.35E-2</v>
          </cell>
          <cell r="K36">
            <v>2.8142857142857101E-2</v>
          </cell>
          <cell r="L36">
            <v>2.92857142857143E-2</v>
          </cell>
          <cell r="M36">
            <v>2.8571428571428598E-2</v>
          </cell>
          <cell r="N36">
            <v>1</v>
          </cell>
          <cell r="O36">
            <v>9</v>
          </cell>
          <cell r="P36">
            <v>5.4</v>
          </cell>
        </row>
        <row r="37">
          <cell r="A37" t="str">
            <v>Community Centers A</v>
          </cell>
          <cell r="B37">
            <v>0.06</v>
          </cell>
          <cell r="C37">
            <v>0.08</v>
          </cell>
          <cell r="D37">
            <v>6.7076923076923103E-2</v>
          </cell>
          <cell r="E37">
            <v>6.5000000000000002E-2</v>
          </cell>
          <cell r="F37">
            <v>8.5000000000000006E-2</v>
          </cell>
          <cell r="G37">
            <v>7.2208333333333305E-2</v>
          </cell>
          <cell r="H37">
            <v>7.0000000000000007E-2</v>
          </cell>
          <cell r="I37">
            <v>0.09</v>
          </cell>
          <cell r="J37">
            <v>7.9450000000000007E-2</v>
          </cell>
          <cell r="K37">
            <v>3.0583333333333299E-2</v>
          </cell>
          <cell r="L37">
            <v>2.9583333333333298E-2</v>
          </cell>
          <cell r="M37">
            <v>2.9166666666666698E-2</v>
          </cell>
          <cell r="N37">
            <v>1</v>
          </cell>
          <cell r="O37">
            <v>12</v>
          </cell>
          <cell r="P37">
            <v>6.4</v>
          </cell>
        </row>
        <row r="38">
          <cell r="A38" t="str">
            <v>Community Centers B</v>
          </cell>
          <cell r="B38">
            <v>6.5000000000000002E-2</v>
          </cell>
          <cell r="C38">
            <v>7.4999999999999997E-2</v>
          </cell>
          <cell r="D38">
            <v>7.0777777777777801E-2</v>
          </cell>
          <cell r="E38">
            <v>7.0000000000000007E-2</v>
          </cell>
          <cell r="F38">
            <v>8.5000000000000006E-2</v>
          </cell>
          <cell r="G38">
            <v>7.6187500000000005E-2</v>
          </cell>
          <cell r="H38">
            <v>7.7499999999999999E-2</v>
          </cell>
          <cell r="I38">
            <v>9.5000000000000001E-2</v>
          </cell>
          <cell r="J38">
            <v>8.5357142857142895E-2</v>
          </cell>
          <cell r="K38">
            <v>3.0222222222222199E-2</v>
          </cell>
          <cell r="L38">
            <v>2.9444444444444402E-2</v>
          </cell>
          <cell r="M38">
            <v>2.8888888888888901E-2</v>
          </cell>
          <cell r="N38">
            <v>1</v>
          </cell>
          <cell r="O38">
            <v>6</v>
          </cell>
          <cell r="P38">
            <v>4.8571428571428568</v>
          </cell>
        </row>
        <row r="39">
          <cell r="A39" t="str">
            <v>Community Centers C</v>
          </cell>
          <cell r="B39">
            <v>7.6999999999999999E-2</v>
          </cell>
          <cell r="C39">
            <v>9.2499999999999999E-2</v>
          </cell>
          <cell r="D39">
            <v>8.5999999999999993E-2</v>
          </cell>
          <cell r="E39">
            <v>8.2000000000000003E-2</v>
          </cell>
          <cell r="F39">
            <v>0.1</v>
          </cell>
          <cell r="G39">
            <v>9.325E-2</v>
          </cell>
          <cell r="H39">
            <v>9.5000000000000001E-2</v>
          </cell>
          <cell r="I39">
            <v>0.11</v>
          </cell>
          <cell r="J39">
            <v>0.1</v>
          </cell>
          <cell r="K39">
            <v>2.75E-2</v>
          </cell>
          <cell r="L39">
            <v>2.9166666666666698E-2</v>
          </cell>
          <cell r="M39">
            <v>2.8333333333333301E-2</v>
          </cell>
          <cell r="N39">
            <v>2</v>
          </cell>
          <cell r="O39">
            <v>9</v>
          </cell>
          <cell r="P39">
            <v>5.25</v>
          </cell>
        </row>
        <row r="40">
          <cell r="A40" t="str">
            <v>Neighborhood Centers A</v>
          </cell>
          <cell r="B40">
            <v>5.2499999999999998E-2</v>
          </cell>
          <cell r="C40">
            <v>7.4999999999999997E-2</v>
          </cell>
          <cell r="D40">
            <v>6.3785714285714307E-2</v>
          </cell>
          <cell r="E40">
            <v>6.5000000000000002E-2</v>
          </cell>
          <cell r="F40">
            <v>7.7499999999999999E-2</v>
          </cell>
          <cell r="G40">
            <v>6.9653846153846205E-2</v>
          </cell>
          <cell r="H40">
            <v>6.7500000000000004E-2</v>
          </cell>
          <cell r="I40">
            <v>9.5000000000000001E-2</v>
          </cell>
          <cell r="J40">
            <v>7.9000000000000001E-2</v>
          </cell>
          <cell r="K40">
            <v>2.9428571428571401E-2</v>
          </cell>
          <cell r="L40">
            <v>2.9642857142857099E-2</v>
          </cell>
          <cell r="M40">
            <v>2.92857142857143E-2</v>
          </cell>
          <cell r="N40">
            <v>1</v>
          </cell>
          <cell r="O40">
            <v>12</v>
          </cell>
          <cell r="P40">
            <v>6.2</v>
          </cell>
        </row>
        <row r="41">
          <cell r="A41" t="str">
            <v>Neighborhood Centers B</v>
          </cell>
          <cell r="B41">
            <v>7.0000000000000007E-2</v>
          </cell>
          <cell r="C41">
            <v>8.2500000000000004E-2</v>
          </cell>
          <cell r="D41">
            <v>7.4749999999999997E-2</v>
          </cell>
          <cell r="E41">
            <v>7.4999999999999997E-2</v>
          </cell>
          <cell r="F41">
            <v>8.7499999999999994E-2</v>
          </cell>
          <cell r="G41">
            <v>8.0277777777777795E-2</v>
          </cell>
          <cell r="H41">
            <v>0.08</v>
          </cell>
          <cell r="I41">
            <v>0.1075</v>
          </cell>
          <cell r="J41">
            <v>9.0999999999999998E-2</v>
          </cell>
          <cell r="K41">
            <v>2.65555555555556E-2</v>
          </cell>
          <cell r="L41">
            <v>2.72222222222222E-2</v>
          </cell>
          <cell r="M41">
            <v>2.7777777777777801E-2</v>
          </cell>
          <cell r="N41">
            <v>1</v>
          </cell>
          <cell r="O41">
            <v>9</v>
          </cell>
          <cell r="P41">
            <v>5.4285714285714288</v>
          </cell>
        </row>
        <row r="42">
          <cell r="A42" t="str">
            <v>Neighborhood Centers C</v>
          </cell>
          <cell r="B42">
            <v>0.08</v>
          </cell>
          <cell r="C42">
            <v>0.1</v>
          </cell>
          <cell r="D42">
            <v>8.8214285714285703E-2</v>
          </cell>
          <cell r="E42">
            <v>8.5000000000000006E-2</v>
          </cell>
          <cell r="F42">
            <v>0.11</v>
          </cell>
          <cell r="G42">
            <v>9.5833333333333298E-2</v>
          </cell>
          <cell r="H42">
            <v>9.5000000000000001E-2</v>
          </cell>
          <cell r="I42">
            <v>0.115</v>
          </cell>
          <cell r="J42">
            <v>0.10249999999999999</v>
          </cell>
          <cell r="K42">
            <v>2.75E-2</v>
          </cell>
          <cell r="L42">
            <v>2.9166666666666698E-2</v>
          </cell>
          <cell r="M42">
            <v>2.8333333333333301E-2</v>
          </cell>
          <cell r="N42">
            <v>2</v>
          </cell>
          <cell r="O42">
            <v>9</v>
          </cell>
          <cell r="P42">
            <v>5</v>
          </cell>
        </row>
        <row r="43">
          <cell r="A43" t="str">
            <v>Strip Centers A</v>
          </cell>
          <cell r="B43">
            <v>0.06</v>
          </cell>
          <cell r="C43">
            <v>7.7499999999999999E-2</v>
          </cell>
          <cell r="D43">
            <v>6.8750000000000006E-2</v>
          </cell>
          <cell r="E43">
            <v>6.5000000000000002E-2</v>
          </cell>
          <cell r="F43">
            <v>8.7499999999999994E-2</v>
          </cell>
          <cell r="G43">
            <v>7.41666666666667E-2</v>
          </cell>
          <cell r="H43">
            <v>7.0000000000000007E-2</v>
          </cell>
          <cell r="I43">
            <v>9.5000000000000001E-2</v>
          </cell>
          <cell r="J43">
            <v>8.1562499999999996E-2</v>
          </cell>
          <cell r="K43">
            <v>2.75E-2</v>
          </cell>
          <cell r="L43">
            <v>2.9000000000000001E-2</v>
          </cell>
          <cell r="M43">
            <v>2.9000000000000001E-2</v>
          </cell>
          <cell r="N43">
            <v>1</v>
          </cell>
          <cell r="O43">
            <v>12</v>
          </cell>
          <cell r="P43">
            <v>6.7222222222222223</v>
          </cell>
        </row>
        <row r="44">
          <cell r="A44" t="str">
            <v>Strip Centers B</v>
          </cell>
          <cell r="B44">
            <v>7.0000000000000007E-2</v>
          </cell>
          <cell r="C44">
            <v>8.2500000000000004E-2</v>
          </cell>
          <cell r="D44">
            <v>7.5416666666666701E-2</v>
          </cell>
          <cell r="E44">
            <v>7.4999999999999997E-2</v>
          </cell>
          <cell r="F44">
            <v>9.2499999999999999E-2</v>
          </cell>
          <cell r="G44">
            <v>8.1500000000000003E-2</v>
          </cell>
          <cell r="H44">
            <v>0.08</v>
          </cell>
          <cell r="I44">
            <v>0.1</v>
          </cell>
          <cell r="J44">
            <v>8.8749999999999996E-2</v>
          </cell>
          <cell r="K44">
            <v>3.0833333333333299E-2</v>
          </cell>
          <cell r="L44">
            <v>2.9166666666666698E-2</v>
          </cell>
          <cell r="M44">
            <v>2.9166666666666698E-2</v>
          </cell>
          <cell r="N44">
            <v>1</v>
          </cell>
          <cell r="O44">
            <v>9</v>
          </cell>
          <cell r="P44">
            <v>5.2</v>
          </cell>
        </row>
        <row r="45">
          <cell r="A45" t="str">
            <v>Strip Centers C</v>
          </cell>
          <cell r="B45">
            <v>0.08</v>
          </cell>
          <cell r="C45">
            <v>0.1</v>
          </cell>
          <cell r="D45">
            <v>8.8214285714285703E-2</v>
          </cell>
          <cell r="E45">
            <v>8.5000000000000006E-2</v>
          </cell>
          <cell r="F45">
            <v>0.11</v>
          </cell>
          <cell r="G45">
            <v>9.5833333333333298E-2</v>
          </cell>
          <cell r="H45">
            <v>8.5000000000000006E-2</v>
          </cell>
          <cell r="I45">
            <v>0.115</v>
          </cell>
          <cell r="J45">
            <v>9.8750000000000004E-2</v>
          </cell>
          <cell r="K45">
            <v>3.0833333333333299E-2</v>
          </cell>
          <cell r="L45">
            <v>2.9166666666666698E-2</v>
          </cell>
          <cell r="M45">
            <v>2.9166666666666698E-2</v>
          </cell>
          <cell r="N45">
            <v>2</v>
          </cell>
          <cell r="O45">
            <v>12</v>
          </cell>
          <cell r="P45">
            <v>7</v>
          </cell>
        </row>
        <row r="46">
          <cell r="A46" t="str">
            <v>Hotels A</v>
          </cell>
          <cell r="B46">
            <v>0.05</v>
          </cell>
          <cell r="C46">
            <v>8.5000000000000006E-2</v>
          </cell>
          <cell r="D46">
            <v>6.6875000000000004E-2</v>
          </cell>
          <cell r="E46">
            <v>5.5E-2</v>
          </cell>
          <cell r="F46">
            <v>0.1</v>
          </cell>
          <cell r="G46">
            <v>7.4749999999999997E-2</v>
          </cell>
          <cell r="H46">
            <v>0.08</v>
          </cell>
          <cell r="I46">
            <v>0.12</v>
          </cell>
          <cell r="J46">
            <v>9.9642857142857102E-2</v>
          </cell>
          <cell r="K46">
            <v>3.4866666666666699E-2</v>
          </cell>
          <cell r="L46">
            <v>2.9333333333333302E-2</v>
          </cell>
          <cell r="M46">
            <v>2.9000000000000001E-2</v>
          </cell>
          <cell r="N46">
            <v>1</v>
          </cell>
          <cell r="O46">
            <v>12</v>
          </cell>
          <cell r="P46">
            <v>6.833333333333333</v>
          </cell>
        </row>
        <row r="47">
          <cell r="A47" t="str">
            <v>Hotels B</v>
          </cell>
          <cell r="B47">
            <v>7.0000000000000007E-2</v>
          </cell>
          <cell r="C47">
            <v>9.7500000000000003E-2</v>
          </cell>
          <cell r="D47">
            <v>8.1684210526315804E-2</v>
          </cell>
          <cell r="E47">
            <v>7.4999999999999997E-2</v>
          </cell>
          <cell r="F47">
            <v>0.105</v>
          </cell>
          <cell r="G47">
            <v>8.9026315789473703E-2</v>
          </cell>
          <cell r="H47">
            <v>0.09</v>
          </cell>
          <cell r="I47">
            <v>0.125</v>
          </cell>
          <cell r="J47">
            <v>0.11</v>
          </cell>
          <cell r="K47">
            <v>3.4333333333333299E-2</v>
          </cell>
          <cell r="L47">
            <v>0.03</v>
          </cell>
          <cell r="M47">
            <v>2.9722222222222199E-2</v>
          </cell>
          <cell r="N47">
            <v>1</v>
          </cell>
          <cell r="O47">
            <v>12</v>
          </cell>
          <cell r="P47">
            <v>7.6470588235294121</v>
          </cell>
        </row>
        <row r="48">
          <cell r="A48" t="str">
            <v>Hotels C</v>
          </cell>
          <cell r="B48">
            <v>0.08</v>
          </cell>
          <cell r="C48">
            <v>0.11</v>
          </cell>
          <cell r="D48">
            <v>9.1249999999999998E-2</v>
          </cell>
          <cell r="E48">
            <v>8.5000000000000006E-2</v>
          </cell>
          <cell r="F48">
            <v>0.12</v>
          </cell>
          <cell r="G48">
            <v>9.8750000000000004E-2</v>
          </cell>
          <cell r="H48">
            <v>0.1</v>
          </cell>
          <cell r="I48">
            <v>0.105</v>
          </cell>
          <cell r="J48">
            <v>0.10249999999999999</v>
          </cell>
          <cell r="K48">
            <v>2.8333333333333301E-2</v>
          </cell>
          <cell r="L48">
            <v>2.8333333333333301E-2</v>
          </cell>
          <cell r="M48">
            <v>2.66666666666667E-2</v>
          </cell>
          <cell r="N48">
            <v>2</v>
          </cell>
          <cell r="O48">
            <v>6</v>
          </cell>
          <cell r="P48">
            <v>4</v>
          </cell>
        </row>
        <row r="49">
          <cell r="A49" t="str">
            <v>All Responses A</v>
          </cell>
          <cell r="B49">
            <v>0.04</v>
          </cell>
          <cell r="C49">
            <v>8.5000000000000006E-2</v>
          </cell>
          <cell r="D49">
            <v>6.3599263700872405E-2</v>
          </cell>
          <cell r="E49">
            <v>0.05</v>
          </cell>
          <cell r="F49">
            <v>0.1</v>
          </cell>
          <cell r="G49">
            <v>7.0445878908531101E-2</v>
          </cell>
          <cell r="H49">
            <v>0.06</v>
          </cell>
          <cell r="I49">
            <v>0.12</v>
          </cell>
          <cell r="J49">
            <v>8.0270364044168402E-2</v>
          </cell>
          <cell r="K49">
            <v>3.2363071558071603E-2</v>
          </cell>
          <cell r="L49">
            <v>2.9335682835682799E-2</v>
          </cell>
          <cell r="M49">
            <v>2.9037838087838101E-2</v>
          </cell>
          <cell r="N49">
            <v>1</v>
          </cell>
          <cell r="O49">
            <v>12</v>
          </cell>
          <cell r="P49">
            <v>5.8998460798460801</v>
          </cell>
        </row>
        <row r="50">
          <cell r="A50" t="str">
            <v>All Responses B</v>
          </cell>
          <cell r="B50">
            <v>0.05</v>
          </cell>
          <cell r="C50">
            <v>9.7500000000000003E-2</v>
          </cell>
          <cell r="D50">
            <v>7.1489978513202199E-2</v>
          </cell>
          <cell r="E50">
            <v>5.5E-2</v>
          </cell>
          <cell r="F50">
            <v>0.105</v>
          </cell>
          <cell r="G50">
            <v>7.7672257031467601E-2</v>
          </cell>
          <cell r="H50">
            <v>6.5000000000000002E-2</v>
          </cell>
          <cell r="I50">
            <v>0.125</v>
          </cell>
          <cell r="J50">
            <v>8.7656265771265798E-2</v>
          </cell>
          <cell r="K50">
            <v>3.0873597883597899E-2</v>
          </cell>
          <cell r="L50">
            <v>2.9053042328042299E-2</v>
          </cell>
          <cell r="M50">
            <v>2.8697089947089902E-2</v>
          </cell>
          <cell r="N50">
            <v>1</v>
          </cell>
          <cell r="O50">
            <v>12</v>
          </cell>
          <cell r="P50">
            <v>5.5345902463549521</v>
          </cell>
        </row>
        <row r="51">
          <cell r="A51" t="str">
            <v>All Responses C</v>
          </cell>
          <cell r="B51">
            <v>0.06</v>
          </cell>
          <cell r="C51">
            <v>0.11</v>
          </cell>
          <cell r="D51">
            <v>8.2844246031746005E-2</v>
          </cell>
          <cell r="E51">
            <v>7.0000000000000007E-2</v>
          </cell>
          <cell r="F51">
            <v>0.12</v>
          </cell>
          <cell r="G51">
            <v>8.94540476190476E-2</v>
          </cell>
          <cell r="H51">
            <v>7.4999999999999997E-2</v>
          </cell>
          <cell r="I51">
            <v>0.12</v>
          </cell>
          <cell r="J51">
            <v>9.6641666666666695E-2</v>
          </cell>
          <cell r="K51">
            <v>2.9977301587301601E-2</v>
          </cell>
          <cell r="L51">
            <v>2.9157936507936501E-2</v>
          </cell>
          <cell r="M51">
            <v>2.86325396825397E-2</v>
          </cell>
          <cell r="N51">
            <v>1</v>
          </cell>
          <cell r="O51">
            <v>12</v>
          </cell>
          <cell r="P51">
            <v>5.9155555555555557</v>
          </cell>
        </row>
        <row r="52">
          <cell r="A52" t="str">
            <v>Korpacz (2nd Qtr. 2008)</v>
          </cell>
          <cell r="B52" t="str">
            <v>---</v>
          </cell>
          <cell r="C52" t="str">
            <v>---</v>
          </cell>
          <cell r="D52" t="str">
            <v>---</v>
          </cell>
          <cell r="E52" t="str">
            <v>---</v>
          </cell>
          <cell r="F52" t="str">
            <v>---</v>
          </cell>
          <cell r="G52" t="str">
            <v>---</v>
          </cell>
          <cell r="H52" t="str">
            <v>---</v>
          </cell>
          <cell r="I52" t="str">
            <v>---</v>
          </cell>
          <cell r="J52" t="str">
            <v>---</v>
          </cell>
          <cell r="K52" t="str">
            <v>---</v>
          </cell>
          <cell r="L52" t="str">
            <v>---</v>
          </cell>
          <cell r="M52" t="str">
            <v>---</v>
          </cell>
          <cell r="N52" t="str">
            <v>---</v>
          </cell>
          <cell r="O52" t="str">
            <v>---</v>
          </cell>
          <cell r="P52" t="str">
            <v>---</v>
          </cell>
        </row>
        <row r="53">
          <cell r="A53" t="str">
            <v>Regional Mall</v>
          </cell>
          <cell r="B53">
            <v>0.05</v>
          </cell>
          <cell r="C53">
            <v>9.5000000000000001E-2</v>
          </cell>
          <cell r="D53">
            <v>6.7100000000000007E-2</v>
          </cell>
          <cell r="E53">
            <v>0.06</v>
          </cell>
          <cell r="F53">
            <v>0.1</v>
          </cell>
          <cell r="G53">
            <v>7.3800000000000004E-2</v>
          </cell>
          <cell r="H53">
            <v>7.0000000000000007E-2</v>
          </cell>
          <cell r="I53">
            <v>0.11</v>
          </cell>
          <cell r="J53">
            <v>8.7300000000000003E-2</v>
          </cell>
          <cell r="K53">
            <v>2.63E-2</v>
          </cell>
          <cell r="L53">
            <v>0.03</v>
          </cell>
          <cell r="M53" t="str">
            <v>---</v>
          </cell>
          <cell r="N53">
            <v>3</v>
          </cell>
          <cell r="O53">
            <v>12</v>
          </cell>
          <cell r="P53">
            <v>6.75</v>
          </cell>
        </row>
        <row r="54">
          <cell r="A54" t="str">
            <v>Power Center</v>
          </cell>
          <cell r="B54">
            <v>5.7500000000000002E-2</v>
          </cell>
          <cell r="C54">
            <v>0.09</v>
          </cell>
          <cell r="D54">
            <v>7.17E-2</v>
          </cell>
          <cell r="E54">
            <v>6.5000000000000002E-2</v>
          </cell>
          <cell r="F54">
            <v>9.5000000000000001E-2</v>
          </cell>
          <cell r="G54">
            <v>7.6700000000000004E-2</v>
          </cell>
          <cell r="H54">
            <v>7.0000000000000007E-2</v>
          </cell>
          <cell r="I54">
            <v>0.115</v>
          </cell>
          <cell r="J54">
            <v>8.3900000000000002E-2</v>
          </cell>
          <cell r="K54">
            <v>2.4400000000000002E-2</v>
          </cell>
          <cell r="L54">
            <v>3.1300000000000001E-2</v>
          </cell>
          <cell r="M54" t="str">
            <v>---</v>
          </cell>
          <cell r="N54">
            <v>3</v>
          </cell>
          <cell r="O54">
            <v>9</v>
          </cell>
          <cell r="P54">
            <v>5.56</v>
          </cell>
        </row>
        <row r="55">
          <cell r="A55" t="str">
            <v>Strip Shopping Center</v>
          </cell>
          <cell r="B55">
            <v>5.8000000000000003E-2</v>
          </cell>
          <cell r="C55">
            <v>0.09</v>
          </cell>
          <cell r="D55">
            <v>7.3200000000000001E-2</v>
          </cell>
          <cell r="E55">
            <v>0.06</v>
          </cell>
          <cell r="F55">
            <v>0.1</v>
          </cell>
          <cell r="G55">
            <v>7.85E-2</v>
          </cell>
          <cell r="H55">
            <v>0.06</v>
          </cell>
          <cell r="I55">
            <v>0.1</v>
          </cell>
          <cell r="J55">
            <v>8.3900000000000002E-2</v>
          </cell>
          <cell r="K55">
            <v>2.81E-2</v>
          </cell>
          <cell r="L55">
            <v>3.1E-2</v>
          </cell>
          <cell r="M55" t="str">
            <v>---</v>
          </cell>
          <cell r="N55">
            <v>2</v>
          </cell>
          <cell r="O55">
            <v>12</v>
          </cell>
          <cell r="P55">
            <v>6.1</v>
          </cell>
        </row>
        <row r="56">
          <cell r="A56" t="str">
            <v>CBD Office</v>
          </cell>
          <cell r="B56">
            <v>4.4999999999999998E-2</v>
          </cell>
          <cell r="C56">
            <v>0.1</v>
          </cell>
          <cell r="D56">
            <v>6.6799999999999998E-2</v>
          </cell>
          <cell r="E56">
            <v>0.06</v>
          </cell>
          <cell r="F56">
            <v>0.1</v>
          </cell>
          <cell r="G56">
            <v>7.5300000000000006E-2</v>
          </cell>
          <cell r="H56">
            <v>0.06</v>
          </cell>
          <cell r="I56">
            <v>0.11</v>
          </cell>
          <cell r="J56">
            <v>8.0399999999999999E-2</v>
          </cell>
          <cell r="K56">
            <v>3.6400000000000002E-2</v>
          </cell>
          <cell r="L56">
            <v>2.8899999999999999E-2</v>
          </cell>
          <cell r="M56" t="str">
            <v>---</v>
          </cell>
          <cell r="N56">
            <v>2</v>
          </cell>
          <cell r="O56">
            <v>12</v>
          </cell>
          <cell r="P56">
            <v>6.13</v>
          </cell>
        </row>
        <row r="57">
          <cell r="A57" t="str">
            <v>Suburban Office</v>
          </cell>
          <cell r="B57">
            <v>0.05</v>
          </cell>
          <cell r="C57">
            <v>0.105</v>
          </cell>
          <cell r="D57">
            <v>7.2800000000000004E-2</v>
          </cell>
          <cell r="E57">
            <v>0.06</v>
          </cell>
          <cell r="F57">
            <v>0.11</v>
          </cell>
          <cell r="G57">
            <v>7.9399999999999998E-2</v>
          </cell>
          <cell r="H57">
            <v>7.0000000000000007E-2</v>
          </cell>
          <cell r="I57">
            <v>0.125</v>
          </cell>
          <cell r="J57">
            <v>8.9300000000000004E-2</v>
          </cell>
          <cell r="K57">
            <v>2.58E-2</v>
          </cell>
          <cell r="L57">
            <v>3.0200000000000001E-2</v>
          </cell>
          <cell r="M57" t="str">
            <v>---</v>
          </cell>
          <cell r="N57">
            <v>2</v>
          </cell>
          <cell r="O57">
            <v>9</v>
          </cell>
          <cell r="P57">
            <v>6.13</v>
          </cell>
        </row>
        <row r="58">
          <cell r="A58" t="str">
            <v>Flex/R&amp;D</v>
          </cell>
          <cell r="B58">
            <v>5.5E-2</v>
          </cell>
          <cell r="C58">
            <v>9.2499999999999999E-2</v>
          </cell>
          <cell r="D58">
            <v>7.6799999999999993E-2</v>
          </cell>
          <cell r="E58">
            <v>7.0000000000000007E-2</v>
          </cell>
          <cell r="F58">
            <v>0.105</v>
          </cell>
          <cell r="G58">
            <v>8.2000000000000003E-2</v>
          </cell>
          <cell r="H58">
            <v>6.7500000000000004E-2</v>
          </cell>
          <cell r="I58">
            <v>0.1</v>
          </cell>
          <cell r="J58">
            <v>8.6099999999999996E-2</v>
          </cell>
          <cell r="K58">
            <v>2.7E-2</v>
          </cell>
          <cell r="L58">
            <v>2.9499999999999998E-2</v>
          </cell>
          <cell r="M58" t="str">
            <v>---</v>
          </cell>
          <cell r="N58">
            <v>3</v>
          </cell>
          <cell r="O58">
            <v>18</v>
          </cell>
          <cell r="P58">
            <v>6.33</v>
          </cell>
        </row>
        <row r="59">
          <cell r="A59" t="str">
            <v>Warehouse</v>
          </cell>
          <cell r="B59">
            <v>0.05</v>
          </cell>
          <cell r="C59">
            <v>8.5000000000000006E-2</v>
          </cell>
          <cell r="D59">
            <v>6.5600000000000006E-2</v>
          </cell>
          <cell r="E59">
            <v>5.5E-2</v>
          </cell>
          <cell r="F59">
            <v>8.5000000000000006E-2</v>
          </cell>
          <cell r="G59">
            <v>7.1800000000000003E-2</v>
          </cell>
          <cell r="H59">
            <v>5.5E-2</v>
          </cell>
          <cell r="I59">
            <v>0.1</v>
          </cell>
          <cell r="J59">
            <v>7.6799999999999993E-2</v>
          </cell>
          <cell r="K59">
            <v>2.9399999999999999E-2</v>
          </cell>
          <cell r="L59">
            <v>0.03</v>
          </cell>
          <cell r="M59" t="str">
            <v>---</v>
          </cell>
          <cell r="N59">
            <v>1</v>
          </cell>
          <cell r="O59">
            <v>12</v>
          </cell>
          <cell r="P59">
            <v>5.75</v>
          </cell>
        </row>
        <row r="60">
          <cell r="A60" t="str">
            <v>Apartment</v>
          </cell>
          <cell r="B60">
            <v>3.5000000000000003E-2</v>
          </cell>
          <cell r="C60">
            <v>0.08</v>
          </cell>
          <cell r="D60">
            <v>5.7500000000000002E-2</v>
          </cell>
          <cell r="E60">
            <v>4.4999999999999998E-2</v>
          </cell>
          <cell r="F60">
            <v>8.5000000000000006E-2</v>
          </cell>
          <cell r="G60">
            <v>6.6900000000000001E-2</v>
          </cell>
          <cell r="H60">
            <v>0.06</v>
          </cell>
          <cell r="I60">
            <v>0.105</v>
          </cell>
          <cell r="J60">
            <v>8.1600000000000006E-2</v>
          </cell>
          <cell r="K60">
            <v>3.1699999999999999E-2</v>
          </cell>
          <cell r="L60">
            <v>2.92E-2</v>
          </cell>
          <cell r="M60" t="str">
            <v>---</v>
          </cell>
          <cell r="N60">
            <v>1</v>
          </cell>
          <cell r="O60">
            <v>12</v>
          </cell>
          <cell r="P60">
            <v>6</v>
          </cell>
        </row>
        <row r="61">
          <cell r="A61" t="str">
            <v>Net Lease</v>
          </cell>
          <cell r="B61">
            <v>0.06</v>
          </cell>
          <cell r="C61">
            <v>0.1</v>
          </cell>
          <cell r="D61">
            <v>7.6300000000000007E-2</v>
          </cell>
          <cell r="E61">
            <v>7.0000000000000007E-2</v>
          </cell>
          <cell r="F61">
            <v>0.1</v>
          </cell>
          <cell r="G61">
            <v>8.2799999999999999E-2</v>
          </cell>
          <cell r="H61">
            <v>0.08</v>
          </cell>
          <cell r="I61">
            <v>0.12</v>
          </cell>
          <cell r="J61">
            <v>9.35E-2</v>
          </cell>
          <cell r="K61">
            <v>2.3300000000000001E-2</v>
          </cell>
          <cell r="L61">
            <v>2.75E-2</v>
          </cell>
          <cell r="M61" t="str">
            <v>---</v>
          </cell>
          <cell r="N61">
            <v>2</v>
          </cell>
          <cell r="O61">
            <v>6</v>
          </cell>
          <cell r="P61">
            <v>4.42</v>
          </cell>
        </row>
        <row r="62">
          <cell r="A62" t="str">
            <v>Domestic Self Storage</v>
          </cell>
          <cell r="B62">
            <v>6.5000000000000002E-2</v>
          </cell>
          <cell r="C62">
            <v>9.7500000000000003E-2</v>
          </cell>
          <cell r="D62">
            <v>0.08</v>
          </cell>
          <cell r="E62">
            <v>7.7499999999999999E-2</v>
          </cell>
          <cell r="F62">
            <v>0.10249999999999999</v>
          </cell>
          <cell r="G62">
            <v>0.09</v>
          </cell>
          <cell r="H62">
            <v>9.2499999999999999E-2</v>
          </cell>
          <cell r="I62">
            <v>0.1125</v>
          </cell>
          <cell r="J62">
            <v>0.10249999999999999</v>
          </cell>
          <cell r="K62">
            <v>3.2500000000000001E-2</v>
          </cell>
          <cell r="L62">
            <v>3.2500000000000001E-2</v>
          </cell>
          <cell r="M62" t="str">
            <v>---</v>
          </cell>
          <cell r="N62">
            <v>1.5</v>
          </cell>
          <cell r="O62">
            <v>3</v>
          </cell>
          <cell r="P62">
            <v>2</v>
          </cell>
        </row>
      </sheetData>
      <sheetData sheetId="14" refreshError="1">
        <row r="1">
          <cell r="C1" t="str">
            <v>General Investment</v>
          </cell>
          <cell r="D1" t="b">
            <v>1</v>
          </cell>
        </row>
        <row r="2">
          <cell r="C2" t="str">
            <v>Net Leased Investments</v>
          </cell>
          <cell r="D2" t="b">
            <v>1</v>
          </cell>
        </row>
        <row r="3">
          <cell r="C3" t="str">
            <v>Net Lease</v>
          </cell>
          <cell r="D3" t="b">
            <v>1</v>
          </cell>
        </row>
        <row r="21">
          <cell r="I21">
            <v>6</v>
          </cell>
        </row>
      </sheetData>
      <sheetData sheetId="15" refreshError="1"/>
      <sheetData sheetId="16" refreshError="1">
        <row r="10">
          <cell r="K10" t="str">
            <v>2008</v>
          </cell>
        </row>
      </sheetData>
      <sheetData sheetId="17" refreshError="1"/>
      <sheetData sheetId="18" refreshError="1"/>
      <sheetData sheetId="19" refreshError="1"/>
      <sheetData sheetId="20" refreshError="1"/>
      <sheetData sheetId="21" refreshError="1"/>
      <sheetData sheetId="22" refreshError="1"/>
      <sheetData sheetId="23" refreshError="1">
        <row r="34">
          <cell r="W34" t="b">
            <v>0</v>
          </cell>
        </row>
        <row r="41">
          <cell r="AB41">
            <v>6.9999999999999993E-2</v>
          </cell>
        </row>
        <row r="51">
          <cell r="AB51">
            <v>6.9999999999999993E-3</v>
          </cell>
        </row>
      </sheetData>
      <sheetData sheetId="24" refreshError="1">
        <row r="37">
          <cell r="F37" t="str">
            <v>Declining</v>
          </cell>
        </row>
        <row r="38">
          <cell r="F38" t="str">
            <v>Stable</v>
          </cell>
        </row>
        <row r="39">
          <cell r="F39" t="str">
            <v>Increasing</v>
          </cell>
        </row>
      </sheetData>
      <sheetData sheetId="25" refreshError="1"/>
      <sheetData sheetId="26" refreshError="1">
        <row r="47">
          <cell r="F47">
            <v>0.11429687881600156</v>
          </cell>
        </row>
        <row r="48">
          <cell r="F48" t="str">
            <v>8.75 : 1</v>
          </cell>
        </row>
      </sheetData>
      <sheetData sheetId="27" refreshError="1">
        <row r="15">
          <cell r="D15">
            <v>0</v>
          </cell>
        </row>
        <row r="26">
          <cell r="I26">
            <v>0.3</v>
          </cell>
        </row>
      </sheetData>
      <sheetData sheetId="28" refreshError="1">
        <row r="4">
          <cell r="D4" t="str">
            <v>C-4</v>
          </cell>
        </row>
      </sheetData>
      <sheetData sheetId="29" refreshError="1">
        <row r="2">
          <cell r="B2">
            <v>2</v>
          </cell>
        </row>
        <row r="3">
          <cell r="B3">
            <v>2</v>
          </cell>
        </row>
        <row r="4">
          <cell r="B4">
            <v>2</v>
          </cell>
        </row>
        <row r="12">
          <cell r="G12">
            <v>222126.94999999998</v>
          </cell>
          <cell r="K12">
            <v>1450000</v>
          </cell>
        </row>
        <row r="21">
          <cell r="G21">
            <v>24182.961046499997</v>
          </cell>
          <cell r="K21">
            <v>157861.5</v>
          </cell>
        </row>
      </sheetData>
      <sheetData sheetId="30" refreshError="1"/>
      <sheetData sheetId="31" refreshError="1"/>
      <sheetData sheetId="32" refreshError="1">
        <row r="38">
          <cell r="L38">
            <v>1403500</v>
          </cell>
        </row>
        <row r="45">
          <cell r="P45">
            <v>397000</v>
          </cell>
        </row>
      </sheetData>
      <sheetData sheetId="33" refreshError="1">
        <row r="2">
          <cell r="E2" t="str">
            <v>$ PSF</v>
          </cell>
        </row>
        <row r="9">
          <cell r="R9">
            <v>1</v>
          </cell>
          <cell r="S9" t="str">
            <v>Hide</v>
          </cell>
          <cell r="T9" t="str">
            <v>Show</v>
          </cell>
          <cell r="U9" t="str">
            <v>Hide</v>
          </cell>
        </row>
        <row r="10">
          <cell r="R10">
            <v>2</v>
          </cell>
          <cell r="S10" t="str">
            <v>Show</v>
          </cell>
          <cell r="T10" t="str">
            <v>Hide</v>
          </cell>
          <cell r="U10" t="str">
            <v>Hide</v>
          </cell>
        </row>
        <row r="11">
          <cell r="R11">
            <v>3</v>
          </cell>
          <cell r="S11" t="str">
            <v>Hide</v>
          </cell>
          <cell r="T11" t="str">
            <v>Hide</v>
          </cell>
          <cell r="U11" t="str">
            <v>Show</v>
          </cell>
        </row>
      </sheetData>
      <sheetData sheetId="34" refreshError="1">
        <row r="5">
          <cell r="C5" t="str">
            <v>$ PSF</v>
          </cell>
        </row>
        <row r="23">
          <cell r="G23">
            <v>4.2500010982879886</v>
          </cell>
          <cell r="H23">
            <v>9</v>
          </cell>
          <cell r="I23">
            <v>4</v>
          </cell>
          <cell r="J23" t="e">
            <v>#REF!</v>
          </cell>
          <cell r="K23" t="e">
            <v>#REF!</v>
          </cell>
          <cell r="L23" t="e">
            <v>#REF!</v>
          </cell>
        </row>
        <row r="25">
          <cell r="E25" t="str">
            <v>...attributable to:</v>
          </cell>
          <cell r="G25" t="str">
            <v>the additional business interest purchase</v>
          </cell>
        </row>
        <row r="27">
          <cell r="E27" t="str">
            <v>…due to:</v>
          </cell>
          <cell r="G27" t="str">
            <v>favorable owner financing</v>
          </cell>
        </row>
        <row r="29">
          <cell r="E29" t="str">
            <v>…due to:</v>
          </cell>
          <cell r="G29" t="str">
            <v>the buyer being an adjacent property owner</v>
          </cell>
        </row>
        <row r="31">
          <cell r="E31" t="str">
            <v>...reflects:</v>
          </cell>
          <cell r="G31" t="str">
            <v>the improved market conditions since the date of sale</v>
          </cell>
        </row>
        <row r="32">
          <cell r="G32">
            <v>4.2500010982879886</v>
          </cell>
          <cell r="H32">
            <v>9</v>
          </cell>
          <cell r="I32">
            <v>4</v>
          </cell>
          <cell r="J32" t="e">
            <v>#REF!</v>
          </cell>
          <cell r="K32" t="e">
            <v>#REF!</v>
          </cell>
          <cell r="L32" t="e">
            <v>#REF!</v>
          </cell>
        </row>
        <row r="34">
          <cell r="E34" t="str">
            <v>…with respect to:</v>
          </cell>
          <cell r="G34" t="str">
            <v>economies of scale regarding parcel size</v>
          </cell>
        </row>
        <row r="36">
          <cell r="E36" t="str">
            <v>…due to:</v>
          </cell>
          <cell r="G36" t="str">
            <v>an irregular shape</v>
          </cell>
        </row>
        <row r="38">
          <cell r="E38" t="str">
            <v>…due to:</v>
          </cell>
          <cell r="G38" t="str">
            <v>its interior location</v>
          </cell>
        </row>
        <row r="40">
          <cell r="E40" t="str">
            <v>…based upon:</v>
          </cell>
          <cell r="G40" t="str">
            <v>a superior front to depth ratio</v>
          </cell>
        </row>
        <row r="42">
          <cell r="E42" t="str">
            <v>…given:</v>
          </cell>
          <cell r="G42" t="str">
            <v>its rolling terrain</v>
          </cell>
        </row>
        <row r="44">
          <cell r="E44" t="str">
            <v>…due to:</v>
          </cell>
          <cell r="G44" t="str">
            <v>its proximity to employment &amp; other support facilities</v>
          </cell>
        </row>
        <row r="46">
          <cell r="E46" t="str">
            <v>…because of:</v>
          </cell>
          <cell r="G46" t="str">
            <v>a more restrictive zoning classification</v>
          </cell>
        </row>
        <row r="48">
          <cell r="E48" t="str">
            <v>…given:</v>
          </cell>
          <cell r="G48" t="str">
            <v>the nearest water &amp; sewer connections are 1/4 mile away</v>
          </cell>
        </row>
        <row r="50">
          <cell r="E50" t="str">
            <v>…due to:</v>
          </cell>
          <cell r="G50" t="str">
            <v>its xxx</v>
          </cell>
        </row>
        <row r="52">
          <cell r="G52">
            <v>4.2500010982879886</v>
          </cell>
          <cell r="H52">
            <v>9</v>
          </cell>
          <cell r="I52">
            <v>4</v>
          </cell>
          <cell r="J52" t="e">
            <v>#REF!</v>
          </cell>
          <cell r="K52" t="e">
            <v>#REF!</v>
          </cell>
          <cell r="L52" t="e">
            <v>#REF!</v>
          </cell>
        </row>
        <row r="58">
          <cell r="G58">
            <v>4.2500010982879886</v>
          </cell>
          <cell r="H58">
            <v>9</v>
          </cell>
          <cell r="I58">
            <v>4</v>
          </cell>
          <cell r="J58"/>
          <cell r="K58"/>
          <cell r="L58"/>
        </row>
        <row r="59">
          <cell r="P59">
            <v>4</v>
          </cell>
        </row>
        <row r="60">
          <cell r="P60">
            <v>5</v>
          </cell>
        </row>
        <row r="61">
          <cell r="T61">
            <v>1800000</v>
          </cell>
        </row>
      </sheetData>
      <sheetData sheetId="35" refreshError="1"/>
      <sheetData sheetId="36" refreshError="1"/>
      <sheetData sheetId="37" refreshError="1">
        <row r="24">
          <cell r="E24" t="str">
            <v>...attributable to:</v>
          </cell>
          <cell r="G24" t="str">
            <v>the additional business interest purchase</v>
          </cell>
        </row>
        <row r="26">
          <cell r="E26" t="str">
            <v>…due to:</v>
          </cell>
          <cell r="G26" t="str">
            <v>favorable owner financing</v>
          </cell>
        </row>
        <row r="28">
          <cell r="E28" t="str">
            <v>…due to:</v>
          </cell>
          <cell r="G28" t="str">
            <v>the buyer being an adjacent property owner</v>
          </cell>
        </row>
        <row r="30">
          <cell r="E30" t="str">
            <v>...reflects:</v>
          </cell>
          <cell r="G30" t="str">
            <v>the improved market conditions since the date of sale</v>
          </cell>
        </row>
        <row r="33">
          <cell r="E33" t="str">
            <v>…with respect to:</v>
          </cell>
          <cell r="G33" t="str">
            <v>economies of scale regarding parcel size</v>
          </cell>
        </row>
        <row r="35">
          <cell r="E35" t="str">
            <v>…due to:</v>
          </cell>
          <cell r="G35" t="str">
            <v>an irregular shape</v>
          </cell>
        </row>
        <row r="37">
          <cell r="E37" t="str">
            <v>…due to:</v>
          </cell>
          <cell r="G37" t="str">
            <v>its interior location</v>
          </cell>
        </row>
        <row r="39">
          <cell r="E39" t="str">
            <v>…based upon:</v>
          </cell>
          <cell r="G39" t="str">
            <v>a superior front to depth ratio</v>
          </cell>
        </row>
        <row r="41">
          <cell r="E41" t="str">
            <v>…given:</v>
          </cell>
          <cell r="G41" t="str">
            <v>its rolling terrain</v>
          </cell>
        </row>
        <row r="43">
          <cell r="E43" t="str">
            <v>…due to:</v>
          </cell>
          <cell r="G43" t="str">
            <v>its proximity to employment &amp; other support facilities</v>
          </cell>
        </row>
        <row r="45">
          <cell r="E45" t="str">
            <v>…because of:</v>
          </cell>
          <cell r="G45" t="str">
            <v>a more restrictive zoning classification</v>
          </cell>
        </row>
        <row r="47">
          <cell r="E47" t="str">
            <v>…given:</v>
          </cell>
          <cell r="G47" t="str">
            <v>the nearest water &amp; sewer connections are 1/4 mile away</v>
          </cell>
        </row>
        <row r="49">
          <cell r="E49" t="str">
            <v>…due to:</v>
          </cell>
          <cell r="G49" t="str">
            <v>its xxx</v>
          </cell>
        </row>
        <row r="67">
          <cell r="T67">
            <v>0</v>
          </cell>
        </row>
      </sheetData>
      <sheetData sheetId="38" refreshError="1"/>
      <sheetData sheetId="39" refreshError="1"/>
      <sheetData sheetId="40" refreshError="1">
        <row r="11">
          <cell r="K11">
            <v>1</v>
          </cell>
        </row>
        <row r="12">
          <cell r="K12">
            <v>1</v>
          </cell>
        </row>
        <row r="74">
          <cell r="H74">
            <v>886600</v>
          </cell>
        </row>
        <row r="79">
          <cell r="G79">
            <v>0</v>
          </cell>
        </row>
        <row r="82">
          <cell r="H82">
            <v>-908703.3600000001</v>
          </cell>
        </row>
        <row r="89">
          <cell r="H89">
            <v>890000</v>
          </cell>
        </row>
        <row r="102">
          <cell r="M102">
            <v>-1529323.36</v>
          </cell>
        </row>
      </sheetData>
      <sheetData sheetId="41" refreshError="1"/>
      <sheetData sheetId="42" refreshError="1"/>
      <sheetData sheetId="43" refreshError="1">
        <row r="56">
          <cell r="H56">
            <v>500000</v>
          </cell>
        </row>
      </sheetData>
      <sheetData sheetId="44" refreshError="1">
        <row r="2">
          <cell r="D2">
            <v>0</v>
          </cell>
        </row>
        <row r="3">
          <cell r="D3" t="str">
            <v>Straight Line</v>
          </cell>
          <cell r="BE3">
            <v>1</v>
          </cell>
        </row>
        <row r="4">
          <cell r="C4">
            <v>2</v>
          </cell>
          <cell r="D4" t="str">
            <v>Cash Flow</v>
          </cell>
        </row>
        <row r="5">
          <cell r="D5">
            <v>0.09</v>
          </cell>
          <cell r="BE5">
            <v>900</v>
          </cell>
        </row>
        <row r="6">
          <cell r="D6">
            <v>0</v>
          </cell>
          <cell r="BE6">
            <v>0</v>
          </cell>
        </row>
        <row r="7">
          <cell r="D7">
            <v>0.3</v>
          </cell>
          <cell r="BE7">
            <v>30</v>
          </cell>
        </row>
        <row r="68">
          <cell r="H68">
            <v>0</v>
          </cell>
        </row>
      </sheetData>
      <sheetData sheetId="45" refreshError="1"/>
      <sheetData sheetId="46" refreshError="1"/>
      <sheetData sheetId="47" refreshError="1">
        <row r="2">
          <cell r="B2">
            <v>1</v>
          </cell>
        </row>
        <row r="30">
          <cell r="E30" t="str">
            <v>N/A</v>
          </cell>
          <cell r="F30" t="str">
            <v>N/A</v>
          </cell>
          <cell r="G30" t="str">
            <v>N/A</v>
          </cell>
          <cell r="H30">
            <v>0.08</v>
          </cell>
          <cell r="I30" t="str">
            <v>N/A</v>
          </cell>
          <cell r="J30" t="e">
            <v>#REF!</v>
          </cell>
          <cell r="L30" t="str">
            <v>---</v>
          </cell>
        </row>
        <row r="35">
          <cell r="D35" t="str">
            <v>...attributable to:</v>
          </cell>
          <cell r="E35" t="str">
            <v>the additional business interest purchase</v>
          </cell>
        </row>
        <row r="36">
          <cell r="E36">
            <v>0</v>
          </cell>
          <cell r="F36">
            <v>0</v>
          </cell>
          <cell r="G36">
            <v>0</v>
          </cell>
          <cell r="H36">
            <v>0</v>
          </cell>
          <cell r="I36">
            <v>0</v>
          </cell>
          <cell r="J36">
            <v>0</v>
          </cell>
        </row>
        <row r="37">
          <cell r="D37" t="str">
            <v>…due to:</v>
          </cell>
          <cell r="E37" t="str">
            <v>favorable owner financing</v>
          </cell>
        </row>
        <row r="39">
          <cell r="D39" t="str">
            <v>…due to:</v>
          </cell>
          <cell r="E39" t="str">
            <v>the buyer being an adjacent property owner</v>
          </cell>
        </row>
        <row r="41">
          <cell r="D41" t="str">
            <v>...reflects:</v>
          </cell>
          <cell r="E41" t="str">
            <v>the improved market conditions since the date of sale</v>
          </cell>
        </row>
        <row r="46">
          <cell r="D46" t="str">
            <v>…with respect to:</v>
          </cell>
          <cell r="E46" t="str">
            <v>employment center proximity</v>
          </cell>
        </row>
        <row r="48">
          <cell r="D48" t="str">
            <v>…due to:</v>
          </cell>
          <cell r="E48" t="str">
            <v>its larger square footage</v>
          </cell>
        </row>
        <row r="50">
          <cell r="D50" t="str">
            <v>…due to:</v>
          </cell>
          <cell r="E50" t="str">
            <v>its older year of construction</v>
          </cell>
        </row>
        <row r="52">
          <cell r="D52" t="str">
            <v>…based upon:</v>
          </cell>
          <cell r="E52" t="str">
            <v>the differences in construction class</v>
          </cell>
        </row>
        <row r="54">
          <cell r="D54" t="str">
            <v>…given:</v>
          </cell>
          <cell r="E54" t="str">
            <v>its mediocre traffic counts</v>
          </cell>
        </row>
        <row r="55">
          <cell r="E55">
            <v>0</v>
          </cell>
          <cell r="F55">
            <v>0</v>
          </cell>
          <cell r="G55">
            <v>0</v>
          </cell>
          <cell r="H55">
            <v>0</v>
          </cell>
          <cell r="I55">
            <v>0</v>
          </cell>
          <cell r="J55">
            <v>0</v>
          </cell>
        </row>
        <row r="56">
          <cell r="D56" t="str">
            <v>…due to:</v>
          </cell>
          <cell r="E56" t="str">
            <v>its lower parking ratio</v>
          </cell>
        </row>
        <row r="58">
          <cell r="D58" t="str">
            <v>…because of:</v>
          </cell>
          <cell r="E58" t="str">
            <v>the tenants credit strength</v>
          </cell>
        </row>
        <row r="60">
          <cell r="D60" t="str">
            <v>…given:</v>
          </cell>
          <cell r="E60" t="str">
            <v>its xxxxxx</v>
          </cell>
          <cell r="N60">
            <v>1</v>
          </cell>
        </row>
        <row r="62">
          <cell r="D62" t="str">
            <v>…due to:</v>
          </cell>
          <cell r="N62">
            <v>3</v>
          </cell>
        </row>
        <row r="64">
          <cell r="D64" t="str">
            <v>…due to:</v>
          </cell>
          <cell r="N64">
            <v>5</v>
          </cell>
        </row>
        <row r="66">
          <cell r="D66" t="str">
            <v>…due to:</v>
          </cell>
          <cell r="N66">
            <v>7</v>
          </cell>
        </row>
        <row r="68">
          <cell r="D68" t="str">
            <v>…due to:</v>
          </cell>
          <cell r="N68">
            <v>9</v>
          </cell>
        </row>
        <row r="70">
          <cell r="D70" t="str">
            <v>…due to:</v>
          </cell>
          <cell r="N70">
            <v>11</v>
          </cell>
        </row>
        <row r="72">
          <cell r="D72" t="str">
            <v>…due to:</v>
          </cell>
          <cell r="N72">
            <v>13</v>
          </cell>
        </row>
        <row r="74">
          <cell r="D74" t="str">
            <v>…due to:</v>
          </cell>
          <cell r="N74">
            <v>15</v>
          </cell>
        </row>
        <row r="81">
          <cell r="A81">
            <v>8</v>
          </cell>
        </row>
        <row r="90">
          <cell r="E90">
            <v>249.72</v>
          </cell>
          <cell r="F90">
            <v>214.26</v>
          </cell>
          <cell r="G90">
            <v>190.57</v>
          </cell>
          <cell r="H90">
            <v>212.99</v>
          </cell>
          <cell r="I90">
            <v>163</v>
          </cell>
          <cell r="J90"/>
        </row>
        <row r="92">
          <cell r="E92">
            <v>0</v>
          </cell>
          <cell r="F92">
            <v>0</v>
          </cell>
          <cell r="G92">
            <v>0</v>
          </cell>
          <cell r="H92">
            <v>0</v>
          </cell>
          <cell r="I92">
            <v>0</v>
          </cell>
          <cell r="J92"/>
        </row>
      </sheetData>
      <sheetData sheetId="48" refreshError="1"/>
      <sheetData sheetId="49" refreshError="1">
        <row r="12">
          <cell r="M12">
            <v>45</v>
          </cell>
        </row>
        <row r="13">
          <cell r="M13">
            <v>55</v>
          </cell>
        </row>
        <row r="32">
          <cell r="O32">
            <v>1110000</v>
          </cell>
        </row>
        <row r="42">
          <cell r="C42" t="str">
            <v>NOI Per SF</v>
          </cell>
          <cell r="D42" t="str">
            <v>Price Per SF</v>
          </cell>
        </row>
        <row r="43">
          <cell r="C43">
            <v>14.283599999999998</v>
          </cell>
          <cell r="D43">
            <v>155.38142703497275</v>
          </cell>
        </row>
        <row r="44">
          <cell r="C44">
            <v>6.23</v>
          </cell>
          <cell r="D44">
            <v>92.7</v>
          </cell>
        </row>
        <row r="46">
          <cell r="C46">
            <v>7.62</v>
          </cell>
          <cell r="D46">
            <v>95.92</v>
          </cell>
        </row>
        <row r="47">
          <cell r="C47">
            <v>6.89</v>
          </cell>
          <cell r="D47">
            <v>86.64</v>
          </cell>
        </row>
        <row r="48">
          <cell r="C48">
            <v>8.11</v>
          </cell>
          <cell r="D48">
            <v>108.2</v>
          </cell>
        </row>
      </sheetData>
      <sheetData sheetId="50" refreshError="1"/>
      <sheetData sheetId="51" refreshError="1"/>
      <sheetData sheetId="52" refreshError="1"/>
      <sheetData sheetId="53" refreshError="1">
        <row r="2">
          <cell r="B2">
            <v>1</v>
          </cell>
        </row>
        <row r="35">
          <cell r="D35" t="str">
            <v>...attributable to:</v>
          </cell>
          <cell r="E35" t="str">
            <v>the additional business interest purchase</v>
          </cell>
        </row>
        <row r="37">
          <cell r="D37" t="str">
            <v>…due to:</v>
          </cell>
          <cell r="E37" t="str">
            <v>favorable owner financing</v>
          </cell>
        </row>
        <row r="39">
          <cell r="D39" t="str">
            <v>…due to:</v>
          </cell>
          <cell r="E39" t="str">
            <v>the buyer being an adjacent property owner</v>
          </cell>
        </row>
        <row r="41">
          <cell r="D41" t="str">
            <v>...reflects:</v>
          </cell>
          <cell r="E41" t="str">
            <v>the improved market conditions since the date of sale</v>
          </cell>
        </row>
        <row r="46">
          <cell r="D46" t="str">
            <v>…with respect to:</v>
          </cell>
          <cell r="E46" t="str">
            <v>employment center proximity</v>
          </cell>
        </row>
        <row r="48">
          <cell r="D48" t="str">
            <v>…due to:</v>
          </cell>
          <cell r="E48" t="str">
            <v>its larger square footage</v>
          </cell>
        </row>
        <row r="50">
          <cell r="D50" t="str">
            <v>…due to:</v>
          </cell>
          <cell r="E50" t="str">
            <v>its older year of construction</v>
          </cell>
        </row>
        <row r="52">
          <cell r="D52" t="str">
            <v>…based upon:</v>
          </cell>
          <cell r="E52" t="str">
            <v>the differences in construction class</v>
          </cell>
        </row>
        <row r="54">
          <cell r="D54" t="str">
            <v>…given:</v>
          </cell>
          <cell r="E54" t="str">
            <v>its mediocre traffic counts</v>
          </cell>
        </row>
        <row r="56">
          <cell r="D56" t="str">
            <v>…due to:</v>
          </cell>
          <cell r="E56" t="str">
            <v>its lower parking ratio</v>
          </cell>
        </row>
        <row r="58">
          <cell r="D58" t="str">
            <v>…because of:</v>
          </cell>
          <cell r="E58" t="str">
            <v>the tenants credit strength</v>
          </cell>
        </row>
        <row r="60">
          <cell r="D60" t="str">
            <v>…given:</v>
          </cell>
          <cell r="E60" t="str">
            <v>its xxxxxx</v>
          </cell>
          <cell r="N60">
            <v>1</v>
          </cell>
        </row>
        <row r="62">
          <cell r="D62" t="str">
            <v>…due to:</v>
          </cell>
          <cell r="N62">
            <v>3</v>
          </cell>
        </row>
        <row r="64">
          <cell r="D64" t="str">
            <v>…due to:</v>
          </cell>
          <cell r="N64">
            <v>5</v>
          </cell>
        </row>
        <row r="66">
          <cell r="D66" t="str">
            <v>…due to:</v>
          </cell>
          <cell r="N66">
            <v>7</v>
          </cell>
        </row>
        <row r="68">
          <cell r="D68" t="str">
            <v>…due to:</v>
          </cell>
          <cell r="N68">
            <v>9</v>
          </cell>
        </row>
        <row r="70">
          <cell r="D70" t="str">
            <v>…due to:</v>
          </cell>
          <cell r="N70">
            <v>11</v>
          </cell>
        </row>
        <row r="72">
          <cell r="D72" t="str">
            <v>…due to:</v>
          </cell>
          <cell r="N72">
            <v>13</v>
          </cell>
        </row>
        <row r="74">
          <cell r="D74" t="str">
            <v>…due to:</v>
          </cell>
          <cell r="N74">
            <v>15</v>
          </cell>
        </row>
      </sheetData>
      <sheetData sheetId="54" refreshError="1"/>
      <sheetData sheetId="55" refreshError="1"/>
      <sheetData sheetId="56" refreshError="1">
        <row r="2">
          <cell r="C2">
            <v>1</v>
          </cell>
        </row>
      </sheetData>
      <sheetData sheetId="57" refreshError="1"/>
      <sheetData sheetId="58" refreshError="1"/>
      <sheetData sheetId="59" refreshError="1"/>
      <sheetData sheetId="60" refreshError="1">
        <row r="2">
          <cell r="C2">
            <v>1</v>
          </cell>
        </row>
      </sheetData>
      <sheetData sheetId="61" refreshError="1"/>
      <sheetData sheetId="62" refreshError="1"/>
      <sheetData sheetId="63" refreshError="1"/>
      <sheetData sheetId="64" refreshError="1"/>
      <sheetData sheetId="65" refreshError="1">
        <row r="70">
          <cell r="BN70">
            <v>74880</v>
          </cell>
        </row>
        <row r="85">
          <cell r="BE85">
            <v>944700</v>
          </cell>
        </row>
      </sheetData>
      <sheetData sheetId="66" refreshError="1">
        <row r="3">
          <cell r="AI3" t="b">
            <v>0</v>
          </cell>
          <cell r="AJ3" t="b">
            <v>0</v>
          </cell>
          <cell r="AK3" t="b">
            <v>0</v>
          </cell>
          <cell r="AL3" t="b">
            <v>0</v>
          </cell>
        </row>
        <row r="5">
          <cell r="G5" t="str">
            <v>Year-Occupancy</v>
          </cell>
          <cell r="H5">
            <v>2004</v>
          </cell>
          <cell r="J5">
            <v>0.61799999999999999</v>
          </cell>
          <cell r="M5">
            <v>2005</v>
          </cell>
          <cell r="O5">
            <v>0.69499999999999995</v>
          </cell>
          <cell r="R5" t="str">
            <v>2006 Annualized</v>
          </cell>
          <cell r="T5">
            <v>0.65800000000000003</v>
          </cell>
          <cell r="W5" t="str">
            <v>2007 Budget</v>
          </cell>
          <cell r="Y5">
            <v>0.68400000000000005</v>
          </cell>
        </row>
        <row r="6">
          <cell r="H6" t="str">
            <v>Total</v>
          </cell>
          <cell r="I6" t="str">
            <v>% EGI</v>
          </cell>
          <cell r="J6" t="str">
            <v>$/Unit</v>
          </cell>
          <cell r="K6" t="str">
            <v>$/SF</v>
          </cell>
          <cell r="M6" t="str">
            <v>Total</v>
          </cell>
          <cell r="N6" t="str">
            <v>% EGI</v>
          </cell>
          <cell r="O6" t="str">
            <v>$/Unit</v>
          </cell>
          <cell r="P6" t="str">
            <v>$/SF</v>
          </cell>
          <cell r="R6" t="str">
            <v>Total</v>
          </cell>
          <cell r="S6" t="str">
            <v>% EGI</v>
          </cell>
          <cell r="T6" t="str">
            <v>$/Unit</v>
          </cell>
          <cell r="U6" t="str">
            <v>$/SF</v>
          </cell>
          <cell r="W6" t="str">
            <v>Total</v>
          </cell>
          <cell r="X6" t="str">
            <v>% EGI</v>
          </cell>
          <cell r="Y6" t="str">
            <v>$/Unit</v>
          </cell>
          <cell r="Z6" t="str">
            <v>$/SF</v>
          </cell>
        </row>
        <row r="7">
          <cell r="G7" t="str">
            <v>Income</v>
          </cell>
        </row>
        <row r="8">
          <cell r="G8" t="str">
            <v>Rental Income</v>
          </cell>
          <cell r="H8">
            <v>358295</v>
          </cell>
          <cell r="I8">
            <v>1</v>
          </cell>
          <cell r="J8">
            <v>358295</v>
          </cell>
          <cell r="K8">
            <v>76.558760683760681</v>
          </cell>
          <cell r="M8">
            <v>367810</v>
          </cell>
          <cell r="N8">
            <v>1</v>
          </cell>
          <cell r="O8">
            <v>367810</v>
          </cell>
          <cell r="P8">
            <v>78.591880341880341</v>
          </cell>
          <cell r="R8">
            <v>385917</v>
          </cell>
          <cell r="S8">
            <v>1</v>
          </cell>
          <cell r="T8">
            <v>385917</v>
          </cell>
          <cell r="U8">
            <v>82.460897435897436</v>
          </cell>
          <cell r="W8">
            <v>416189</v>
          </cell>
          <cell r="X8">
            <v>1</v>
          </cell>
          <cell r="Y8">
            <v>416189</v>
          </cell>
          <cell r="Z8">
            <v>88.92927350427351</v>
          </cell>
        </row>
        <row r="9">
          <cell r="G9"/>
          <cell r="H9">
            <v>0</v>
          </cell>
          <cell r="I9">
            <v>0</v>
          </cell>
          <cell r="J9">
            <v>0</v>
          </cell>
          <cell r="K9">
            <v>0</v>
          </cell>
          <cell r="M9">
            <v>0</v>
          </cell>
          <cell r="N9">
            <v>0</v>
          </cell>
          <cell r="O9">
            <v>0</v>
          </cell>
          <cell r="P9">
            <v>0</v>
          </cell>
          <cell r="R9">
            <v>0</v>
          </cell>
          <cell r="S9">
            <v>0</v>
          </cell>
          <cell r="T9">
            <v>0</v>
          </cell>
          <cell r="U9">
            <v>0</v>
          </cell>
          <cell r="W9">
            <v>0</v>
          </cell>
          <cell r="X9">
            <v>0</v>
          </cell>
          <cell r="Y9">
            <v>0</v>
          </cell>
          <cell r="Z9">
            <v>0</v>
          </cell>
        </row>
        <row r="10">
          <cell r="G10"/>
          <cell r="H10">
            <v>0</v>
          </cell>
          <cell r="I10">
            <v>0</v>
          </cell>
          <cell r="J10">
            <v>0</v>
          </cell>
          <cell r="K10">
            <v>0</v>
          </cell>
          <cell r="M10">
            <v>0</v>
          </cell>
          <cell r="N10">
            <v>0</v>
          </cell>
          <cell r="O10">
            <v>0</v>
          </cell>
          <cell r="P10">
            <v>0</v>
          </cell>
          <cell r="R10">
            <v>0</v>
          </cell>
          <cell r="S10">
            <v>0</v>
          </cell>
          <cell r="T10">
            <v>0</v>
          </cell>
          <cell r="U10">
            <v>0</v>
          </cell>
          <cell r="W10">
            <v>0</v>
          </cell>
          <cell r="X10">
            <v>0</v>
          </cell>
          <cell r="Y10">
            <v>0</v>
          </cell>
          <cell r="Z10">
            <v>0</v>
          </cell>
        </row>
        <row r="11">
          <cell r="G11"/>
          <cell r="H11">
            <v>0</v>
          </cell>
          <cell r="I11">
            <v>0</v>
          </cell>
          <cell r="J11">
            <v>0</v>
          </cell>
          <cell r="K11">
            <v>0</v>
          </cell>
          <cell r="M11">
            <v>0</v>
          </cell>
          <cell r="N11">
            <v>0</v>
          </cell>
          <cell r="O11">
            <v>0</v>
          </cell>
          <cell r="P11">
            <v>0</v>
          </cell>
          <cell r="R11">
            <v>0</v>
          </cell>
          <cell r="S11">
            <v>0</v>
          </cell>
          <cell r="T11">
            <v>0</v>
          </cell>
          <cell r="U11">
            <v>0</v>
          </cell>
          <cell r="W11">
            <v>0</v>
          </cell>
          <cell r="X11">
            <v>0</v>
          </cell>
          <cell r="Y11">
            <v>0</v>
          </cell>
          <cell r="Z11">
            <v>0</v>
          </cell>
        </row>
        <row r="12">
          <cell r="G12"/>
          <cell r="H12">
            <v>0</v>
          </cell>
          <cell r="I12">
            <v>0</v>
          </cell>
          <cell r="J12">
            <v>0</v>
          </cell>
          <cell r="K12">
            <v>0</v>
          </cell>
          <cell r="M12">
            <v>0</v>
          </cell>
          <cell r="N12">
            <v>0</v>
          </cell>
          <cell r="O12">
            <v>0</v>
          </cell>
          <cell r="P12">
            <v>0</v>
          </cell>
          <cell r="R12">
            <v>0</v>
          </cell>
          <cell r="S12">
            <v>0</v>
          </cell>
          <cell r="T12">
            <v>0</v>
          </cell>
          <cell r="U12">
            <v>0</v>
          </cell>
          <cell r="W12">
            <v>0</v>
          </cell>
          <cell r="X12">
            <v>0</v>
          </cell>
          <cell r="Y12">
            <v>0</v>
          </cell>
          <cell r="Z12">
            <v>0</v>
          </cell>
        </row>
        <row r="13">
          <cell r="G13"/>
          <cell r="H13">
            <v>0</v>
          </cell>
          <cell r="I13">
            <v>0</v>
          </cell>
          <cell r="J13">
            <v>0</v>
          </cell>
          <cell r="K13">
            <v>0</v>
          </cell>
          <cell r="M13">
            <v>0</v>
          </cell>
          <cell r="N13">
            <v>0</v>
          </cell>
          <cell r="O13">
            <v>0</v>
          </cell>
          <cell r="P13">
            <v>0</v>
          </cell>
          <cell r="R13">
            <v>0</v>
          </cell>
          <cell r="S13">
            <v>0</v>
          </cell>
          <cell r="T13">
            <v>0</v>
          </cell>
          <cell r="U13">
            <v>0</v>
          </cell>
          <cell r="W13">
            <v>0</v>
          </cell>
          <cell r="X13">
            <v>0</v>
          </cell>
          <cell r="Y13">
            <v>0</v>
          </cell>
          <cell r="Z13">
            <v>0</v>
          </cell>
        </row>
        <row r="14">
          <cell r="G14"/>
          <cell r="H14">
            <v>0</v>
          </cell>
          <cell r="I14">
            <v>0</v>
          </cell>
          <cell r="J14">
            <v>0</v>
          </cell>
          <cell r="K14">
            <v>0</v>
          </cell>
          <cell r="M14">
            <v>0</v>
          </cell>
          <cell r="N14">
            <v>0</v>
          </cell>
          <cell r="O14">
            <v>0</v>
          </cell>
          <cell r="P14">
            <v>0</v>
          </cell>
          <cell r="R14">
            <v>0</v>
          </cell>
          <cell r="S14">
            <v>0</v>
          </cell>
          <cell r="T14">
            <v>0</v>
          </cell>
          <cell r="U14">
            <v>0</v>
          </cell>
          <cell r="W14">
            <v>0</v>
          </cell>
          <cell r="X14">
            <v>0</v>
          </cell>
          <cell r="Y14">
            <v>0</v>
          </cell>
          <cell r="Z14">
            <v>0</v>
          </cell>
        </row>
        <row r="15">
          <cell r="G15"/>
          <cell r="H15">
            <v>0</v>
          </cell>
          <cell r="I15">
            <v>0</v>
          </cell>
          <cell r="J15">
            <v>0</v>
          </cell>
          <cell r="K15">
            <v>0</v>
          </cell>
          <cell r="M15">
            <v>0</v>
          </cell>
          <cell r="N15">
            <v>0</v>
          </cell>
          <cell r="O15">
            <v>0</v>
          </cell>
          <cell r="P15">
            <v>0</v>
          </cell>
          <cell r="R15">
            <v>0</v>
          </cell>
          <cell r="S15">
            <v>0</v>
          </cell>
          <cell r="T15">
            <v>0</v>
          </cell>
          <cell r="U15">
            <v>0</v>
          </cell>
          <cell r="W15">
            <v>0</v>
          </cell>
          <cell r="X15">
            <v>0</v>
          </cell>
          <cell r="Y15">
            <v>0</v>
          </cell>
          <cell r="Z15">
            <v>0</v>
          </cell>
        </row>
        <row r="16">
          <cell r="G16" t="str">
            <v>Effective Gross Income</v>
          </cell>
          <cell r="H16">
            <v>358295</v>
          </cell>
          <cell r="I16">
            <v>1</v>
          </cell>
          <cell r="J16">
            <v>358295</v>
          </cell>
          <cell r="K16">
            <v>76.558760683760681</v>
          </cell>
          <cell r="M16">
            <v>367810</v>
          </cell>
          <cell r="N16">
            <v>1</v>
          </cell>
          <cell r="O16">
            <v>367810</v>
          </cell>
          <cell r="P16">
            <v>78.591880341880341</v>
          </cell>
          <cell r="R16">
            <v>385917</v>
          </cell>
          <cell r="S16">
            <v>1</v>
          </cell>
          <cell r="T16">
            <v>385917</v>
          </cell>
          <cell r="U16">
            <v>82.460897435897436</v>
          </cell>
          <cell r="W16">
            <v>416189</v>
          </cell>
          <cell r="X16">
            <v>1</v>
          </cell>
          <cell r="Y16">
            <v>416189</v>
          </cell>
          <cell r="Z16">
            <v>88.92927350427351</v>
          </cell>
        </row>
        <row r="17">
          <cell r="G17" t="str">
            <v>Expenses</v>
          </cell>
        </row>
        <row r="18">
          <cell r="G18"/>
          <cell r="H18">
            <v>0</v>
          </cell>
          <cell r="I18">
            <v>0</v>
          </cell>
          <cell r="J18">
            <v>0</v>
          </cell>
          <cell r="K18">
            <v>0</v>
          </cell>
          <cell r="M18">
            <v>0</v>
          </cell>
          <cell r="N18">
            <v>0</v>
          </cell>
          <cell r="O18">
            <v>0</v>
          </cell>
          <cell r="P18">
            <v>0</v>
          </cell>
          <cell r="R18">
            <v>0</v>
          </cell>
          <cell r="S18">
            <v>0</v>
          </cell>
          <cell r="T18">
            <v>0</v>
          </cell>
          <cell r="U18">
            <v>0</v>
          </cell>
          <cell r="W18">
            <v>0</v>
          </cell>
          <cell r="X18">
            <v>0</v>
          </cell>
          <cell r="Y18">
            <v>0</v>
          </cell>
          <cell r="Z18">
            <v>0</v>
          </cell>
        </row>
        <row r="19">
          <cell r="G19"/>
          <cell r="H19">
            <v>0</v>
          </cell>
          <cell r="I19">
            <v>0</v>
          </cell>
          <cell r="J19">
            <v>0</v>
          </cell>
          <cell r="K19">
            <v>0</v>
          </cell>
          <cell r="M19">
            <v>0</v>
          </cell>
          <cell r="N19">
            <v>0</v>
          </cell>
          <cell r="O19">
            <v>0</v>
          </cell>
          <cell r="P19">
            <v>0</v>
          </cell>
          <cell r="R19">
            <v>0</v>
          </cell>
          <cell r="S19">
            <v>0</v>
          </cell>
          <cell r="T19">
            <v>0</v>
          </cell>
          <cell r="U19">
            <v>0</v>
          </cell>
          <cell r="W19">
            <v>0</v>
          </cell>
          <cell r="X19">
            <v>0</v>
          </cell>
          <cell r="Y19">
            <v>0</v>
          </cell>
          <cell r="Z19">
            <v>0</v>
          </cell>
        </row>
        <row r="20">
          <cell r="G20"/>
          <cell r="H20">
            <v>0</v>
          </cell>
          <cell r="I20">
            <v>0</v>
          </cell>
          <cell r="J20">
            <v>0</v>
          </cell>
          <cell r="K20">
            <v>0</v>
          </cell>
          <cell r="M20">
            <v>0</v>
          </cell>
          <cell r="N20">
            <v>0</v>
          </cell>
          <cell r="O20">
            <v>0</v>
          </cell>
          <cell r="P20">
            <v>0</v>
          </cell>
          <cell r="R20">
            <v>0</v>
          </cell>
          <cell r="S20">
            <v>0</v>
          </cell>
          <cell r="T20">
            <v>0</v>
          </cell>
          <cell r="U20">
            <v>0</v>
          </cell>
          <cell r="W20">
            <v>0</v>
          </cell>
          <cell r="X20">
            <v>0</v>
          </cell>
          <cell r="Y20">
            <v>0</v>
          </cell>
          <cell r="Z20">
            <v>0</v>
          </cell>
        </row>
        <row r="21">
          <cell r="G21"/>
          <cell r="H21">
            <v>0</v>
          </cell>
          <cell r="I21">
            <v>0</v>
          </cell>
          <cell r="J21">
            <v>0</v>
          </cell>
          <cell r="K21">
            <v>0</v>
          </cell>
          <cell r="M21">
            <v>0</v>
          </cell>
          <cell r="N21">
            <v>0</v>
          </cell>
          <cell r="O21">
            <v>0</v>
          </cell>
          <cell r="P21">
            <v>0</v>
          </cell>
          <cell r="R21">
            <v>0</v>
          </cell>
          <cell r="S21">
            <v>0</v>
          </cell>
          <cell r="T21">
            <v>0</v>
          </cell>
          <cell r="U21">
            <v>0</v>
          </cell>
          <cell r="W21">
            <v>0</v>
          </cell>
          <cell r="X21">
            <v>0</v>
          </cell>
          <cell r="Y21">
            <v>0</v>
          </cell>
          <cell r="Z21">
            <v>0</v>
          </cell>
        </row>
        <row r="22">
          <cell r="G22"/>
          <cell r="H22">
            <v>0</v>
          </cell>
          <cell r="I22">
            <v>0</v>
          </cell>
          <cell r="J22">
            <v>0</v>
          </cell>
          <cell r="K22">
            <v>0</v>
          </cell>
          <cell r="M22">
            <v>0</v>
          </cell>
          <cell r="N22">
            <v>0</v>
          </cell>
          <cell r="O22">
            <v>0</v>
          </cell>
          <cell r="P22">
            <v>0</v>
          </cell>
          <cell r="R22">
            <v>0</v>
          </cell>
          <cell r="S22">
            <v>0</v>
          </cell>
          <cell r="T22">
            <v>0</v>
          </cell>
          <cell r="U22">
            <v>0</v>
          </cell>
          <cell r="W22">
            <v>0</v>
          </cell>
          <cell r="X22">
            <v>0</v>
          </cell>
          <cell r="Y22">
            <v>0</v>
          </cell>
          <cell r="Z22">
            <v>0</v>
          </cell>
        </row>
        <row r="23">
          <cell r="G23"/>
          <cell r="H23">
            <v>0</v>
          </cell>
          <cell r="I23">
            <v>0</v>
          </cell>
          <cell r="J23">
            <v>0</v>
          </cell>
          <cell r="K23">
            <v>0</v>
          </cell>
          <cell r="M23">
            <v>0</v>
          </cell>
          <cell r="N23">
            <v>0</v>
          </cell>
          <cell r="O23">
            <v>0</v>
          </cell>
          <cell r="P23">
            <v>0</v>
          </cell>
          <cell r="R23">
            <v>0</v>
          </cell>
          <cell r="S23">
            <v>0</v>
          </cell>
          <cell r="T23">
            <v>0</v>
          </cell>
          <cell r="U23">
            <v>0</v>
          </cell>
          <cell r="W23">
            <v>0</v>
          </cell>
          <cell r="X23">
            <v>0</v>
          </cell>
          <cell r="Y23">
            <v>0</v>
          </cell>
          <cell r="Z23">
            <v>0</v>
          </cell>
        </row>
        <row r="24">
          <cell r="G24"/>
          <cell r="H24">
            <v>0</v>
          </cell>
          <cell r="I24">
            <v>0</v>
          </cell>
          <cell r="J24">
            <v>0</v>
          </cell>
          <cell r="K24">
            <v>0</v>
          </cell>
          <cell r="M24">
            <v>0</v>
          </cell>
          <cell r="N24">
            <v>0</v>
          </cell>
          <cell r="O24">
            <v>0</v>
          </cell>
          <cell r="P24">
            <v>0</v>
          </cell>
          <cell r="R24">
            <v>0</v>
          </cell>
          <cell r="S24">
            <v>0</v>
          </cell>
          <cell r="T24">
            <v>0</v>
          </cell>
          <cell r="U24">
            <v>0</v>
          </cell>
          <cell r="W24">
            <v>0</v>
          </cell>
          <cell r="X24">
            <v>0</v>
          </cell>
          <cell r="Y24">
            <v>0</v>
          </cell>
          <cell r="Z24">
            <v>0</v>
          </cell>
        </row>
        <row r="25">
          <cell r="G25"/>
          <cell r="H25">
            <v>0</v>
          </cell>
          <cell r="I25">
            <v>0</v>
          </cell>
          <cell r="J25">
            <v>0</v>
          </cell>
          <cell r="K25">
            <v>0</v>
          </cell>
          <cell r="M25">
            <v>0</v>
          </cell>
          <cell r="N25">
            <v>0</v>
          </cell>
          <cell r="O25">
            <v>0</v>
          </cell>
          <cell r="P25">
            <v>0</v>
          </cell>
          <cell r="R25">
            <v>0</v>
          </cell>
          <cell r="S25">
            <v>0</v>
          </cell>
          <cell r="T25">
            <v>0</v>
          </cell>
          <cell r="U25">
            <v>0</v>
          </cell>
          <cell r="W25">
            <v>0</v>
          </cell>
          <cell r="X25">
            <v>0</v>
          </cell>
          <cell r="Y25">
            <v>0</v>
          </cell>
          <cell r="Z25">
            <v>0</v>
          </cell>
        </row>
        <row r="26">
          <cell r="G26"/>
          <cell r="H26">
            <v>0</v>
          </cell>
          <cell r="I26">
            <v>0</v>
          </cell>
          <cell r="J26">
            <v>0</v>
          </cell>
          <cell r="K26">
            <v>0</v>
          </cell>
          <cell r="M26">
            <v>0</v>
          </cell>
          <cell r="N26">
            <v>0</v>
          </cell>
          <cell r="O26">
            <v>0</v>
          </cell>
          <cell r="P26">
            <v>0</v>
          </cell>
          <cell r="R26">
            <v>0</v>
          </cell>
          <cell r="S26">
            <v>0</v>
          </cell>
          <cell r="T26">
            <v>0</v>
          </cell>
          <cell r="U26">
            <v>0</v>
          </cell>
          <cell r="W26">
            <v>0</v>
          </cell>
          <cell r="X26">
            <v>0</v>
          </cell>
          <cell r="Y26">
            <v>0</v>
          </cell>
          <cell r="Z26">
            <v>0</v>
          </cell>
        </row>
        <row r="27">
          <cell r="G27"/>
          <cell r="H27">
            <v>0</v>
          </cell>
          <cell r="I27">
            <v>0</v>
          </cell>
          <cell r="J27">
            <v>0</v>
          </cell>
          <cell r="K27">
            <v>0</v>
          </cell>
          <cell r="M27">
            <v>0</v>
          </cell>
          <cell r="N27">
            <v>0</v>
          </cell>
          <cell r="O27">
            <v>0</v>
          </cell>
          <cell r="P27">
            <v>0</v>
          </cell>
          <cell r="R27">
            <v>0</v>
          </cell>
          <cell r="S27">
            <v>0</v>
          </cell>
          <cell r="T27">
            <v>0</v>
          </cell>
          <cell r="U27">
            <v>0</v>
          </cell>
          <cell r="W27">
            <v>0</v>
          </cell>
          <cell r="X27">
            <v>0</v>
          </cell>
          <cell r="Y27">
            <v>0</v>
          </cell>
          <cell r="Z27">
            <v>0</v>
          </cell>
        </row>
        <row r="28">
          <cell r="G28"/>
          <cell r="H28">
            <v>0</v>
          </cell>
          <cell r="I28">
            <v>0</v>
          </cell>
          <cell r="J28">
            <v>0</v>
          </cell>
          <cell r="K28">
            <v>0</v>
          </cell>
          <cell r="M28">
            <v>0</v>
          </cell>
          <cell r="N28">
            <v>0</v>
          </cell>
          <cell r="O28">
            <v>0</v>
          </cell>
          <cell r="P28">
            <v>0</v>
          </cell>
          <cell r="R28">
            <v>0</v>
          </cell>
          <cell r="S28">
            <v>0</v>
          </cell>
          <cell r="T28">
            <v>0</v>
          </cell>
          <cell r="U28">
            <v>0</v>
          </cell>
          <cell r="W28">
            <v>0</v>
          </cell>
          <cell r="X28">
            <v>0</v>
          </cell>
          <cell r="Y28">
            <v>0</v>
          </cell>
          <cell r="Z28">
            <v>0</v>
          </cell>
        </row>
        <row r="29">
          <cell r="G29"/>
          <cell r="H29">
            <v>0</v>
          </cell>
          <cell r="I29">
            <v>0</v>
          </cell>
          <cell r="J29">
            <v>0</v>
          </cell>
          <cell r="K29">
            <v>0</v>
          </cell>
          <cell r="M29">
            <v>0</v>
          </cell>
          <cell r="N29">
            <v>0</v>
          </cell>
          <cell r="O29">
            <v>0</v>
          </cell>
          <cell r="P29">
            <v>0</v>
          </cell>
          <cell r="R29">
            <v>0</v>
          </cell>
          <cell r="S29">
            <v>0</v>
          </cell>
          <cell r="T29">
            <v>0</v>
          </cell>
          <cell r="U29">
            <v>0</v>
          </cell>
          <cell r="W29">
            <v>0</v>
          </cell>
          <cell r="X29">
            <v>0</v>
          </cell>
          <cell r="Y29">
            <v>0</v>
          </cell>
          <cell r="Z29">
            <v>0</v>
          </cell>
        </row>
        <row r="30">
          <cell r="G30" t="str">
            <v>Management Fee</v>
          </cell>
          <cell r="H30">
            <v>0</v>
          </cell>
          <cell r="I30">
            <v>0</v>
          </cell>
          <cell r="J30">
            <v>0</v>
          </cell>
          <cell r="K30">
            <v>0</v>
          </cell>
          <cell r="M30">
            <v>0</v>
          </cell>
          <cell r="N30">
            <v>0</v>
          </cell>
          <cell r="O30">
            <v>0</v>
          </cell>
          <cell r="P30">
            <v>0</v>
          </cell>
          <cell r="R30">
            <v>0</v>
          </cell>
          <cell r="S30">
            <v>0</v>
          </cell>
          <cell r="T30">
            <v>0</v>
          </cell>
          <cell r="U30">
            <v>0</v>
          </cell>
          <cell r="W30">
            <v>0</v>
          </cell>
          <cell r="X30">
            <v>0</v>
          </cell>
          <cell r="Y30">
            <v>0</v>
          </cell>
          <cell r="Z30">
            <v>0</v>
          </cell>
        </row>
        <row r="31">
          <cell r="G31"/>
          <cell r="H31">
            <v>0</v>
          </cell>
          <cell r="I31">
            <v>0</v>
          </cell>
          <cell r="J31">
            <v>0</v>
          </cell>
          <cell r="K31">
            <v>0</v>
          </cell>
          <cell r="M31">
            <v>0</v>
          </cell>
          <cell r="N31">
            <v>0</v>
          </cell>
          <cell r="O31">
            <v>0</v>
          </cell>
          <cell r="P31">
            <v>0</v>
          </cell>
          <cell r="R31">
            <v>0</v>
          </cell>
          <cell r="S31">
            <v>0</v>
          </cell>
          <cell r="T31">
            <v>0</v>
          </cell>
          <cell r="U31">
            <v>0</v>
          </cell>
          <cell r="W31">
            <v>0</v>
          </cell>
          <cell r="X31">
            <v>0</v>
          </cell>
          <cell r="Y31">
            <v>0</v>
          </cell>
          <cell r="Z31">
            <v>0</v>
          </cell>
        </row>
        <row r="32">
          <cell r="G32"/>
          <cell r="H32">
            <v>0</v>
          </cell>
          <cell r="I32">
            <v>0</v>
          </cell>
          <cell r="J32">
            <v>0</v>
          </cell>
          <cell r="K32">
            <v>0</v>
          </cell>
          <cell r="M32">
            <v>0</v>
          </cell>
          <cell r="N32">
            <v>0</v>
          </cell>
          <cell r="O32">
            <v>0</v>
          </cell>
          <cell r="P32">
            <v>0</v>
          </cell>
          <cell r="R32">
            <v>0</v>
          </cell>
          <cell r="S32">
            <v>0</v>
          </cell>
          <cell r="T32">
            <v>0</v>
          </cell>
          <cell r="U32">
            <v>0</v>
          </cell>
          <cell r="W32">
            <v>0</v>
          </cell>
          <cell r="X32">
            <v>0</v>
          </cell>
          <cell r="Y32">
            <v>0</v>
          </cell>
          <cell r="Z32">
            <v>0</v>
          </cell>
        </row>
        <row r="33">
          <cell r="G33"/>
          <cell r="H33">
            <v>0</v>
          </cell>
          <cell r="I33">
            <v>0</v>
          </cell>
          <cell r="J33">
            <v>0</v>
          </cell>
          <cell r="K33">
            <v>0</v>
          </cell>
          <cell r="M33">
            <v>0</v>
          </cell>
          <cell r="N33">
            <v>0</v>
          </cell>
          <cell r="O33">
            <v>0</v>
          </cell>
          <cell r="P33">
            <v>0</v>
          </cell>
          <cell r="R33">
            <v>0</v>
          </cell>
          <cell r="S33">
            <v>0</v>
          </cell>
          <cell r="T33">
            <v>0</v>
          </cell>
          <cell r="U33">
            <v>0</v>
          </cell>
          <cell r="W33">
            <v>0</v>
          </cell>
          <cell r="X33">
            <v>0</v>
          </cell>
          <cell r="Y33">
            <v>0</v>
          </cell>
          <cell r="Z33">
            <v>0</v>
          </cell>
        </row>
        <row r="34">
          <cell r="G34"/>
          <cell r="H34">
            <v>0</v>
          </cell>
          <cell r="I34">
            <v>0</v>
          </cell>
          <cell r="J34">
            <v>0</v>
          </cell>
          <cell r="K34">
            <v>0</v>
          </cell>
          <cell r="M34">
            <v>0</v>
          </cell>
          <cell r="N34">
            <v>0</v>
          </cell>
          <cell r="O34">
            <v>0</v>
          </cell>
          <cell r="P34">
            <v>0</v>
          </cell>
          <cell r="R34">
            <v>0</v>
          </cell>
          <cell r="S34">
            <v>0</v>
          </cell>
          <cell r="T34">
            <v>0</v>
          </cell>
          <cell r="U34">
            <v>0</v>
          </cell>
          <cell r="W34">
            <v>0</v>
          </cell>
          <cell r="X34">
            <v>0</v>
          </cell>
          <cell r="Y34">
            <v>0</v>
          </cell>
          <cell r="Z34">
            <v>0</v>
          </cell>
        </row>
        <row r="35">
          <cell r="G35"/>
          <cell r="H35">
            <v>0</v>
          </cell>
          <cell r="I35">
            <v>0</v>
          </cell>
          <cell r="J35">
            <v>0</v>
          </cell>
          <cell r="K35">
            <v>0</v>
          </cell>
          <cell r="M35">
            <v>0</v>
          </cell>
          <cell r="N35">
            <v>0</v>
          </cell>
          <cell r="O35">
            <v>0</v>
          </cell>
          <cell r="P35">
            <v>0</v>
          </cell>
          <cell r="R35">
            <v>0</v>
          </cell>
          <cell r="S35">
            <v>0</v>
          </cell>
          <cell r="T35">
            <v>0</v>
          </cell>
          <cell r="U35">
            <v>0</v>
          </cell>
          <cell r="W35">
            <v>0</v>
          </cell>
          <cell r="X35">
            <v>0</v>
          </cell>
          <cell r="Y35">
            <v>0</v>
          </cell>
          <cell r="Z35">
            <v>0</v>
          </cell>
        </row>
        <row r="36">
          <cell r="G36"/>
          <cell r="H36">
            <v>0</v>
          </cell>
          <cell r="I36">
            <v>0</v>
          </cell>
          <cell r="J36">
            <v>0</v>
          </cell>
          <cell r="K36">
            <v>0</v>
          </cell>
          <cell r="M36">
            <v>0</v>
          </cell>
          <cell r="N36">
            <v>0</v>
          </cell>
          <cell r="O36">
            <v>0</v>
          </cell>
          <cell r="P36">
            <v>0</v>
          </cell>
          <cell r="R36">
            <v>0</v>
          </cell>
          <cell r="S36">
            <v>0</v>
          </cell>
          <cell r="T36">
            <v>0</v>
          </cell>
          <cell r="U36">
            <v>0</v>
          </cell>
          <cell r="W36">
            <v>0</v>
          </cell>
          <cell r="X36">
            <v>0</v>
          </cell>
          <cell r="Y36">
            <v>0</v>
          </cell>
          <cell r="Z36">
            <v>0</v>
          </cell>
        </row>
        <row r="37">
          <cell r="G37" t="str">
            <v>Reserves for Replacement</v>
          </cell>
          <cell r="H37">
            <v>0</v>
          </cell>
          <cell r="I37">
            <v>0</v>
          </cell>
          <cell r="J37">
            <v>0</v>
          </cell>
          <cell r="K37">
            <v>0</v>
          </cell>
          <cell r="M37">
            <v>0</v>
          </cell>
          <cell r="N37">
            <v>0</v>
          </cell>
          <cell r="O37">
            <v>0</v>
          </cell>
          <cell r="P37">
            <v>0</v>
          </cell>
          <cell r="R37">
            <v>0</v>
          </cell>
          <cell r="S37">
            <v>0</v>
          </cell>
          <cell r="T37">
            <v>0</v>
          </cell>
          <cell r="U37">
            <v>0</v>
          </cell>
          <cell r="W37">
            <v>0</v>
          </cell>
          <cell r="X37">
            <v>0</v>
          </cell>
          <cell r="Y37">
            <v>0</v>
          </cell>
          <cell r="Z37">
            <v>0</v>
          </cell>
        </row>
        <row r="38">
          <cell r="G38" t="str">
            <v>Operating Expenses</v>
          </cell>
          <cell r="H38">
            <v>0</v>
          </cell>
          <cell r="I38">
            <v>0</v>
          </cell>
          <cell r="J38">
            <v>0</v>
          </cell>
          <cell r="K38">
            <v>0</v>
          </cell>
          <cell r="M38">
            <v>0</v>
          </cell>
          <cell r="N38">
            <v>0</v>
          </cell>
          <cell r="O38">
            <v>0</v>
          </cell>
          <cell r="P38">
            <v>0</v>
          </cell>
          <cell r="R38">
            <v>0</v>
          </cell>
          <cell r="S38">
            <v>0</v>
          </cell>
          <cell r="T38">
            <v>0</v>
          </cell>
          <cell r="U38">
            <v>0</v>
          </cell>
          <cell r="W38">
            <v>0</v>
          </cell>
          <cell r="X38">
            <v>0</v>
          </cell>
          <cell r="Y38">
            <v>0</v>
          </cell>
          <cell r="Z38">
            <v>0</v>
          </cell>
        </row>
        <row r="39">
          <cell r="G39" t="str">
            <v>Net Operating Income</v>
          </cell>
          <cell r="H39">
            <v>358295</v>
          </cell>
          <cell r="I39">
            <v>1</v>
          </cell>
          <cell r="J39">
            <v>358295</v>
          </cell>
          <cell r="K39">
            <v>76.558760683760681</v>
          </cell>
          <cell r="M39">
            <v>367810</v>
          </cell>
          <cell r="N39">
            <v>1</v>
          </cell>
          <cell r="O39">
            <v>367810</v>
          </cell>
          <cell r="P39">
            <v>78.591880341880341</v>
          </cell>
          <cell r="R39">
            <v>385917</v>
          </cell>
          <cell r="S39">
            <v>1</v>
          </cell>
          <cell r="T39">
            <v>385917</v>
          </cell>
          <cell r="U39">
            <v>82.460897435897436</v>
          </cell>
          <cell r="W39">
            <v>416189</v>
          </cell>
          <cell r="X39">
            <v>1</v>
          </cell>
          <cell r="Y39">
            <v>416189</v>
          </cell>
          <cell r="Z39">
            <v>88.92927350427351</v>
          </cell>
        </row>
      </sheetData>
      <sheetData sheetId="67" refreshError="1"/>
      <sheetData sheetId="68" refreshError="1">
        <row r="5">
          <cell r="C5" t="str">
            <v>Comparable Number</v>
          </cell>
          <cell r="F5">
            <v>1</v>
          </cell>
          <cell r="G5">
            <v>1</v>
          </cell>
          <cell r="J5">
            <v>2</v>
          </cell>
          <cell r="K5">
            <v>2</v>
          </cell>
          <cell r="N5">
            <v>3</v>
          </cell>
          <cell r="O5">
            <v>3</v>
          </cell>
          <cell r="Q5" t="str">
            <v>IREM</v>
          </cell>
          <cell r="R5" t="str">
            <v>IREM</v>
          </cell>
          <cell r="S5" t="str">
            <v>NAIOP</v>
          </cell>
        </row>
        <row r="6">
          <cell r="C6" t="str">
            <v>Location</v>
          </cell>
          <cell r="F6" t="str">
            <v>Sample 1</v>
          </cell>
          <cell r="G6" t="str">
            <v>West Houston</v>
          </cell>
          <cell r="J6" t="str">
            <v>Sample 2</v>
          </cell>
          <cell r="K6" t="str">
            <v>West Houston</v>
          </cell>
          <cell r="N6" t="str">
            <v>Sample 3</v>
          </cell>
          <cell r="O6" t="str">
            <v>West Houston</v>
          </cell>
          <cell r="Q6" t="str">
            <v>Houston</v>
          </cell>
          <cell r="R6" t="str">
            <v>Houston</v>
          </cell>
          <cell r="S6" t="str">
            <v>South</v>
          </cell>
        </row>
        <row r="7">
          <cell r="C7" t="str">
            <v>No. Units</v>
          </cell>
          <cell r="F7">
            <v>10</v>
          </cell>
          <cell r="G7">
            <v>125</v>
          </cell>
          <cell r="J7">
            <v>10</v>
          </cell>
          <cell r="K7">
            <v>125</v>
          </cell>
          <cell r="N7">
            <v>10</v>
          </cell>
          <cell r="O7">
            <v>125</v>
          </cell>
        </row>
        <row r="8">
          <cell r="C8" t="str">
            <v>GLA (SF)</v>
          </cell>
          <cell r="F8">
            <v>1000</v>
          </cell>
          <cell r="G8">
            <v>834081</v>
          </cell>
          <cell r="J8">
            <v>1000</v>
          </cell>
          <cell r="K8">
            <v>834081</v>
          </cell>
          <cell r="N8">
            <v>1000</v>
          </cell>
          <cell r="O8">
            <v>834081</v>
          </cell>
        </row>
        <row r="9">
          <cell r="C9" t="str">
            <v>Expense Year</v>
          </cell>
          <cell r="F9">
            <v>2006</v>
          </cell>
          <cell r="G9">
            <v>1996</v>
          </cell>
          <cell r="J9">
            <v>2006</v>
          </cell>
          <cell r="K9">
            <v>1996</v>
          </cell>
          <cell r="N9">
            <v>2006</v>
          </cell>
          <cell r="O9">
            <v>1996</v>
          </cell>
          <cell r="Q9">
            <v>1997</v>
          </cell>
          <cell r="R9">
            <v>1997</v>
          </cell>
          <cell r="S9" t="str">
            <v>2001/02</v>
          </cell>
        </row>
        <row r="11">
          <cell r="C11" t="str">
            <v>Effective Gross Income</v>
          </cell>
          <cell r="E11">
            <v>20000</v>
          </cell>
          <cell r="F11">
            <v>2000</v>
          </cell>
          <cell r="G11">
            <v>2.3978486501910486E-2</v>
          </cell>
          <cell r="I11">
            <v>20000</v>
          </cell>
          <cell r="J11">
            <v>2000</v>
          </cell>
          <cell r="K11">
            <v>2.3978486501910486E-2</v>
          </cell>
          <cell r="M11">
            <v>20000</v>
          </cell>
          <cell r="N11">
            <v>2000</v>
          </cell>
          <cell r="O11">
            <v>2.3978486501910486E-2</v>
          </cell>
          <cell r="Q11">
            <v>0</v>
          </cell>
          <cell r="R11">
            <v>0</v>
          </cell>
          <cell r="S11">
            <v>0</v>
          </cell>
        </row>
        <row r="12">
          <cell r="C12" t="str">
            <v>Expenses</v>
          </cell>
          <cell r="E12" t="str">
            <v>Total</v>
          </cell>
          <cell r="F12" t="str">
            <v>$/Unit</v>
          </cell>
          <cell r="G12" t="str">
            <v>$/SF</v>
          </cell>
          <cell r="I12" t="str">
            <v>Total</v>
          </cell>
          <cell r="J12" t="str">
            <v>$/Unit</v>
          </cell>
          <cell r="K12" t="str">
            <v>$/SF</v>
          </cell>
          <cell r="M12" t="str">
            <v>Total</v>
          </cell>
          <cell r="N12" t="str">
            <v>$/Unit</v>
          </cell>
          <cell r="O12" t="str">
            <v>$/SF</v>
          </cell>
          <cell r="Q12" t="str">
            <v>$/Unit</v>
          </cell>
          <cell r="R12" t="str">
            <v>$/SF</v>
          </cell>
          <cell r="S12" t="str">
            <v>$/SF</v>
          </cell>
        </row>
        <row r="14">
          <cell r="C14"/>
          <cell r="E14">
            <v>0</v>
          </cell>
          <cell r="F14">
            <v>0</v>
          </cell>
          <cell r="G14">
            <v>0</v>
          </cell>
          <cell r="I14">
            <v>0</v>
          </cell>
          <cell r="J14">
            <v>0</v>
          </cell>
          <cell r="K14">
            <v>0</v>
          </cell>
          <cell r="M14">
            <v>0</v>
          </cell>
          <cell r="N14">
            <v>0</v>
          </cell>
          <cell r="O14">
            <v>0</v>
          </cell>
          <cell r="Q14">
            <v>0</v>
          </cell>
          <cell r="R14">
            <v>0</v>
          </cell>
          <cell r="S14">
            <v>0</v>
          </cell>
        </row>
        <row r="15">
          <cell r="C15"/>
          <cell r="E15">
            <v>0</v>
          </cell>
          <cell r="F15">
            <v>0</v>
          </cell>
          <cell r="G15">
            <v>0</v>
          </cell>
          <cell r="I15">
            <v>0</v>
          </cell>
          <cell r="J15">
            <v>0</v>
          </cell>
          <cell r="K15">
            <v>0</v>
          </cell>
          <cell r="M15">
            <v>0</v>
          </cell>
          <cell r="N15">
            <v>0</v>
          </cell>
          <cell r="O15">
            <v>0</v>
          </cell>
          <cell r="Q15">
            <v>0</v>
          </cell>
          <cell r="R15">
            <v>0</v>
          </cell>
          <cell r="S15">
            <v>0</v>
          </cell>
        </row>
        <row r="16">
          <cell r="C16"/>
          <cell r="E16">
            <v>0</v>
          </cell>
          <cell r="F16">
            <v>0</v>
          </cell>
          <cell r="G16">
            <v>0</v>
          </cell>
          <cell r="I16">
            <v>0</v>
          </cell>
          <cell r="J16">
            <v>0</v>
          </cell>
          <cell r="K16">
            <v>0</v>
          </cell>
          <cell r="M16">
            <v>0</v>
          </cell>
          <cell r="N16">
            <v>0</v>
          </cell>
          <cell r="O16">
            <v>0</v>
          </cell>
          <cell r="Q16">
            <v>0</v>
          </cell>
          <cell r="R16">
            <v>0</v>
          </cell>
          <cell r="S16">
            <v>0</v>
          </cell>
        </row>
        <row r="17">
          <cell r="C17"/>
          <cell r="E17">
            <v>0</v>
          </cell>
          <cell r="F17">
            <v>0</v>
          </cell>
          <cell r="G17">
            <v>0</v>
          </cell>
          <cell r="I17">
            <v>0</v>
          </cell>
          <cell r="J17">
            <v>0</v>
          </cell>
          <cell r="K17">
            <v>0</v>
          </cell>
          <cell r="M17">
            <v>0</v>
          </cell>
          <cell r="N17">
            <v>0</v>
          </cell>
          <cell r="O17">
            <v>0</v>
          </cell>
          <cell r="Q17">
            <v>0</v>
          </cell>
          <cell r="R17">
            <v>0</v>
          </cell>
          <cell r="S17">
            <v>0</v>
          </cell>
        </row>
        <row r="18">
          <cell r="C18"/>
          <cell r="E18">
            <v>0</v>
          </cell>
          <cell r="F18">
            <v>0</v>
          </cell>
          <cell r="G18">
            <v>0</v>
          </cell>
          <cell r="I18">
            <v>0</v>
          </cell>
          <cell r="J18">
            <v>0</v>
          </cell>
          <cell r="K18">
            <v>0</v>
          </cell>
          <cell r="M18">
            <v>0</v>
          </cell>
          <cell r="N18">
            <v>0</v>
          </cell>
          <cell r="O18">
            <v>0</v>
          </cell>
          <cell r="Q18">
            <v>0</v>
          </cell>
          <cell r="R18">
            <v>0</v>
          </cell>
          <cell r="S18">
            <v>0</v>
          </cell>
        </row>
        <row r="19">
          <cell r="C19"/>
          <cell r="E19">
            <v>0</v>
          </cell>
          <cell r="F19">
            <v>0</v>
          </cell>
          <cell r="G19">
            <v>0</v>
          </cell>
          <cell r="I19">
            <v>0</v>
          </cell>
          <cell r="J19">
            <v>0</v>
          </cell>
          <cell r="K19">
            <v>0</v>
          </cell>
          <cell r="M19">
            <v>0</v>
          </cell>
          <cell r="N19">
            <v>0</v>
          </cell>
          <cell r="O19">
            <v>0</v>
          </cell>
          <cell r="Q19">
            <v>0</v>
          </cell>
          <cell r="R19">
            <v>0</v>
          </cell>
          <cell r="S19">
            <v>0</v>
          </cell>
        </row>
        <row r="20">
          <cell r="C20"/>
          <cell r="E20">
            <v>0</v>
          </cell>
          <cell r="F20">
            <v>0</v>
          </cell>
          <cell r="G20">
            <v>0</v>
          </cell>
          <cell r="I20">
            <v>0</v>
          </cell>
          <cell r="J20">
            <v>0</v>
          </cell>
          <cell r="K20">
            <v>0</v>
          </cell>
          <cell r="M20">
            <v>0</v>
          </cell>
          <cell r="N20">
            <v>0</v>
          </cell>
          <cell r="O20">
            <v>0</v>
          </cell>
          <cell r="Q20">
            <v>0</v>
          </cell>
          <cell r="R20">
            <v>0</v>
          </cell>
          <cell r="S20">
            <v>0</v>
          </cell>
        </row>
        <row r="21">
          <cell r="C21"/>
          <cell r="E21">
            <v>0</v>
          </cell>
          <cell r="F21">
            <v>0</v>
          </cell>
          <cell r="G21">
            <v>0</v>
          </cell>
          <cell r="I21">
            <v>0</v>
          </cell>
          <cell r="J21">
            <v>0</v>
          </cell>
          <cell r="K21">
            <v>0</v>
          </cell>
          <cell r="M21">
            <v>0</v>
          </cell>
          <cell r="N21">
            <v>0</v>
          </cell>
          <cell r="O21">
            <v>0</v>
          </cell>
          <cell r="Q21">
            <v>0</v>
          </cell>
          <cell r="R21">
            <v>0</v>
          </cell>
          <cell r="S21">
            <v>0</v>
          </cell>
        </row>
        <row r="22">
          <cell r="C22"/>
          <cell r="E22">
            <v>0</v>
          </cell>
          <cell r="F22">
            <v>0</v>
          </cell>
          <cell r="G22">
            <v>0</v>
          </cell>
          <cell r="I22">
            <v>0</v>
          </cell>
          <cell r="J22">
            <v>0</v>
          </cell>
          <cell r="K22">
            <v>0</v>
          </cell>
          <cell r="M22">
            <v>0</v>
          </cell>
          <cell r="N22">
            <v>0</v>
          </cell>
          <cell r="O22">
            <v>0</v>
          </cell>
          <cell r="Q22">
            <v>0</v>
          </cell>
          <cell r="R22">
            <v>0</v>
          </cell>
          <cell r="S22">
            <v>0</v>
          </cell>
        </row>
        <row r="23">
          <cell r="C23"/>
          <cell r="E23">
            <v>0</v>
          </cell>
          <cell r="F23">
            <v>0</v>
          </cell>
          <cell r="G23">
            <v>0</v>
          </cell>
          <cell r="I23">
            <v>0</v>
          </cell>
          <cell r="J23">
            <v>0</v>
          </cell>
          <cell r="K23">
            <v>0</v>
          </cell>
          <cell r="M23">
            <v>0</v>
          </cell>
          <cell r="N23">
            <v>0</v>
          </cell>
          <cell r="O23">
            <v>0</v>
          </cell>
          <cell r="Q23">
            <v>0</v>
          </cell>
          <cell r="R23">
            <v>0</v>
          </cell>
          <cell r="S23">
            <v>0</v>
          </cell>
        </row>
        <row r="24">
          <cell r="C24"/>
          <cell r="E24">
            <v>0</v>
          </cell>
          <cell r="F24">
            <v>0</v>
          </cell>
          <cell r="G24">
            <v>0</v>
          </cell>
          <cell r="I24">
            <v>0</v>
          </cell>
          <cell r="J24">
            <v>0</v>
          </cell>
          <cell r="K24">
            <v>0</v>
          </cell>
          <cell r="M24">
            <v>0</v>
          </cell>
          <cell r="N24">
            <v>0</v>
          </cell>
          <cell r="O24">
            <v>0</v>
          </cell>
          <cell r="Q24">
            <v>0</v>
          </cell>
          <cell r="R24">
            <v>0</v>
          </cell>
          <cell r="S24">
            <v>0</v>
          </cell>
        </row>
        <row r="25">
          <cell r="C25"/>
          <cell r="E25">
            <v>0</v>
          </cell>
          <cell r="F25">
            <v>0</v>
          </cell>
          <cell r="G25">
            <v>0</v>
          </cell>
          <cell r="I25">
            <v>0</v>
          </cell>
          <cell r="J25">
            <v>0</v>
          </cell>
          <cell r="K25">
            <v>0</v>
          </cell>
          <cell r="M25">
            <v>0</v>
          </cell>
          <cell r="N25">
            <v>0</v>
          </cell>
          <cell r="O25">
            <v>0</v>
          </cell>
          <cell r="Q25">
            <v>0</v>
          </cell>
          <cell r="R25">
            <v>0</v>
          </cell>
          <cell r="S25">
            <v>0</v>
          </cell>
        </row>
        <row r="26">
          <cell r="C26" t="str">
            <v>Management Fee</v>
          </cell>
          <cell r="E26">
            <v>1000</v>
          </cell>
          <cell r="F26">
            <v>100</v>
          </cell>
          <cell r="G26">
            <v>1.1989243250955244E-3</v>
          </cell>
          <cell r="I26">
            <v>1000</v>
          </cell>
          <cell r="J26">
            <v>100</v>
          </cell>
          <cell r="K26">
            <v>1.1989243250955244E-3</v>
          </cell>
          <cell r="M26">
            <v>1000</v>
          </cell>
          <cell r="N26">
            <v>100</v>
          </cell>
          <cell r="O26">
            <v>1.1989243250955244E-3</v>
          </cell>
          <cell r="R26">
            <v>0.25</v>
          </cell>
          <cell r="S26">
            <v>0.18</v>
          </cell>
        </row>
        <row r="27">
          <cell r="D27" t="str">
            <v>(as a % of EGI)</v>
          </cell>
          <cell r="F27">
            <v>0.05</v>
          </cell>
          <cell r="G27">
            <v>0.05</v>
          </cell>
          <cell r="J27">
            <v>0.05</v>
          </cell>
          <cell r="K27">
            <v>0.05</v>
          </cell>
          <cell r="N27">
            <v>0.05</v>
          </cell>
          <cell r="O27">
            <v>0.05</v>
          </cell>
        </row>
        <row r="28">
          <cell r="C28"/>
          <cell r="E28">
            <v>0</v>
          </cell>
          <cell r="F28">
            <v>0</v>
          </cell>
          <cell r="G28">
            <v>0</v>
          </cell>
          <cell r="I28">
            <v>0</v>
          </cell>
          <cell r="J28">
            <v>0</v>
          </cell>
          <cell r="K28">
            <v>0</v>
          </cell>
          <cell r="M28">
            <v>0</v>
          </cell>
          <cell r="N28">
            <v>0</v>
          </cell>
          <cell r="O28">
            <v>0</v>
          </cell>
          <cell r="Q28">
            <v>0</v>
          </cell>
          <cell r="R28">
            <v>0</v>
          </cell>
          <cell r="S28">
            <v>0</v>
          </cell>
        </row>
        <row r="29">
          <cell r="C29"/>
          <cell r="E29">
            <v>0</v>
          </cell>
          <cell r="F29">
            <v>0</v>
          </cell>
          <cell r="G29">
            <v>0</v>
          </cell>
          <cell r="I29">
            <v>0</v>
          </cell>
          <cell r="J29">
            <v>0</v>
          </cell>
          <cell r="K29">
            <v>0</v>
          </cell>
          <cell r="M29">
            <v>0</v>
          </cell>
          <cell r="N29">
            <v>0</v>
          </cell>
          <cell r="O29">
            <v>0</v>
          </cell>
          <cell r="Q29">
            <v>0</v>
          </cell>
          <cell r="R29">
            <v>0</v>
          </cell>
          <cell r="S29">
            <v>0</v>
          </cell>
        </row>
        <row r="30">
          <cell r="C30"/>
          <cell r="E30">
            <v>0</v>
          </cell>
          <cell r="F30">
            <v>0</v>
          </cell>
          <cell r="G30">
            <v>0</v>
          </cell>
          <cell r="I30">
            <v>0</v>
          </cell>
          <cell r="J30">
            <v>0</v>
          </cell>
          <cell r="K30">
            <v>0</v>
          </cell>
          <cell r="M30">
            <v>0</v>
          </cell>
          <cell r="N30">
            <v>0</v>
          </cell>
          <cell r="O30">
            <v>0</v>
          </cell>
          <cell r="Q30">
            <v>0</v>
          </cell>
          <cell r="R30">
            <v>0</v>
          </cell>
          <cell r="S30">
            <v>0</v>
          </cell>
        </row>
        <row r="31">
          <cell r="C31"/>
          <cell r="E31">
            <v>0</v>
          </cell>
          <cell r="F31">
            <v>0</v>
          </cell>
          <cell r="G31">
            <v>0</v>
          </cell>
          <cell r="I31">
            <v>0</v>
          </cell>
          <cell r="J31">
            <v>0</v>
          </cell>
          <cell r="K31">
            <v>0</v>
          </cell>
          <cell r="M31">
            <v>0</v>
          </cell>
          <cell r="N31">
            <v>0</v>
          </cell>
          <cell r="O31">
            <v>0</v>
          </cell>
          <cell r="Q31">
            <v>0</v>
          </cell>
          <cell r="R31">
            <v>0</v>
          </cell>
          <cell r="S31">
            <v>0</v>
          </cell>
        </row>
        <row r="32">
          <cell r="C32"/>
          <cell r="E32">
            <v>0</v>
          </cell>
          <cell r="F32">
            <v>0</v>
          </cell>
          <cell r="G32">
            <v>0</v>
          </cell>
          <cell r="I32">
            <v>0</v>
          </cell>
          <cell r="J32">
            <v>0</v>
          </cell>
          <cell r="K32">
            <v>0</v>
          </cell>
          <cell r="M32">
            <v>0</v>
          </cell>
          <cell r="N32">
            <v>0</v>
          </cell>
          <cell r="O32">
            <v>0</v>
          </cell>
          <cell r="Q32">
            <v>0</v>
          </cell>
          <cell r="R32">
            <v>0</v>
          </cell>
          <cell r="S32">
            <v>0</v>
          </cell>
        </row>
        <row r="33">
          <cell r="C33"/>
          <cell r="E33">
            <v>0</v>
          </cell>
          <cell r="F33">
            <v>0</v>
          </cell>
          <cell r="G33">
            <v>0</v>
          </cell>
          <cell r="I33">
            <v>0</v>
          </cell>
          <cell r="J33">
            <v>0</v>
          </cell>
          <cell r="K33">
            <v>0</v>
          </cell>
          <cell r="M33">
            <v>0</v>
          </cell>
          <cell r="N33">
            <v>0</v>
          </cell>
          <cell r="O33">
            <v>0</v>
          </cell>
          <cell r="Q33">
            <v>0</v>
          </cell>
          <cell r="R33">
            <v>0</v>
          </cell>
          <cell r="S33">
            <v>0</v>
          </cell>
        </row>
        <row r="34">
          <cell r="C34" t="str">
            <v>Reserves for Replacement</v>
          </cell>
          <cell r="E34">
            <v>1000</v>
          </cell>
          <cell r="F34">
            <v>100</v>
          </cell>
          <cell r="G34">
            <v>1.1989243250955244E-3</v>
          </cell>
          <cell r="I34">
            <v>1000</v>
          </cell>
          <cell r="J34">
            <v>100</v>
          </cell>
          <cell r="K34">
            <v>1.1989243250955244E-3</v>
          </cell>
          <cell r="M34">
            <v>1000</v>
          </cell>
          <cell r="N34">
            <v>100</v>
          </cell>
          <cell r="O34">
            <v>1.1989243250955244E-3</v>
          </cell>
          <cell r="Q34">
            <v>219</v>
          </cell>
          <cell r="R34">
            <v>0.27</v>
          </cell>
          <cell r="S34">
            <v>0</v>
          </cell>
        </row>
        <row r="35">
          <cell r="C35" t="str">
            <v>Operating Expenses</v>
          </cell>
          <cell r="E35">
            <v>2000</v>
          </cell>
          <cell r="F35">
            <v>200</v>
          </cell>
          <cell r="G35">
            <v>2.3978486501910487E-3</v>
          </cell>
          <cell r="I35">
            <v>2000</v>
          </cell>
          <cell r="J35">
            <v>200</v>
          </cell>
          <cell r="K35">
            <v>2.3978486501910487E-3</v>
          </cell>
          <cell r="M35">
            <v>2000</v>
          </cell>
          <cell r="N35">
            <v>200</v>
          </cell>
          <cell r="O35">
            <v>2.3978486501910487E-3</v>
          </cell>
          <cell r="Q35">
            <v>2874</v>
          </cell>
          <cell r="R35">
            <v>4.5</v>
          </cell>
          <cell r="S35">
            <v>1.3</v>
          </cell>
        </row>
      </sheetData>
      <sheetData sheetId="69" refreshError="1">
        <row r="1">
          <cell r="F1"/>
          <cell r="K1"/>
        </row>
        <row r="4">
          <cell r="F4" t="str">
            <v xml:space="preserve">% PGI   </v>
          </cell>
          <cell r="I4" t="str">
            <v xml:space="preserve">Total      </v>
          </cell>
          <cell r="K4" t="str">
            <v xml:space="preserve">$/SF   </v>
          </cell>
        </row>
        <row r="5">
          <cell r="F5">
            <v>0.61799999999999999</v>
          </cell>
          <cell r="I5">
            <v>0</v>
          </cell>
          <cell r="K5">
            <v>0</v>
          </cell>
          <cell r="M5" t="str">
            <v>Hide</v>
          </cell>
        </row>
        <row r="6">
          <cell r="C6">
            <v>2005</v>
          </cell>
          <cell r="E6">
            <v>0.69499999999999995</v>
          </cell>
          <cell r="F6">
            <v>0.69499999999999995</v>
          </cell>
          <cell r="H6">
            <v>2005</v>
          </cell>
          <cell r="I6">
            <v>0</v>
          </cell>
          <cell r="J6">
            <v>0</v>
          </cell>
          <cell r="K6">
            <v>0</v>
          </cell>
          <cell r="M6" t="str">
            <v>Hide</v>
          </cell>
        </row>
        <row r="7">
          <cell r="C7" t="str">
            <v>2006 Annualized</v>
          </cell>
          <cell r="E7">
            <v>0.65800000000000003</v>
          </cell>
          <cell r="F7">
            <v>0.65800000000000003</v>
          </cell>
          <cell r="H7" t="str">
            <v>2006 Annualized</v>
          </cell>
          <cell r="I7">
            <v>0</v>
          </cell>
          <cell r="J7">
            <v>0</v>
          </cell>
          <cell r="K7">
            <v>0</v>
          </cell>
          <cell r="M7" t="str">
            <v>Hide</v>
          </cell>
        </row>
        <row r="8">
          <cell r="C8" t="str">
            <v>2007 Budget</v>
          </cell>
          <cell r="E8">
            <v>0.68400000000000005</v>
          </cell>
          <cell r="F8">
            <v>0.68400000000000005</v>
          </cell>
          <cell r="H8" t="str">
            <v>2007 Budget</v>
          </cell>
          <cell r="I8">
            <v>0</v>
          </cell>
          <cell r="J8">
            <v>0</v>
          </cell>
          <cell r="K8">
            <v>0</v>
          </cell>
          <cell r="M8" t="str">
            <v>Hide</v>
          </cell>
        </row>
        <row r="9">
          <cell r="F9">
            <v>0.92999999999999994</v>
          </cell>
          <cell r="I9">
            <v>0</v>
          </cell>
          <cell r="K9">
            <v>0</v>
          </cell>
        </row>
        <row r="13">
          <cell r="D13" t="str">
            <v xml:space="preserve">Total      </v>
          </cell>
          <cell r="F13" t="str">
            <v xml:space="preserve">$/SF   </v>
          </cell>
          <cell r="I13" t="str">
            <v xml:space="preserve">Total      </v>
          </cell>
          <cell r="K13" t="str">
            <v xml:space="preserve">$/SF   </v>
          </cell>
        </row>
        <row r="14">
          <cell r="D14">
            <v>0</v>
          </cell>
          <cell r="F14">
            <v>0</v>
          </cell>
          <cell r="I14">
            <v>0</v>
          </cell>
          <cell r="K14">
            <v>0</v>
          </cell>
          <cell r="M14" t="str">
            <v>Hide</v>
          </cell>
        </row>
        <row r="15">
          <cell r="C15">
            <v>2005</v>
          </cell>
          <cell r="D15">
            <v>0</v>
          </cell>
          <cell r="E15">
            <v>0</v>
          </cell>
          <cell r="F15">
            <v>0</v>
          </cell>
          <cell r="H15">
            <v>2005</v>
          </cell>
          <cell r="I15">
            <v>0</v>
          </cell>
          <cell r="J15">
            <v>0</v>
          </cell>
          <cell r="K15">
            <v>0</v>
          </cell>
          <cell r="M15" t="str">
            <v>Hide</v>
          </cell>
        </row>
        <row r="16">
          <cell r="C16" t="str">
            <v>2006 Annualized</v>
          </cell>
          <cell r="D16">
            <v>0</v>
          </cell>
          <cell r="E16">
            <v>0</v>
          </cell>
          <cell r="F16">
            <v>0</v>
          </cell>
          <cell r="H16" t="str">
            <v>2006 Annualized</v>
          </cell>
          <cell r="I16">
            <v>0</v>
          </cell>
          <cell r="J16">
            <v>0</v>
          </cell>
          <cell r="K16">
            <v>0</v>
          </cell>
          <cell r="M16" t="str">
            <v>Hide</v>
          </cell>
        </row>
        <row r="17">
          <cell r="C17" t="str">
            <v>2007 Budget</v>
          </cell>
          <cell r="D17">
            <v>0</v>
          </cell>
          <cell r="E17">
            <v>0</v>
          </cell>
          <cell r="F17">
            <v>0</v>
          </cell>
          <cell r="H17" t="str">
            <v>2007 Budget</v>
          </cell>
          <cell r="I17">
            <v>0</v>
          </cell>
          <cell r="J17">
            <v>0</v>
          </cell>
          <cell r="K17">
            <v>0</v>
          </cell>
          <cell r="M17" t="str">
            <v>Hide</v>
          </cell>
        </row>
        <row r="18">
          <cell r="D18">
            <v>0</v>
          </cell>
          <cell r="F18">
            <v>0</v>
          </cell>
          <cell r="I18">
            <v>0</v>
          </cell>
          <cell r="K18">
            <v>0</v>
          </cell>
        </row>
        <row r="22">
          <cell r="D22" t="str">
            <v xml:space="preserve">Total      </v>
          </cell>
          <cell r="F22" t="str">
            <v xml:space="preserve">$/SF   </v>
          </cell>
          <cell r="I22" t="str">
            <v xml:space="preserve">Total      </v>
          </cell>
          <cell r="K22" t="str">
            <v xml:space="preserve">$/SF   </v>
          </cell>
        </row>
        <row r="23">
          <cell r="D23">
            <v>0</v>
          </cell>
          <cell r="F23">
            <v>0</v>
          </cell>
          <cell r="I23">
            <v>0</v>
          </cell>
          <cell r="K23">
            <v>0</v>
          </cell>
          <cell r="M23" t="str">
            <v>Hide</v>
          </cell>
        </row>
        <row r="24">
          <cell r="C24">
            <v>2005</v>
          </cell>
          <cell r="D24">
            <v>0</v>
          </cell>
          <cell r="E24">
            <v>0</v>
          </cell>
          <cell r="F24">
            <v>0</v>
          </cell>
          <cell r="H24">
            <v>2005</v>
          </cell>
          <cell r="I24">
            <v>0</v>
          </cell>
          <cell r="J24">
            <v>0</v>
          </cell>
          <cell r="K24">
            <v>0</v>
          </cell>
          <cell r="M24" t="str">
            <v>Hide</v>
          </cell>
        </row>
        <row r="25">
          <cell r="C25" t="str">
            <v>2006 Annualized</v>
          </cell>
          <cell r="D25">
            <v>0</v>
          </cell>
          <cell r="E25">
            <v>0</v>
          </cell>
          <cell r="F25">
            <v>0</v>
          </cell>
          <cell r="H25" t="str">
            <v>2006 Annualized</v>
          </cell>
          <cell r="I25">
            <v>0</v>
          </cell>
          <cell r="J25">
            <v>0</v>
          </cell>
          <cell r="K25">
            <v>0</v>
          </cell>
          <cell r="M25" t="str">
            <v>Hide</v>
          </cell>
        </row>
        <row r="26">
          <cell r="C26" t="str">
            <v>2007 Budget</v>
          </cell>
          <cell r="D26">
            <v>0</v>
          </cell>
          <cell r="E26">
            <v>0</v>
          </cell>
          <cell r="F26">
            <v>0</v>
          </cell>
          <cell r="H26" t="str">
            <v>2007 Budget</v>
          </cell>
          <cell r="I26">
            <v>0</v>
          </cell>
          <cell r="J26">
            <v>0</v>
          </cell>
          <cell r="K26">
            <v>0</v>
          </cell>
          <cell r="M26" t="str">
            <v>Hide</v>
          </cell>
        </row>
        <row r="27">
          <cell r="D27">
            <v>0</v>
          </cell>
          <cell r="F27">
            <v>0</v>
          </cell>
          <cell r="I27">
            <v>0</v>
          </cell>
          <cell r="K27">
            <v>0</v>
          </cell>
        </row>
        <row r="31">
          <cell r="D31" t="str">
            <v xml:space="preserve">Total      </v>
          </cell>
          <cell r="F31" t="str">
            <v xml:space="preserve">$/SF   </v>
          </cell>
          <cell r="I31" t="str">
            <v xml:space="preserve">Total      </v>
          </cell>
          <cell r="K31" t="str">
            <v xml:space="preserve">% EGI   </v>
          </cell>
        </row>
        <row r="32">
          <cell r="D32">
            <v>0</v>
          </cell>
          <cell r="F32">
            <v>0</v>
          </cell>
          <cell r="I32">
            <v>0</v>
          </cell>
          <cell r="K32">
            <v>0</v>
          </cell>
          <cell r="M32" t="str">
            <v>Hide</v>
          </cell>
        </row>
        <row r="33">
          <cell r="C33">
            <v>2005</v>
          </cell>
          <cell r="D33">
            <v>0</v>
          </cell>
          <cell r="E33">
            <v>0</v>
          </cell>
          <cell r="F33">
            <v>0</v>
          </cell>
          <cell r="H33">
            <v>2005</v>
          </cell>
          <cell r="I33">
            <v>0</v>
          </cell>
          <cell r="J33">
            <v>0</v>
          </cell>
          <cell r="K33">
            <v>0</v>
          </cell>
          <cell r="M33" t="str">
            <v>Hide</v>
          </cell>
        </row>
        <row r="34">
          <cell r="C34" t="str">
            <v>2006 Annualized</v>
          </cell>
          <cell r="D34">
            <v>0</v>
          </cell>
          <cell r="E34">
            <v>0</v>
          </cell>
          <cell r="F34">
            <v>0</v>
          </cell>
          <cell r="H34" t="str">
            <v>2006 Annualized</v>
          </cell>
          <cell r="I34">
            <v>0</v>
          </cell>
          <cell r="J34">
            <v>0</v>
          </cell>
          <cell r="K34">
            <v>0</v>
          </cell>
          <cell r="M34" t="str">
            <v>Hide</v>
          </cell>
        </row>
        <row r="35">
          <cell r="C35" t="str">
            <v>2007 Budget</v>
          </cell>
          <cell r="D35">
            <v>0</v>
          </cell>
          <cell r="E35">
            <v>0</v>
          </cell>
          <cell r="F35">
            <v>0</v>
          </cell>
          <cell r="H35" t="str">
            <v>2007 Budget</v>
          </cell>
          <cell r="I35">
            <v>0</v>
          </cell>
          <cell r="J35">
            <v>0</v>
          </cell>
          <cell r="K35">
            <v>0</v>
          </cell>
          <cell r="M35" t="str">
            <v>Hide</v>
          </cell>
        </row>
        <row r="36">
          <cell r="D36">
            <v>0</v>
          </cell>
          <cell r="F36">
            <v>0</v>
          </cell>
          <cell r="I36">
            <v>2089.1519999999996</v>
          </cell>
          <cell r="K36">
            <v>2.9999999999999995E-2</v>
          </cell>
        </row>
        <row r="40">
          <cell r="D40" t="str">
            <v xml:space="preserve">Total      </v>
          </cell>
          <cell r="F40" t="str">
            <v xml:space="preserve">$/SF   </v>
          </cell>
          <cell r="I40" t="str">
            <v xml:space="preserve">Total      </v>
          </cell>
          <cell r="K40" t="str">
            <v xml:space="preserve">$/SF   </v>
          </cell>
          <cell r="N40">
            <v>1</v>
          </cell>
        </row>
        <row r="41">
          <cell r="D41">
            <v>0</v>
          </cell>
          <cell r="F41">
            <v>0</v>
          </cell>
          <cell r="I41">
            <v>0</v>
          </cell>
          <cell r="K41">
            <v>0</v>
          </cell>
          <cell r="M41" t="str">
            <v>Hide</v>
          </cell>
        </row>
        <row r="42">
          <cell r="C42">
            <v>2005</v>
          </cell>
          <cell r="D42">
            <v>0</v>
          </cell>
          <cell r="E42">
            <v>0</v>
          </cell>
          <cell r="F42">
            <v>0</v>
          </cell>
          <cell r="H42">
            <v>2005</v>
          </cell>
          <cell r="I42">
            <v>0</v>
          </cell>
          <cell r="J42">
            <v>0</v>
          </cell>
          <cell r="K42">
            <v>0</v>
          </cell>
          <cell r="M42" t="str">
            <v>Hide</v>
          </cell>
          <cell r="N42" t="b">
            <v>0</v>
          </cell>
        </row>
        <row r="43">
          <cell r="C43" t="str">
            <v>2006 Annualized</v>
          </cell>
          <cell r="D43">
            <v>0</v>
          </cell>
          <cell r="E43">
            <v>0</v>
          </cell>
          <cell r="F43">
            <v>0</v>
          </cell>
          <cell r="H43" t="str">
            <v>2006 Annualized</v>
          </cell>
          <cell r="I43">
            <v>0</v>
          </cell>
          <cell r="J43">
            <v>0</v>
          </cell>
          <cell r="K43">
            <v>0</v>
          </cell>
          <cell r="M43" t="str">
            <v>Hide</v>
          </cell>
          <cell r="N43" t="b">
            <v>0</v>
          </cell>
        </row>
        <row r="44">
          <cell r="C44" t="str">
            <v>2007 Budget</v>
          </cell>
          <cell r="D44">
            <v>0</v>
          </cell>
          <cell r="E44">
            <v>0</v>
          </cell>
          <cell r="F44">
            <v>0</v>
          </cell>
          <cell r="H44" t="str">
            <v>2007 Budget</v>
          </cell>
          <cell r="I44">
            <v>0</v>
          </cell>
          <cell r="J44">
            <v>0</v>
          </cell>
          <cell r="K44">
            <v>0</v>
          </cell>
          <cell r="M44" t="str">
            <v>Hide</v>
          </cell>
          <cell r="N44" t="b">
            <v>0</v>
          </cell>
        </row>
        <row r="45">
          <cell r="D45" t="str">
            <v xml:space="preserve">N/A      </v>
          </cell>
          <cell r="F45">
            <v>0</v>
          </cell>
          <cell r="I45" t="str">
            <v xml:space="preserve">N/A      </v>
          </cell>
          <cell r="K45">
            <v>0</v>
          </cell>
          <cell r="M45" t="str">
            <v>Hide</v>
          </cell>
        </row>
        <row r="46">
          <cell r="D46" t="str">
            <v xml:space="preserve">N/A      </v>
          </cell>
          <cell r="F46">
            <v>0</v>
          </cell>
          <cell r="I46" t="str">
            <v xml:space="preserve">N/A      </v>
          </cell>
          <cell r="K46">
            <v>0</v>
          </cell>
          <cell r="M46" t="str">
            <v>Hide</v>
          </cell>
        </row>
        <row r="47">
          <cell r="D47" t="str">
            <v xml:space="preserve">N/A      </v>
          </cell>
          <cell r="F47">
            <v>0</v>
          </cell>
          <cell r="I47" t="str">
            <v xml:space="preserve">N/A      </v>
          </cell>
          <cell r="K47">
            <v>0</v>
          </cell>
          <cell r="M47" t="str">
            <v>Hide</v>
          </cell>
        </row>
        <row r="48">
          <cell r="D48" t="str">
            <v xml:space="preserve">N/A      </v>
          </cell>
          <cell r="F48" t="str">
            <v xml:space="preserve">N/A  </v>
          </cell>
          <cell r="I48" t="str">
            <v xml:space="preserve">N/A      </v>
          </cell>
          <cell r="K48" t="str">
            <v xml:space="preserve">N/A  </v>
          </cell>
          <cell r="M48" t="str">
            <v>Hide</v>
          </cell>
          <cell r="N48" t="b">
            <v>0</v>
          </cell>
        </row>
        <row r="49">
          <cell r="D49" t="str">
            <v xml:space="preserve">N/A      </v>
          </cell>
          <cell r="F49">
            <v>0</v>
          </cell>
          <cell r="I49" t="str">
            <v xml:space="preserve">N/A      </v>
          </cell>
          <cell r="K49">
            <v>0</v>
          </cell>
          <cell r="M49" t="str">
            <v>Hide</v>
          </cell>
        </row>
        <row r="50">
          <cell r="D50" t="str">
            <v xml:space="preserve">N/A      </v>
          </cell>
          <cell r="F50">
            <v>0</v>
          </cell>
          <cell r="I50" t="str">
            <v xml:space="preserve">N/A      </v>
          </cell>
          <cell r="K50">
            <v>0</v>
          </cell>
          <cell r="M50" t="str">
            <v>Hide</v>
          </cell>
        </row>
        <row r="51">
          <cell r="D51">
            <v>0</v>
          </cell>
          <cell r="F51">
            <v>0</v>
          </cell>
          <cell r="I51">
            <v>0</v>
          </cell>
          <cell r="K51">
            <v>0</v>
          </cell>
        </row>
        <row r="55">
          <cell r="D55" t="str">
            <v xml:space="preserve">Total      </v>
          </cell>
          <cell r="F55" t="str">
            <v xml:space="preserve">$/SF   </v>
          </cell>
          <cell r="I55" t="str">
            <v xml:space="preserve">Total      </v>
          </cell>
          <cell r="K55" t="str">
            <v xml:space="preserve">$/SF   </v>
          </cell>
        </row>
        <row r="56">
          <cell r="C56">
            <v>2004</v>
          </cell>
          <cell r="D56">
            <v>0</v>
          </cell>
          <cell r="E56">
            <v>0</v>
          </cell>
          <cell r="F56">
            <v>0</v>
          </cell>
          <cell r="H56">
            <v>2004</v>
          </cell>
          <cell r="I56">
            <v>0</v>
          </cell>
          <cell r="J56">
            <v>0</v>
          </cell>
          <cell r="K56">
            <v>0</v>
          </cell>
          <cell r="M56" t="str">
            <v>Hide</v>
          </cell>
        </row>
        <row r="57">
          <cell r="C57">
            <v>2005</v>
          </cell>
          <cell r="D57">
            <v>0</v>
          </cell>
          <cell r="E57">
            <v>0</v>
          </cell>
          <cell r="F57">
            <v>0</v>
          </cell>
          <cell r="H57">
            <v>2005</v>
          </cell>
          <cell r="I57">
            <v>0</v>
          </cell>
          <cell r="J57">
            <v>0</v>
          </cell>
          <cell r="K57">
            <v>0</v>
          </cell>
          <cell r="M57" t="str">
            <v>Hide</v>
          </cell>
        </row>
        <row r="58">
          <cell r="C58" t="str">
            <v>2006 Annualized</v>
          </cell>
          <cell r="D58">
            <v>0</v>
          </cell>
          <cell r="E58">
            <v>0</v>
          </cell>
          <cell r="F58">
            <v>0</v>
          </cell>
          <cell r="H58" t="str">
            <v>2006 Annualized</v>
          </cell>
          <cell r="I58">
            <v>0</v>
          </cell>
          <cell r="J58">
            <v>0</v>
          </cell>
          <cell r="K58">
            <v>0</v>
          </cell>
          <cell r="M58" t="str">
            <v>Hide</v>
          </cell>
        </row>
        <row r="59">
          <cell r="D59">
            <v>0</v>
          </cell>
          <cell r="F59">
            <v>0</v>
          </cell>
          <cell r="I59">
            <v>0</v>
          </cell>
          <cell r="K59">
            <v>0</v>
          </cell>
          <cell r="M59" t="str">
            <v>Hide</v>
          </cell>
        </row>
        <row r="60">
          <cell r="D60" t="str">
            <v xml:space="preserve">N/A      </v>
          </cell>
          <cell r="F60">
            <v>0</v>
          </cell>
          <cell r="I60" t="str">
            <v xml:space="preserve">N/A      </v>
          </cell>
          <cell r="K60">
            <v>0</v>
          </cell>
          <cell r="M60" t="str">
            <v>Hide</v>
          </cell>
        </row>
        <row r="61">
          <cell r="D61" t="str">
            <v xml:space="preserve">N/A      </v>
          </cell>
          <cell r="F61">
            <v>0</v>
          </cell>
          <cell r="I61" t="str">
            <v xml:space="preserve">N/A      </v>
          </cell>
          <cell r="K61">
            <v>0</v>
          </cell>
          <cell r="M61" t="str">
            <v>Hide</v>
          </cell>
        </row>
        <row r="62">
          <cell r="D62" t="str">
            <v xml:space="preserve">N/A      </v>
          </cell>
          <cell r="F62">
            <v>0</v>
          </cell>
          <cell r="I62" t="str">
            <v xml:space="preserve">N/A      </v>
          </cell>
          <cell r="K62">
            <v>0</v>
          </cell>
          <cell r="M62" t="str">
            <v>Hide</v>
          </cell>
        </row>
        <row r="63">
          <cell r="D63" t="str">
            <v xml:space="preserve">N/A      </v>
          </cell>
          <cell r="F63" t="str">
            <v xml:space="preserve">N/A  </v>
          </cell>
          <cell r="I63" t="str">
            <v xml:space="preserve">N/A      </v>
          </cell>
          <cell r="K63" t="str">
            <v xml:space="preserve">N/A  </v>
          </cell>
          <cell r="M63" t="str">
            <v>Hide</v>
          </cell>
        </row>
        <row r="64">
          <cell r="D64" t="str">
            <v xml:space="preserve">N/A      </v>
          </cell>
          <cell r="F64">
            <v>0</v>
          </cell>
          <cell r="I64" t="str">
            <v xml:space="preserve">N/A      </v>
          </cell>
          <cell r="K64">
            <v>0</v>
          </cell>
          <cell r="M64" t="str">
            <v>Hide</v>
          </cell>
        </row>
        <row r="65">
          <cell r="D65" t="str">
            <v xml:space="preserve">N/A      </v>
          </cell>
          <cell r="F65">
            <v>0</v>
          </cell>
          <cell r="I65" t="str">
            <v xml:space="preserve">N/A      </v>
          </cell>
          <cell r="K65">
            <v>0</v>
          </cell>
          <cell r="M65" t="str">
            <v>Hide</v>
          </cell>
        </row>
        <row r="66">
          <cell r="D66">
            <v>0</v>
          </cell>
          <cell r="F66">
            <v>0</v>
          </cell>
          <cell r="I66">
            <v>0</v>
          </cell>
          <cell r="K66">
            <v>0</v>
          </cell>
        </row>
        <row r="70">
          <cell r="D70" t="str">
            <v xml:space="preserve">Total      </v>
          </cell>
          <cell r="F70" t="str">
            <v xml:space="preserve">$/SF   </v>
          </cell>
          <cell r="I70" t="str">
            <v xml:space="preserve">Total      </v>
          </cell>
          <cell r="K70" t="str">
            <v xml:space="preserve">$/SF   </v>
          </cell>
        </row>
        <row r="71">
          <cell r="D71">
            <v>0</v>
          </cell>
          <cell r="F71">
            <v>0</v>
          </cell>
          <cell r="I71">
            <v>0</v>
          </cell>
          <cell r="K71">
            <v>0</v>
          </cell>
          <cell r="M71" t="str">
            <v>Hide</v>
          </cell>
        </row>
        <row r="72">
          <cell r="D72">
            <v>0</v>
          </cell>
          <cell r="F72">
            <v>0</v>
          </cell>
          <cell r="I72">
            <v>0</v>
          </cell>
          <cell r="K72">
            <v>0</v>
          </cell>
          <cell r="M72" t="str">
            <v>Hide</v>
          </cell>
        </row>
        <row r="73">
          <cell r="D73">
            <v>0</v>
          </cell>
          <cell r="F73">
            <v>0</v>
          </cell>
          <cell r="I73">
            <v>0</v>
          </cell>
          <cell r="K73">
            <v>0</v>
          </cell>
          <cell r="M73" t="str">
            <v>Hide</v>
          </cell>
        </row>
        <row r="74">
          <cell r="D74">
            <v>0</v>
          </cell>
          <cell r="F74">
            <v>0</v>
          </cell>
          <cell r="I74">
            <v>0</v>
          </cell>
          <cell r="K74">
            <v>0</v>
          </cell>
          <cell r="M74" t="str">
            <v>Hide</v>
          </cell>
        </row>
        <row r="75">
          <cell r="D75" t="str">
            <v xml:space="preserve">N/A      </v>
          </cell>
          <cell r="F75">
            <v>0</v>
          </cell>
          <cell r="I75" t="str">
            <v xml:space="preserve">N/A      </v>
          </cell>
          <cell r="K75">
            <v>0</v>
          </cell>
          <cell r="M75" t="str">
            <v>Hide</v>
          </cell>
        </row>
        <row r="76">
          <cell r="D76" t="str">
            <v xml:space="preserve">N/A      </v>
          </cell>
          <cell r="F76">
            <v>0</v>
          </cell>
          <cell r="I76" t="str">
            <v xml:space="preserve">N/A      </v>
          </cell>
          <cell r="K76">
            <v>0</v>
          </cell>
          <cell r="M76" t="str">
            <v>Hide</v>
          </cell>
        </row>
        <row r="77">
          <cell r="D77" t="str">
            <v xml:space="preserve">N/A      </v>
          </cell>
          <cell r="F77">
            <v>0</v>
          </cell>
          <cell r="I77" t="str">
            <v xml:space="preserve">N/A      </v>
          </cell>
          <cell r="K77">
            <v>0</v>
          </cell>
          <cell r="M77" t="str">
            <v>Hide</v>
          </cell>
        </row>
        <row r="78">
          <cell r="D78" t="str">
            <v xml:space="preserve">N/A      </v>
          </cell>
          <cell r="F78" t="str">
            <v xml:space="preserve">N/A  </v>
          </cell>
          <cell r="I78" t="str">
            <v xml:space="preserve">N/A      </v>
          </cell>
          <cell r="K78" t="str">
            <v xml:space="preserve">N/A  </v>
          </cell>
          <cell r="M78" t="str">
            <v>Hide</v>
          </cell>
        </row>
        <row r="79">
          <cell r="D79" t="str">
            <v xml:space="preserve">N/A      </v>
          </cell>
          <cell r="F79">
            <v>0</v>
          </cell>
          <cell r="I79" t="str">
            <v xml:space="preserve">N/A      </v>
          </cell>
          <cell r="K79">
            <v>0</v>
          </cell>
          <cell r="M79" t="str">
            <v>Hide</v>
          </cell>
        </row>
        <row r="80">
          <cell r="D80" t="str">
            <v xml:space="preserve">N/A      </v>
          </cell>
          <cell r="F80">
            <v>0</v>
          </cell>
          <cell r="I80" t="str">
            <v xml:space="preserve">N/A      </v>
          </cell>
          <cell r="K80">
            <v>0</v>
          </cell>
          <cell r="M80" t="str">
            <v>Hide</v>
          </cell>
        </row>
        <row r="81">
          <cell r="D81">
            <v>0</v>
          </cell>
          <cell r="F81">
            <v>0</v>
          </cell>
          <cell r="I81">
            <v>0</v>
          </cell>
          <cell r="K81">
            <v>0</v>
          </cell>
        </row>
        <row r="85">
          <cell r="D85" t="str">
            <v xml:space="preserve">Total      </v>
          </cell>
          <cell r="F85" t="str">
            <v xml:space="preserve">$/SF   </v>
          </cell>
          <cell r="I85" t="str">
            <v xml:space="preserve">Total      </v>
          </cell>
          <cell r="K85" t="str">
            <v xml:space="preserve">$/SF   </v>
          </cell>
        </row>
        <row r="86">
          <cell r="D86">
            <v>0</v>
          </cell>
          <cell r="F86">
            <v>0</v>
          </cell>
          <cell r="I86">
            <v>0</v>
          </cell>
          <cell r="K86">
            <v>0</v>
          </cell>
          <cell r="M86" t="str">
            <v>Hide</v>
          </cell>
        </row>
        <row r="87">
          <cell r="D87">
            <v>0</v>
          </cell>
          <cell r="F87">
            <v>0</v>
          </cell>
          <cell r="I87">
            <v>0</v>
          </cell>
          <cell r="K87">
            <v>0</v>
          </cell>
          <cell r="M87" t="str">
            <v>Hide</v>
          </cell>
        </row>
        <row r="88">
          <cell r="D88">
            <v>0</v>
          </cell>
          <cell r="F88">
            <v>0</v>
          </cell>
          <cell r="I88">
            <v>0</v>
          </cell>
          <cell r="K88">
            <v>0</v>
          </cell>
          <cell r="M88" t="str">
            <v>Hide</v>
          </cell>
        </row>
        <row r="89">
          <cell r="D89">
            <v>0</v>
          </cell>
          <cell r="F89">
            <v>0</v>
          </cell>
          <cell r="I89">
            <v>0</v>
          </cell>
          <cell r="K89">
            <v>0</v>
          </cell>
          <cell r="M89" t="str">
            <v>Hide</v>
          </cell>
        </row>
        <row r="90">
          <cell r="D90" t="str">
            <v xml:space="preserve">N/A      </v>
          </cell>
          <cell r="F90">
            <v>0</v>
          </cell>
          <cell r="I90" t="str">
            <v xml:space="preserve">N/A      </v>
          </cell>
          <cell r="K90">
            <v>0</v>
          </cell>
          <cell r="M90" t="str">
            <v>Hide</v>
          </cell>
        </row>
        <row r="91">
          <cell r="D91" t="str">
            <v xml:space="preserve">N/A      </v>
          </cell>
          <cell r="F91">
            <v>0</v>
          </cell>
          <cell r="I91" t="str">
            <v xml:space="preserve">N/A      </v>
          </cell>
          <cell r="K91">
            <v>0</v>
          </cell>
          <cell r="M91" t="str">
            <v>Hide</v>
          </cell>
        </row>
        <row r="92">
          <cell r="D92" t="str">
            <v xml:space="preserve">N/A      </v>
          </cell>
          <cell r="F92">
            <v>0</v>
          </cell>
          <cell r="I92" t="str">
            <v xml:space="preserve">N/A      </v>
          </cell>
          <cell r="K92">
            <v>0</v>
          </cell>
          <cell r="M92" t="str">
            <v>Hide</v>
          </cell>
        </row>
        <row r="93">
          <cell r="D93" t="str">
            <v xml:space="preserve">N/A      </v>
          </cell>
          <cell r="F93" t="str">
            <v xml:space="preserve">N/A  </v>
          </cell>
          <cell r="I93" t="str">
            <v xml:space="preserve">N/A      </v>
          </cell>
          <cell r="K93" t="str">
            <v xml:space="preserve">N/A  </v>
          </cell>
          <cell r="M93" t="str">
            <v>Hide</v>
          </cell>
        </row>
        <row r="94">
          <cell r="D94" t="str">
            <v xml:space="preserve">N/A      </v>
          </cell>
          <cell r="F94">
            <v>0</v>
          </cell>
          <cell r="I94" t="str">
            <v xml:space="preserve">N/A      </v>
          </cell>
          <cell r="K94">
            <v>0</v>
          </cell>
          <cell r="M94" t="str">
            <v>Hide</v>
          </cell>
        </row>
        <row r="95">
          <cell r="D95" t="str">
            <v xml:space="preserve">N/A      </v>
          </cell>
          <cell r="F95">
            <v>0</v>
          </cell>
          <cell r="I95" t="str">
            <v xml:space="preserve">N/A      </v>
          </cell>
          <cell r="K95">
            <v>0</v>
          </cell>
          <cell r="M95" t="str">
            <v>Hide</v>
          </cell>
        </row>
        <row r="96">
          <cell r="D96">
            <v>0</v>
          </cell>
          <cell r="F96">
            <v>0</v>
          </cell>
          <cell r="I96">
            <v>0</v>
          </cell>
          <cell r="K96">
            <v>0</v>
          </cell>
        </row>
        <row r="100">
          <cell r="D100" t="str">
            <v xml:space="preserve">Total      </v>
          </cell>
          <cell r="F100" t="str">
            <v xml:space="preserve">$/SF   </v>
          </cell>
          <cell r="I100" t="str">
            <v xml:space="preserve">Total      </v>
          </cell>
          <cell r="K100" t="str">
            <v xml:space="preserve">$/SF   </v>
          </cell>
        </row>
        <row r="101">
          <cell r="D101">
            <v>0</v>
          </cell>
          <cell r="F101">
            <v>0</v>
          </cell>
          <cell r="I101">
            <v>0</v>
          </cell>
          <cell r="K101">
            <v>0</v>
          </cell>
          <cell r="M101" t="str">
            <v>Hide</v>
          </cell>
        </row>
        <row r="102">
          <cell r="D102">
            <v>0</v>
          </cell>
          <cell r="F102">
            <v>0</v>
          </cell>
          <cell r="I102">
            <v>0</v>
          </cell>
          <cell r="K102">
            <v>0</v>
          </cell>
          <cell r="M102" t="str">
            <v>Hide</v>
          </cell>
        </row>
        <row r="103">
          <cell r="D103">
            <v>0</v>
          </cell>
          <cell r="F103">
            <v>0</v>
          </cell>
          <cell r="I103">
            <v>0</v>
          </cell>
          <cell r="K103">
            <v>0</v>
          </cell>
          <cell r="M103" t="str">
            <v>Hide</v>
          </cell>
        </row>
        <row r="104">
          <cell r="D104">
            <v>0</v>
          </cell>
          <cell r="F104">
            <v>0</v>
          </cell>
          <cell r="I104">
            <v>0</v>
          </cell>
          <cell r="K104">
            <v>0</v>
          </cell>
          <cell r="M104" t="str">
            <v>Hide</v>
          </cell>
        </row>
        <row r="105">
          <cell r="D105" t="str">
            <v xml:space="preserve">N/A      </v>
          </cell>
          <cell r="F105">
            <v>0</v>
          </cell>
          <cell r="I105" t="str">
            <v xml:space="preserve">N/A      </v>
          </cell>
          <cell r="K105">
            <v>0</v>
          </cell>
          <cell r="M105" t="str">
            <v>Hide</v>
          </cell>
        </row>
        <row r="106">
          <cell r="D106" t="str">
            <v xml:space="preserve">N/A      </v>
          </cell>
          <cell r="F106">
            <v>0</v>
          </cell>
          <cell r="I106" t="str">
            <v xml:space="preserve">N/A      </v>
          </cell>
          <cell r="K106">
            <v>0</v>
          </cell>
          <cell r="M106" t="str">
            <v>Hide</v>
          </cell>
        </row>
        <row r="107">
          <cell r="D107" t="str">
            <v xml:space="preserve">N/A      </v>
          </cell>
          <cell r="F107">
            <v>0</v>
          </cell>
          <cell r="I107" t="str">
            <v xml:space="preserve">N/A      </v>
          </cell>
          <cell r="K107">
            <v>0</v>
          </cell>
          <cell r="M107" t="str">
            <v>Hide</v>
          </cell>
        </row>
        <row r="108">
          <cell r="D108" t="str">
            <v xml:space="preserve">N/A      </v>
          </cell>
          <cell r="F108" t="str">
            <v xml:space="preserve">N/A  </v>
          </cell>
          <cell r="I108" t="str">
            <v xml:space="preserve">N/A      </v>
          </cell>
          <cell r="K108" t="str">
            <v xml:space="preserve">N/A  </v>
          </cell>
          <cell r="M108" t="str">
            <v>Hide</v>
          </cell>
        </row>
        <row r="109">
          <cell r="D109" t="str">
            <v xml:space="preserve">N/A      </v>
          </cell>
          <cell r="F109">
            <v>0</v>
          </cell>
          <cell r="I109" t="str">
            <v xml:space="preserve">N/A      </v>
          </cell>
          <cell r="K109">
            <v>0</v>
          </cell>
          <cell r="M109" t="str">
            <v>Hide</v>
          </cell>
        </row>
        <row r="110">
          <cell r="D110" t="str">
            <v xml:space="preserve">N/A      </v>
          </cell>
          <cell r="F110">
            <v>0</v>
          </cell>
          <cell r="I110" t="str">
            <v xml:space="preserve">N/A      </v>
          </cell>
          <cell r="K110">
            <v>0</v>
          </cell>
          <cell r="M110" t="str">
            <v>Hide</v>
          </cell>
        </row>
        <row r="111">
          <cell r="D111">
            <v>0</v>
          </cell>
          <cell r="F111">
            <v>0</v>
          </cell>
          <cell r="I111">
            <v>0</v>
          </cell>
          <cell r="K111">
            <v>0</v>
          </cell>
        </row>
        <row r="115">
          <cell r="D115" t="str">
            <v xml:space="preserve">Total      </v>
          </cell>
          <cell r="F115" t="str">
            <v xml:space="preserve">$/SF   </v>
          </cell>
          <cell r="I115" t="str">
            <v xml:space="preserve">Total      </v>
          </cell>
          <cell r="K115" t="str">
            <v xml:space="preserve">$/SF   </v>
          </cell>
        </row>
        <row r="116">
          <cell r="D116">
            <v>0</v>
          </cell>
          <cell r="F116">
            <v>0</v>
          </cell>
          <cell r="I116">
            <v>0</v>
          </cell>
          <cell r="K116">
            <v>0</v>
          </cell>
          <cell r="M116" t="str">
            <v>Hide</v>
          </cell>
        </row>
        <row r="117">
          <cell r="D117">
            <v>0</v>
          </cell>
          <cell r="F117">
            <v>0</v>
          </cell>
          <cell r="I117">
            <v>0</v>
          </cell>
          <cell r="K117">
            <v>0</v>
          </cell>
          <cell r="M117" t="str">
            <v>Hide</v>
          </cell>
        </row>
        <row r="118">
          <cell r="D118">
            <v>0</v>
          </cell>
          <cell r="F118">
            <v>0</v>
          </cell>
          <cell r="I118">
            <v>0</v>
          </cell>
          <cell r="K118">
            <v>0</v>
          </cell>
          <cell r="M118" t="str">
            <v>Hide</v>
          </cell>
        </row>
        <row r="119">
          <cell r="D119">
            <v>0</v>
          </cell>
          <cell r="F119">
            <v>0</v>
          </cell>
          <cell r="I119">
            <v>0</v>
          </cell>
          <cell r="K119">
            <v>0</v>
          </cell>
          <cell r="M119" t="str">
            <v>Hide</v>
          </cell>
        </row>
        <row r="120">
          <cell r="D120" t="str">
            <v xml:space="preserve">N/A      </v>
          </cell>
          <cell r="F120">
            <v>0</v>
          </cell>
          <cell r="I120" t="str">
            <v xml:space="preserve">N/A      </v>
          </cell>
          <cell r="K120">
            <v>0</v>
          </cell>
          <cell r="M120" t="str">
            <v>Hide</v>
          </cell>
        </row>
        <row r="121">
          <cell r="D121" t="str">
            <v xml:space="preserve">N/A      </v>
          </cell>
          <cell r="F121">
            <v>0</v>
          </cell>
          <cell r="I121" t="str">
            <v xml:space="preserve">N/A      </v>
          </cell>
          <cell r="K121">
            <v>0</v>
          </cell>
          <cell r="M121" t="str">
            <v>Hide</v>
          </cell>
        </row>
        <row r="122">
          <cell r="D122" t="str">
            <v xml:space="preserve">N/A      </v>
          </cell>
          <cell r="F122">
            <v>0</v>
          </cell>
          <cell r="I122" t="str">
            <v xml:space="preserve">N/A      </v>
          </cell>
          <cell r="K122">
            <v>0</v>
          </cell>
          <cell r="M122" t="str">
            <v>Hide</v>
          </cell>
        </row>
        <row r="123">
          <cell r="D123" t="str">
            <v xml:space="preserve">N/A      </v>
          </cell>
          <cell r="F123" t="str">
            <v xml:space="preserve">N/A  </v>
          </cell>
          <cell r="I123" t="str">
            <v xml:space="preserve">N/A      </v>
          </cell>
          <cell r="K123" t="str">
            <v xml:space="preserve">N/A  </v>
          </cell>
          <cell r="M123" t="str">
            <v>Hide</v>
          </cell>
        </row>
        <row r="124">
          <cell r="D124" t="str">
            <v xml:space="preserve">N/A      </v>
          </cell>
          <cell r="F124">
            <v>0</v>
          </cell>
          <cell r="I124" t="str">
            <v xml:space="preserve">N/A      </v>
          </cell>
          <cell r="K124">
            <v>0</v>
          </cell>
          <cell r="M124" t="str">
            <v>Hide</v>
          </cell>
        </row>
        <row r="125">
          <cell r="D125" t="str">
            <v xml:space="preserve">N/A      </v>
          </cell>
          <cell r="F125">
            <v>0</v>
          </cell>
          <cell r="I125" t="str">
            <v xml:space="preserve">N/A      </v>
          </cell>
          <cell r="K125">
            <v>0</v>
          </cell>
          <cell r="M125" t="str">
            <v>Hide</v>
          </cell>
        </row>
        <row r="126">
          <cell r="D126">
            <v>0</v>
          </cell>
          <cell r="F126">
            <v>0</v>
          </cell>
          <cell r="I126">
            <v>0</v>
          </cell>
          <cell r="K126">
            <v>0</v>
          </cell>
        </row>
        <row r="130">
          <cell r="D130" t="str">
            <v xml:space="preserve">Total      </v>
          </cell>
          <cell r="F130" t="str">
            <v xml:space="preserve">$/SF   </v>
          </cell>
          <cell r="I130" t="str">
            <v xml:space="preserve">Total      </v>
          </cell>
          <cell r="K130" t="str">
            <v xml:space="preserve">$/SF   </v>
          </cell>
        </row>
        <row r="131">
          <cell r="D131">
            <v>0</v>
          </cell>
          <cell r="F131">
            <v>0</v>
          </cell>
          <cell r="I131">
            <v>0</v>
          </cell>
          <cell r="K131">
            <v>0</v>
          </cell>
          <cell r="M131" t="str">
            <v>Hide</v>
          </cell>
        </row>
        <row r="132">
          <cell r="D132">
            <v>0</v>
          </cell>
          <cell r="F132">
            <v>0</v>
          </cell>
          <cell r="I132">
            <v>0</v>
          </cell>
          <cell r="K132">
            <v>0</v>
          </cell>
          <cell r="M132" t="str">
            <v>Hide</v>
          </cell>
        </row>
        <row r="133">
          <cell r="D133">
            <v>0</v>
          </cell>
          <cell r="F133">
            <v>0</v>
          </cell>
          <cell r="I133">
            <v>0</v>
          </cell>
          <cell r="K133">
            <v>0</v>
          </cell>
          <cell r="M133" t="str">
            <v>Hide</v>
          </cell>
        </row>
        <row r="134">
          <cell r="D134">
            <v>0</v>
          </cell>
          <cell r="F134">
            <v>0</v>
          </cell>
          <cell r="I134">
            <v>0</v>
          </cell>
          <cell r="K134">
            <v>0</v>
          </cell>
          <cell r="M134" t="str">
            <v>Hide</v>
          </cell>
        </row>
        <row r="135">
          <cell r="D135" t="str">
            <v xml:space="preserve">N/A      </v>
          </cell>
          <cell r="F135">
            <v>0</v>
          </cell>
          <cell r="I135" t="str">
            <v xml:space="preserve">N/A      </v>
          </cell>
          <cell r="K135">
            <v>0</v>
          </cell>
          <cell r="M135" t="str">
            <v>Hide</v>
          </cell>
        </row>
        <row r="136">
          <cell r="D136" t="str">
            <v xml:space="preserve">N/A      </v>
          </cell>
          <cell r="F136">
            <v>0</v>
          </cell>
          <cell r="I136" t="str">
            <v xml:space="preserve">N/A      </v>
          </cell>
          <cell r="K136">
            <v>0</v>
          </cell>
          <cell r="M136" t="str">
            <v>Hide</v>
          </cell>
        </row>
        <row r="137">
          <cell r="D137" t="str">
            <v xml:space="preserve">N/A      </v>
          </cell>
          <cell r="F137">
            <v>0</v>
          </cell>
          <cell r="I137" t="str">
            <v xml:space="preserve">N/A      </v>
          </cell>
          <cell r="K137">
            <v>0</v>
          </cell>
          <cell r="M137" t="str">
            <v>Hide</v>
          </cell>
        </row>
        <row r="138">
          <cell r="D138" t="str">
            <v xml:space="preserve">N/A      </v>
          </cell>
          <cell r="F138" t="str">
            <v xml:space="preserve">N/A  </v>
          </cell>
          <cell r="I138" t="str">
            <v xml:space="preserve">N/A      </v>
          </cell>
          <cell r="K138" t="str">
            <v xml:space="preserve">N/A  </v>
          </cell>
          <cell r="M138" t="str">
            <v>Hide</v>
          </cell>
        </row>
        <row r="139">
          <cell r="D139" t="str">
            <v xml:space="preserve">N/A      </v>
          </cell>
          <cell r="F139">
            <v>0</v>
          </cell>
          <cell r="I139" t="str">
            <v xml:space="preserve">N/A      </v>
          </cell>
          <cell r="K139">
            <v>0</v>
          </cell>
          <cell r="M139" t="str">
            <v>Hide</v>
          </cell>
        </row>
        <row r="140">
          <cell r="D140" t="str">
            <v xml:space="preserve">N/A      </v>
          </cell>
          <cell r="F140">
            <v>0</v>
          </cell>
          <cell r="I140" t="str">
            <v xml:space="preserve">N/A      </v>
          </cell>
          <cell r="K140">
            <v>0</v>
          </cell>
          <cell r="M140" t="str">
            <v>Hide</v>
          </cell>
        </row>
        <row r="141">
          <cell r="D141">
            <v>0</v>
          </cell>
          <cell r="F141">
            <v>0</v>
          </cell>
          <cell r="I141">
            <v>0</v>
          </cell>
          <cell r="K141">
            <v>0</v>
          </cell>
        </row>
        <row r="145">
          <cell r="D145" t="str">
            <v xml:space="preserve">Total      </v>
          </cell>
          <cell r="F145" t="str">
            <v xml:space="preserve">$/SF   </v>
          </cell>
          <cell r="I145" t="str">
            <v xml:space="preserve">Total      </v>
          </cell>
          <cell r="K145" t="str">
            <v xml:space="preserve">$/SF   </v>
          </cell>
        </row>
        <row r="146">
          <cell r="D146">
            <v>0</v>
          </cell>
          <cell r="F146">
            <v>0</v>
          </cell>
          <cell r="I146">
            <v>0</v>
          </cell>
          <cell r="K146">
            <v>0</v>
          </cell>
          <cell r="M146" t="str">
            <v>Hide</v>
          </cell>
        </row>
        <row r="147">
          <cell r="D147">
            <v>0</v>
          </cell>
          <cell r="F147">
            <v>0</v>
          </cell>
          <cell r="I147">
            <v>0</v>
          </cell>
          <cell r="K147">
            <v>0</v>
          </cell>
          <cell r="M147" t="str">
            <v>Hide</v>
          </cell>
        </row>
        <row r="148">
          <cell r="D148">
            <v>0</v>
          </cell>
          <cell r="F148">
            <v>0</v>
          </cell>
          <cell r="I148">
            <v>0</v>
          </cell>
          <cell r="K148">
            <v>0</v>
          </cell>
          <cell r="M148" t="str">
            <v>Hide</v>
          </cell>
        </row>
        <row r="149">
          <cell r="D149">
            <v>0</v>
          </cell>
          <cell r="F149">
            <v>0</v>
          </cell>
          <cell r="I149">
            <v>0</v>
          </cell>
          <cell r="K149">
            <v>0</v>
          </cell>
          <cell r="M149" t="str">
            <v>Hide</v>
          </cell>
        </row>
        <row r="150">
          <cell r="D150" t="str">
            <v xml:space="preserve">N/A      </v>
          </cell>
          <cell r="F150">
            <v>0</v>
          </cell>
          <cell r="I150" t="str">
            <v xml:space="preserve">N/A      </v>
          </cell>
          <cell r="K150">
            <v>0</v>
          </cell>
          <cell r="M150" t="str">
            <v>Hide</v>
          </cell>
        </row>
        <row r="151">
          <cell r="D151" t="str">
            <v xml:space="preserve">N/A      </v>
          </cell>
          <cell r="F151">
            <v>0</v>
          </cell>
          <cell r="I151" t="str">
            <v xml:space="preserve">N/A      </v>
          </cell>
          <cell r="K151">
            <v>0</v>
          </cell>
          <cell r="M151" t="str">
            <v>Hide</v>
          </cell>
        </row>
        <row r="152">
          <cell r="D152" t="str">
            <v xml:space="preserve">N/A      </v>
          </cell>
          <cell r="F152">
            <v>0</v>
          </cell>
          <cell r="I152" t="str">
            <v xml:space="preserve">N/A      </v>
          </cell>
          <cell r="K152">
            <v>0</v>
          </cell>
          <cell r="M152" t="str">
            <v>Hide</v>
          </cell>
        </row>
        <row r="153">
          <cell r="D153" t="str">
            <v xml:space="preserve">N/A      </v>
          </cell>
          <cell r="F153" t="str">
            <v xml:space="preserve">N/A  </v>
          </cell>
          <cell r="I153" t="str">
            <v xml:space="preserve">N/A      </v>
          </cell>
          <cell r="K153" t="str">
            <v xml:space="preserve">N/A  </v>
          </cell>
          <cell r="M153" t="str">
            <v>Hide</v>
          </cell>
        </row>
        <row r="154">
          <cell r="D154" t="str">
            <v xml:space="preserve">N/A      </v>
          </cell>
          <cell r="F154">
            <v>0</v>
          </cell>
          <cell r="I154" t="str">
            <v xml:space="preserve">N/A      </v>
          </cell>
          <cell r="K154">
            <v>0</v>
          </cell>
          <cell r="M154" t="str">
            <v>Hide</v>
          </cell>
        </row>
        <row r="155">
          <cell r="D155" t="str">
            <v xml:space="preserve">N/A      </v>
          </cell>
          <cell r="F155">
            <v>0</v>
          </cell>
          <cell r="I155" t="str">
            <v xml:space="preserve">N/A      </v>
          </cell>
          <cell r="K155">
            <v>0</v>
          </cell>
          <cell r="M155" t="str">
            <v>Hide</v>
          </cell>
        </row>
        <row r="156">
          <cell r="D156">
            <v>0</v>
          </cell>
          <cell r="F156">
            <v>0</v>
          </cell>
          <cell r="I156">
            <v>0</v>
          </cell>
          <cell r="K156">
            <v>0</v>
          </cell>
        </row>
        <row r="160">
          <cell r="D160" t="str">
            <v xml:space="preserve">Total      </v>
          </cell>
          <cell r="F160" t="str">
            <v xml:space="preserve">$/SF   </v>
          </cell>
          <cell r="I160" t="str">
            <v xml:space="preserve">Total      </v>
          </cell>
          <cell r="K160" t="str">
            <v xml:space="preserve">$/SF   </v>
          </cell>
        </row>
        <row r="161">
          <cell r="D161">
            <v>0</v>
          </cell>
          <cell r="F161">
            <v>0</v>
          </cell>
          <cell r="I161">
            <v>0</v>
          </cell>
          <cell r="K161">
            <v>0</v>
          </cell>
          <cell r="M161" t="str">
            <v>Hide</v>
          </cell>
        </row>
        <row r="162">
          <cell r="D162">
            <v>0</v>
          </cell>
          <cell r="F162">
            <v>0</v>
          </cell>
          <cell r="I162">
            <v>0</v>
          </cell>
          <cell r="K162">
            <v>0</v>
          </cell>
          <cell r="M162" t="str">
            <v>Hide</v>
          </cell>
        </row>
        <row r="163">
          <cell r="D163">
            <v>0</v>
          </cell>
          <cell r="F163">
            <v>0</v>
          </cell>
          <cell r="I163">
            <v>0</v>
          </cell>
          <cell r="K163">
            <v>0</v>
          </cell>
          <cell r="M163" t="str">
            <v>Hide</v>
          </cell>
        </row>
        <row r="164">
          <cell r="D164">
            <v>0</v>
          </cell>
          <cell r="F164">
            <v>0</v>
          </cell>
          <cell r="I164">
            <v>0</v>
          </cell>
          <cell r="K164">
            <v>0</v>
          </cell>
          <cell r="M164" t="str">
            <v>Hide</v>
          </cell>
        </row>
        <row r="165">
          <cell r="D165" t="str">
            <v xml:space="preserve">N/A      </v>
          </cell>
          <cell r="F165">
            <v>0</v>
          </cell>
          <cell r="I165" t="str">
            <v xml:space="preserve">N/A      </v>
          </cell>
          <cell r="K165">
            <v>0</v>
          </cell>
          <cell r="M165" t="str">
            <v>Hide</v>
          </cell>
        </row>
        <row r="166">
          <cell r="D166" t="str">
            <v xml:space="preserve">N/A      </v>
          </cell>
          <cell r="F166">
            <v>0</v>
          </cell>
          <cell r="I166" t="str">
            <v xml:space="preserve">N/A      </v>
          </cell>
          <cell r="K166">
            <v>0</v>
          </cell>
          <cell r="M166" t="str">
            <v>Hide</v>
          </cell>
        </row>
        <row r="167">
          <cell r="D167" t="str">
            <v xml:space="preserve">N/A      </v>
          </cell>
          <cell r="F167">
            <v>0</v>
          </cell>
          <cell r="I167" t="str">
            <v xml:space="preserve">N/A      </v>
          </cell>
          <cell r="K167">
            <v>0</v>
          </cell>
          <cell r="M167" t="str">
            <v>Hide</v>
          </cell>
        </row>
        <row r="168">
          <cell r="D168" t="str">
            <v xml:space="preserve">N/A      </v>
          </cell>
          <cell r="F168" t="str">
            <v xml:space="preserve">N/A  </v>
          </cell>
          <cell r="I168" t="str">
            <v xml:space="preserve">N/A      </v>
          </cell>
          <cell r="K168" t="str">
            <v xml:space="preserve">N/A  </v>
          </cell>
          <cell r="M168" t="str">
            <v>Hide</v>
          </cell>
        </row>
        <row r="169">
          <cell r="D169" t="str">
            <v xml:space="preserve">N/A      </v>
          </cell>
          <cell r="F169">
            <v>0</v>
          </cell>
          <cell r="I169" t="str">
            <v xml:space="preserve">N/A      </v>
          </cell>
          <cell r="K169">
            <v>0</v>
          </cell>
          <cell r="M169" t="str">
            <v>Hide</v>
          </cell>
        </row>
        <row r="170">
          <cell r="D170" t="str">
            <v xml:space="preserve">N/A      </v>
          </cell>
          <cell r="F170">
            <v>0</v>
          </cell>
          <cell r="I170" t="str">
            <v xml:space="preserve">N/A      </v>
          </cell>
          <cell r="K170">
            <v>0</v>
          </cell>
          <cell r="M170" t="str">
            <v>Hide</v>
          </cell>
        </row>
        <row r="171">
          <cell r="D171">
            <v>0</v>
          </cell>
          <cell r="F171">
            <v>0</v>
          </cell>
          <cell r="I171">
            <v>0</v>
          </cell>
          <cell r="K171">
            <v>0</v>
          </cell>
        </row>
        <row r="175">
          <cell r="D175" t="str">
            <v xml:space="preserve">Total      </v>
          </cell>
          <cell r="F175" t="str">
            <v xml:space="preserve">$/SF   </v>
          </cell>
          <cell r="I175" t="str">
            <v xml:space="preserve">Total      </v>
          </cell>
          <cell r="K175" t="str">
            <v xml:space="preserve">$/SF   </v>
          </cell>
        </row>
        <row r="176">
          <cell r="D176">
            <v>0</v>
          </cell>
          <cell r="F176">
            <v>0</v>
          </cell>
          <cell r="I176">
            <v>0</v>
          </cell>
          <cell r="K176">
            <v>0</v>
          </cell>
          <cell r="M176" t="str">
            <v>Hide</v>
          </cell>
        </row>
        <row r="177">
          <cell r="D177">
            <v>0</v>
          </cell>
          <cell r="F177">
            <v>0</v>
          </cell>
          <cell r="I177">
            <v>0</v>
          </cell>
          <cell r="K177">
            <v>0</v>
          </cell>
          <cell r="M177" t="str">
            <v>Hide</v>
          </cell>
        </row>
        <row r="178">
          <cell r="D178">
            <v>0</v>
          </cell>
          <cell r="F178">
            <v>0</v>
          </cell>
          <cell r="I178">
            <v>0</v>
          </cell>
          <cell r="K178">
            <v>0</v>
          </cell>
          <cell r="M178" t="str">
            <v>Hide</v>
          </cell>
        </row>
        <row r="179">
          <cell r="D179">
            <v>0</v>
          </cell>
          <cell r="F179">
            <v>0</v>
          </cell>
          <cell r="I179">
            <v>0</v>
          </cell>
          <cell r="K179">
            <v>0</v>
          </cell>
          <cell r="M179" t="str">
            <v>Hide</v>
          </cell>
        </row>
        <row r="180">
          <cell r="D180" t="str">
            <v xml:space="preserve">N/A      </v>
          </cell>
          <cell r="F180">
            <v>1.1989243250955244E-3</v>
          </cell>
          <cell r="I180" t="str">
            <v xml:space="preserve">N/A      </v>
          </cell>
          <cell r="K180">
            <v>2.3978486501910487E-3</v>
          </cell>
          <cell r="M180" t="str">
            <v>Hide</v>
          </cell>
        </row>
        <row r="181">
          <cell r="D181" t="str">
            <v xml:space="preserve">N/A      </v>
          </cell>
          <cell r="F181">
            <v>1.1989243250955244E-3</v>
          </cell>
          <cell r="I181" t="str">
            <v xml:space="preserve">N/A      </v>
          </cell>
          <cell r="K181">
            <v>2.3978486501910487E-3</v>
          </cell>
          <cell r="M181" t="str">
            <v>Hide</v>
          </cell>
        </row>
        <row r="182">
          <cell r="D182" t="str">
            <v xml:space="preserve">N/A      </v>
          </cell>
          <cell r="F182">
            <v>1.1989243250955244E-3</v>
          </cell>
          <cell r="I182" t="str">
            <v xml:space="preserve">N/A      </v>
          </cell>
          <cell r="K182">
            <v>2.3978486501910487E-3</v>
          </cell>
          <cell r="M182" t="str">
            <v>Hide</v>
          </cell>
        </row>
        <row r="183">
          <cell r="D183" t="str">
            <v xml:space="preserve">N/A      </v>
          </cell>
          <cell r="F183" t="str">
            <v xml:space="preserve">N/A  </v>
          </cell>
          <cell r="I183" t="str">
            <v xml:space="preserve">N/A      </v>
          </cell>
          <cell r="K183" t="str">
            <v xml:space="preserve">N/A  </v>
          </cell>
          <cell r="M183" t="str">
            <v>Hide</v>
          </cell>
        </row>
        <row r="184">
          <cell r="D184" t="str">
            <v xml:space="preserve">N/A      </v>
          </cell>
          <cell r="F184">
            <v>0.27</v>
          </cell>
          <cell r="I184" t="str">
            <v xml:space="preserve">N/A      </v>
          </cell>
          <cell r="K184">
            <v>4.5</v>
          </cell>
          <cell r="M184" t="str">
            <v>Hide</v>
          </cell>
        </row>
        <row r="185">
          <cell r="D185" t="str">
            <v xml:space="preserve">N/A      </v>
          </cell>
          <cell r="F185">
            <v>0</v>
          </cell>
          <cell r="I185" t="str">
            <v xml:space="preserve">N/A      </v>
          </cell>
          <cell r="K185">
            <v>1.3</v>
          </cell>
          <cell r="M185" t="str">
            <v>Hide</v>
          </cell>
        </row>
        <row r="186">
          <cell r="D186">
            <v>702</v>
          </cell>
          <cell r="F186">
            <v>0.15</v>
          </cell>
          <cell r="I186">
            <v>2791.1519999999996</v>
          </cell>
          <cell r="K186">
            <v>0.59639999999999993</v>
          </cell>
        </row>
        <row r="190">
          <cell r="D190" t="str">
            <v xml:space="preserve">Total      </v>
          </cell>
          <cell r="F190" t="str">
            <v xml:space="preserve">$/SF   </v>
          </cell>
          <cell r="I190" t="str">
            <v xml:space="preserve">Total      </v>
          </cell>
          <cell r="K190" t="str">
            <v>% Change</v>
          </cell>
        </row>
        <row r="191">
          <cell r="D191">
            <v>358295</v>
          </cell>
          <cell r="F191">
            <v>76.558760683760681</v>
          </cell>
          <cell r="I191">
            <v>358295</v>
          </cell>
          <cell r="K191" t="str">
            <v xml:space="preserve">---   </v>
          </cell>
          <cell r="M191" t="str">
            <v>Hide</v>
          </cell>
        </row>
        <row r="192">
          <cell r="D192">
            <v>367810</v>
          </cell>
          <cell r="F192">
            <v>78.591880341880341</v>
          </cell>
          <cell r="I192">
            <v>367810</v>
          </cell>
          <cell r="K192" t="str">
            <v xml:space="preserve">---   </v>
          </cell>
          <cell r="M192" t="str">
            <v>Hide</v>
          </cell>
        </row>
        <row r="193">
          <cell r="D193">
            <v>385917</v>
          </cell>
          <cell r="F193">
            <v>82.460897435897436</v>
          </cell>
          <cell r="I193">
            <v>385917</v>
          </cell>
          <cell r="K193" t="str">
            <v xml:space="preserve">---   </v>
          </cell>
          <cell r="M193" t="str">
            <v>Hide</v>
          </cell>
        </row>
        <row r="194">
          <cell r="D194">
            <v>416189</v>
          </cell>
          <cell r="F194">
            <v>88.92927350427351</v>
          </cell>
          <cell r="I194">
            <v>416189</v>
          </cell>
          <cell r="K194" t="str">
            <v xml:space="preserve">---   </v>
          </cell>
          <cell r="M194" t="str">
            <v>Hide</v>
          </cell>
        </row>
        <row r="195">
          <cell r="D195">
            <v>66847.247999999992</v>
          </cell>
          <cell r="F195">
            <v>14.283599999999998</v>
          </cell>
          <cell r="I195">
            <v>69638.399999999994</v>
          </cell>
          <cell r="K195">
            <v>-0.83267601978908612</v>
          </cell>
        </row>
        <row r="199">
          <cell r="F199" t="str">
            <v xml:space="preserve">% PGI   </v>
          </cell>
          <cell r="I199" t="str">
            <v xml:space="preserve">Total      </v>
          </cell>
          <cell r="K199" t="str">
            <v>% Change</v>
          </cell>
        </row>
        <row r="200">
          <cell r="F200">
            <v>1.4999999999999999E-2</v>
          </cell>
          <cell r="I200">
            <v>579765.37216828484</v>
          </cell>
          <cell r="K200" t="str">
            <v xml:space="preserve">---   </v>
          </cell>
          <cell r="M200" t="str">
            <v>Hide</v>
          </cell>
        </row>
        <row r="201">
          <cell r="F201">
            <v>1.4E-2</v>
          </cell>
          <cell r="I201">
            <v>529223.02158273384</v>
          </cell>
          <cell r="K201" t="str">
            <v xml:space="preserve">---   </v>
          </cell>
          <cell r="M201" t="str">
            <v>Hide</v>
          </cell>
        </row>
        <row r="202">
          <cell r="F202">
            <v>1.2999999999999999E-2</v>
          </cell>
          <cell r="I202">
            <v>586500</v>
          </cell>
          <cell r="K202" t="str">
            <v xml:space="preserve">---   </v>
          </cell>
          <cell r="M202" t="str">
            <v>Hide</v>
          </cell>
        </row>
        <row r="203">
          <cell r="F203">
            <v>1.2E-2</v>
          </cell>
          <cell r="I203">
            <v>608463.45029239764</v>
          </cell>
          <cell r="K203" t="str">
            <v xml:space="preserve">---   </v>
          </cell>
          <cell r="M203" t="str">
            <v>Hide</v>
          </cell>
        </row>
        <row r="204">
          <cell r="F204">
            <v>0</v>
          </cell>
          <cell r="I204">
            <v>74880</v>
          </cell>
          <cell r="K204">
            <v>-0.87693591132874726</v>
          </cell>
        </row>
        <row r="208">
          <cell r="F208" t="str">
            <v xml:space="preserve">% PGI   </v>
          </cell>
          <cell r="I208" t="str">
            <v xml:space="preserve">Total      </v>
          </cell>
          <cell r="K208" t="str">
            <v>% Change</v>
          </cell>
        </row>
        <row r="209">
          <cell r="F209">
            <v>0.38200000000000001</v>
          </cell>
          <cell r="I209">
            <v>0</v>
          </cell>
          <cell r="K209" t="str">
            <v xml:space="preserve">---   </v>
          </cell>
          <cell r="M209" t="str">
            <v>Hide</v>
          </cell>
        </row>
        <row r="210">
          <cell r="F210">
            <v>0.30500000000000005</v>
          </cell>
          <cell r="I210">
            <v>0</v>
          </cell>
          <cell r="K210" t="str">
            <v xml:space="preserve">---   </v>
          </cell>
          <cell r="M210" t="str">
            <v>Hide</v>
          </cell>
        </row>
        <row r="211">
          <cell r="F211">
            <v>0.34199999999999997</v>
          </cell>
          <cell r="I211">
            <v>0</v>
          </cell>
          <cell r="K211" t="str">
            <v xml:space="preserve">---   </v>
          </cell>
          <cell r="M211" t="str">
            <v>Hide</v>
          </cell>
        </row>
        <row r="212">
          <cell r="F212">
            <v>0.31599999999999995</v>
          </cell>
          <cell r="I212">
            <v>0</v>
          </cell>
          <cell r="K212" t="str">
            <v xml:space="preserve">---   </v>
          </cell>
          <cell r="M212" t="str">
            <v>Hide</v>
          </cell>
        </row>
        <row r="213">
          <cell r="F213">
            <v>0</v>
          </cell>
          <cell r="K213" t="str">
            <v xml:space="preserve">---   </v>
          </cell>
        </row>
        <row r="214">
          <cell r="F214">
            <v>7.0000000000000007E-2</v>
          </cell>
          <cell r="I214">
            <v>0</v>
          </cell>
          <cell r="K214" t="e">
            <v>#DIV/0!</v>
          </cell>
        </row>
        <row r="216">
          <cell r="M216" t="str">
            <v>Stop</v>
          </cell>
        </row>
      </sheetData>
      <sheetData sheetId="70" refreshError="1"/>
      <sheetData sheetId="71" refreshError="1">
        <row r="2">
          <cell r="K2">
            <v>1</v>
          </cell>
          <cell r="L2" t="str">
            <v>$/SF/Mo</v>
          </cell>
          <cell r="M2">
            <v>56160</v>
          </cell>
        </row>
        <row r="3">
          <cell r="K3">
            <v>2</v>
          </cell>
          <cell r="L3" t="str">
            <v>$/SF/Yr</v>
          </cell>
          <cell r="M3">
            <v>4680</v>
          </cell>
        </row>
        <row r="4">
          <cell r="K4">
            <v>3</v>
          </cell>
          <cell r="L4" t="str">
            <v>$/Unit/Mo</v>
          </cell>
          <cell r="M4">
            <v>12</v>
          </cell>
        </row>
        <row r="5">
          <cell r="K5">
            <v>4</v>
          </cell>
          <cell r="L5" t="str">
            <v>$/Unit/Yr</v>
          </cell>
          <cell r="M5" t="str">
            <v>1</v>
          </cell>
        </row>
        <row r="6">
          <cell r="D6" t="str">
            <v>Potential Rental Income</v>
          </cell>
          <cell r="F6">
            <v>62.4</v>
          </cell>
          <cell r="G6">
            <v>16</v>
          </cell>
          <cell r="H6">
            <v>74880</v>
          </cell>
          <cell r="K6">
            <v>2</v>
          </cell>
        </row>
        <row r="7">
          <cell r="D7" t="str">
            <v>Loss to Lease</v>
          </cell>
          <cell r="E7">
            <v>1.4999999999999999E-2</v>
          </cell>
          <cell r="F7">
            <v>0</v>
          </cell>
          <cell r="G7">
            <v>0</v>
          </cell>
          <cell r="H7">
            <v>0</v>
          </cell>
        </row>
        <row r="8">
          <cell r="D8" t="str">
            <v>Concessions</v>
          </cell>
          <cell r="E8">
            <v>0.02</v>
          </cell>
          <cell r="F8">
            <v>0</v>
          </cell>
          <cell r="G8">
            <v>0</v>
          </cell>
          <cell r="H8">
            <v>0</v>
          </cell>
        </row>
        <row r="9">
          <cell r="D9" t="str">
            <v>Adjusted Rental Income</v>
          </cell>
          <cell r="F9">
            <v>0</v>
          </cell>
          <cell r="G9">
            <v>0</v>
          </cell>
          <cell r="H9">
            <v>0</v>
          </cell>
        </row>
        <row r="10">
          <cell r="D10"/>
          <cell r="F10">
            <v>0</v>
          </cell>
          <cell r="G10">
            <v>0</v>
          </cell>
          <cell r="H10">
            <v>0</v>
          </cell>
        </row>
        <row r="11">
          <cell r="D11"/>
          <cell r="F11">
            <v>0</v>
          </cell>
          <cell r="G11">
            <v>0</v>
          </cell>
          <cell r="H11">
            <v>0</v>
          </cell>
        </row>
        <row r="12">
          <cell r="D12" t="str">
            <v>Credit Loss</v>
          </cell>
          <cell r="E12">
            <v>0</v>
          </cell>
          <cell r="F12">
            <v>0</v>
          </cell>
          <cell r="G12">
            <v>0</v>
          </cell>
          <cell r="H12">
            <v>0</v>
          </cell>
        </row>
        <row r="13">
          <cell r="D13" t="str">
            <v>Vacancy</v>
          </cell>
          <cell r="E13">
            <v>7.0000000000000007E-2</v>
          </cell>
          <cell r="F13">
            <v>-4.3680000000000003</v>
          </cell>
          <cell r="G13">
            <v>-1.1200000000000001</v>
          </cell>
          <cell r="H13">
            <v>-5241.6000000000004</v>
          </cell>
        </row>
        <row r="14">
          <cell r="D14" t="str">
            <v>Net Rental Income</v>
          </cell>
          <cell r="F14">
            <v>58.031999999999989</v>
          </cell>
          <cell r="G14">
            <v>14.879999999999999</v>
          </cell>
          <cell r="H14">
            <v>69638.399999999994</v>
          </cell>
        </row>
        <row r="16">
          <cell r="D16"/>
          <cell r="F16">
            <v>0</v>
          </cell>
          <cell r="G16">
            <v>0</v>
          </cell>
          <cell r="H16">
            <v>0</v>
          </cell>
        </row>
        <row r="17">
          <cell r="D17"/>
          <cell r="F17">
            <v>0</v>
          </cell>
          <cell r="G17">
            <v>0</v>
          </cell>
          <cell r="H17">
            <v>0</v>
          </cell>
        </row>
        <row r="18">
          <cell r="D18"/>
          <cell r="F18">
            <v>0</v>
          </cell>
          <cell r="G18">
            <v>0</v>
          </cell>
          <cell r="H18">
            <v>0</v>
          </cell>
        </row>
        <row r="19">
          <cell r="D19"/>
          <cell r="E19">
            <v>0</v>
          </cell>
          <cell r="F19">
            <v>0</v>
          </cell>
          <cell r="G19">
            <v>0</v>
          </cell>
          <cell r="H19">
            <v>0</v>
          </cell>
        </row>
        <row r="20">
          <cell r="D20"/>
          <cell r="F20">
            <v>0</v>
          </cell>
          <cell r="G20">
            <v>0</v>
          </cell>
          <cell r="H20">
            <v>0</v>
          </cell>
        </row>
        <row r="21">
          <cell r="D21" t="str">
            <v>Vacancy &amp; Credit Loss</v>
          </cell>
          <cell r="E21">
            <v>0</v>
          </cell>
          <cell r="F21">
            <v>0</v>
          </cell>
          <cell r="G21">
            <v>0</v>
          </cell>
          <cell r="H21">
            <v>0</v>
          </cell>
        </row>
        <row r="22">
          <cell r="D22" t="str">
            <v>Effective Gross Income</v>
          </cell>
          <cell r="F22">
            <v>58.031999999999989</v>
          </cell>
          <cell r="G22">
            <v>14.879999999999999</v>
          </cell>
          <cell r="H22">
            <v>69638.399999999994</v>
          </cell>
        </row>
        <row r="24">
          <cell r="D24" t="str">
            <v>Expenses</v>
          </cell>
        </row>
        <row r="25">
          <cell r="D25"/>
          <cell r="G25">
            <v>33.731089743589742</v>
          </cell>
          <cell r="H25">
            <v>0</v>
          </cell>
        </row>
        <row r="26">
          <cell r="D26"/>
          <cell r="G26">
            <v>0.05</v>
          </cell>
          <cell r="H26">
            <v>0</v>
          </cell>
        </row>
        <row r="27">
          <cell r="D27"/>
          <cell r="G27">
            <v>0.1</v>
          </cell>
          <cell r="H27">
            <v>0</v>
          </cell>
        </row>
        <row r="28">
          <cell r="D28"/>
          <cell r="G28">
            <v>0.8</v>
          </cell>
          <cell r="H28">
            <v>0</v>
          </cell>
        </row>
        <row r="29">
          <cell r="D29"/>
          <cell r="G29">
            <v>0.3</v>
          </cell>
          <cell r="H29">
            <v>0</v>
          </cell>
        </row>
        <row r="30">
          <cell r="D30"/>
          <cell r="G30">
            <v>0.35</v>
          </cell>
          <cell r="H30">
            <v>0</v>
          </cell>
        </row>
        <row r="31">
          <cell r="D31"/>
          <cell r="G31">
            <v>1</v>
          </cell>
          <cell r="H31">
            <v>0</v>
          </cell>
        </row>
        <row r="32">
          <cell r="D32"/>
          <cell r="G32">
            <v>0</v>
          </cell>
          <cell r="H32">
            <v>0</v>
          </cell>
        </row>
        <row r="33">
          <cell r="D33"/>
          <cell r="G33">
            <v>0</v>
          </cell>
          <cell r="H33">
            <v>0</v>
          </cell>
        </row>
        <row r="34">
          <cell r="D34"/>
          <cell r="G34">
            <v>0.2</v>
          </cell>
          <cell r="H34">
            <v>0</v>
          </cell>
        </row>
        <row r="35">
          <cell r="D35"/>
          <cell r="G35">
            <v>0.1</v>
          </cell>
          <cell r="H35">
            <v>0</v>
          </cell>
        </row>
        <row r="36">
          <cell r="D36"/>
          <cell r="G36">
            <v>0</v>
          </cell>
          <cell r="H36">
            <v>0</v>
          </cell>
        </row>
        <row r="37">
          <cell r="D37" t="str">
            <v>Management Fee</v>
          </cell>
          <cell r="E37">
            <v>0.03</v>
          </cell>
          <cell r="G37">
            <v>0.44639999999999991</v>
          </cell>
          <cell r="H37">
            <v>2089.1519999999996</v>
          </cell>
        </row>
        <row r="38">
          <cell r="D38"/>
          <cell r="G38">
            <v>0</v>
          </cell>
          <cell r="H38">
            <v>0</v>
          </cell>
        </row>
        <row r="39">
          <cell r="D39"/>
          <cell r="G39">
            <v>0</v>
          </cell>
          <cell r="H39">
            <v>0</v>
          </cell>
        </row>
        <row r="40">
          <cell r="D40"/>
          <cell r="G40">
            <v>0</v>
          </cell>
          <cell r="H40">
            <v>0</v>
          </cell>
        </row>
        <row r="41">
          <cell r="D41"/>
          <cell r="G41">
            <v>0</v>
          </cell>
          <cell r="H41">
            <v>0</v>
          </cell>
        </row>
        <row r="42">
          <cell r="D42"/>
          <cell r="G42">
            <v>0</v>
          </cell>
          <cell r="H42">
            <v>0</v>
          </cell>
        </row>
        <row r="43">
          <cell r="D43"/>
          <cell r="G43">
            <v>0</v>
          </cell>
          <cell r="H43">
            <v>0</v>
          </cell>
        </row>
        <row r="44">
          <cell r="D44" t="str">
            <v>Reserves for Replacement</v>
          </cell>
          <cell r="G44">
            <v>0.15</v>
          </cell>
          <cell r="H44">
            <v>702</v>
          </cell>
        </row>
        <row r="45">
          <cell r="D45" t="str">
            <v>Operating Expenses</v>
          </cell>
          <cell r="G45">
            <v>0.59639999999999993</v>
          </cell>
          <cell r="H45">
            <v>2791.1519999999996</v>
          </cell>
        </row>
        <row r="46">
          <cell r="D46" t="str">
            <v>Operating Expense Ratio</v>
          </cell>
          <cell r="H46">
            <v>4.0080645161290319E-2</v>
          </cell>
        </row>
        <row r="47">
          <cell r="D47" t="str">
            <v>Net Operating Income</v>
          </cell>
          <cell r="G47">
            <v>14.283599999999998</v>
          </cell>
          <cell r="H47">
            <v>66847.247999999992</v>
          </cell>
        </row>
        <row r="48">
          <cell r="H48">
            <v>7.4999999999999997E-2</v>
          </cell>
        </row>
        <row r="54">
          <cell r="H54">
            <v>1080000</v>
          </cell>
        </row>
      </sheetData>
      <sheetData sheetId="72" refreshError="1"/>
      <sheetData sheetId="73" refreshError="1"/>
      <sheetData sheetId="74" refreshError="1">
        <row r="46">
          <cell r="D46">
            <v>0.125</v>
          </cell>
        </row>
        <row r="47">
          <cell r="D47">
            <v>8.4999999999999992E-2</v>
          </cell>
        </row>
      </sheetData>
      <sheetData sheetId="75" refreshError="1">
        <row r="99">
          <cell r="AB99">
            <v>7710000</v>
          </cell>
        </row>
      </sheetData>
      <sheetData sheetId="76" refreshError="1"/>
      <sheetData sheetId="77"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List"/>
      <sheetName val="Certification_OLD"/>
      <sheetName val="Certification"/>
      <sheetName val="CertificationsOptions"/>
      <sheetName val="Valuation Scenarios"/>
      <sheetName val="Value Indications"/>
      <sheetName val="Lists"/>
      <sheetName val="Risk Summary"/>
      <sheetName val="Property History"/>
      <sheetName val="Scope Info"/>
      <sheetName val="H&amp;BU"/>
      <sheetName val="OptionsProperty_Old"/>
      <sheetName val="MapOptions"/>
      <sheetName val="Site Information"/>
      <sheetName val="Improvement Description"/>
      <sheetName val="Zoning"/>
      <sheetName val="Taxes"/>
      <sheetName val="TaxComps"/>
      <sheetName val="Neighborhood"/>
      <sheetName val="LSaleData"/>
      <sheetName val="LSales"/>
      <sheetName val="LSaleAdj"/>
      <sheetName val="LSaleAdj_Macro"/>
      <sheetName val="LSaleNarr"/>
      <sheetName val="CostDataSec99"/>
      <sheetName val="CostDataSec13"/>
      <sheetName val="CostDataSec14"/>
      <sheetName val="CostDataSec15"/>
      <sheetName val="OptionsCost"/>
      <sheetName val="Cost"/>
      <sheetName val="CostInsur"/>
      <sheetName val="ISaleData"/>
      <sheetName val="ISales"/>
      <sheetName val="RentRoll_Old"/>
      <sheetName val="ISaleAdj"/>
      <sheetName val="ISaleAdj_Macro"/>
      <sheetName val="ISaleTbls"/>
      <sheetName val="AdjustmentDetail"/>
      <sheetName val="ISaleNarr"/>
      <sheetName val="RentRoll"/>
      <sheetName val="RentRoll_Macro"/>
      <sheetName val="RentRollTbls"/>
      <sheetName val="RentCompData"/>
      <sheetName val="LeaseAbstracts"/>
      <sheetName val="LeaseComps"/>
      <sheetName val="StdLeaseAdj"/>
      <sheetName val="StdLeaseAdj_Macro"/>
      <sheetName val="MarketRentConclusions"/>
      <sheetName val="STMarketRentConclusions"/>
      <sheetName val="OpActuals"/>
      <sheetName val="OpSummary"/>
      <sheetName val="ExpCompData"/>
      <sheetName val="SummaryExpenseTbl"/>
      <sheetName val="Recoveries"/>
      <sheetName val="LeaseDataRaw"/>
      <sheetName val="LeaseAdjDetail"/>
      <sheetName val="LeaseAdj"/>
      <sheetName val="MarketRentConcNarr"/>
      <sheetName val="ExpCompRawData"/>
      <sheetName val="CapRates"/>
      <sheetName val="ProForma"/>
      <sheetName val="OwnerUserExpProforma"/>
      <sheetName val="ExpCompIREM"/>
      <sheetName val="ExpCompIREMregional"/>
      <sheetName val="LeaseUpAdj"/>
      <sheetName val="PwC"/>
      <sheetName val="OpSummaryGSE"/>
      <sheetName val="ProformaGSE"/>
      <sheetName val="Evaluation"/>
      <sheetName val="Scratch"/>
      <sheetName val="Sheet1"/>
      <sheetName val="DiscountedCashFlow"/>
      <sheetName val="Sheet3"/>
      <sheetName val="Comp1"/>
      <sheetName val="Comp2"/>
      <sheetName val="Comp3"/>
      <sheetName val="Comp4"/>
      <sheetName val="Comp5"/>
      <sheetName val="Comp6"/>
      <sheetName val="Comp7"/>
      <sheetName val="Comp8"/>
      <sheetName val="Comp9"/>
      <sheetName val="Comp10"/>
      <sheetName val="Client Company"/>
      <sheetName val="Client Contact"/>
      <sheetName val="Job Info"/>
      <sheetName val="Our Company"/>
      <sheetName val="Job Property"/>
      <sheetName val="Property Comments"/>
      <sheetName val="Property Attributes"/>
      <sheetName val="Property Unit Mix"/>
      <sheetName val="Comparable Rental Picklists"/>
      <sheetName val="Comp. Rental Picklist Units"/>
      <sheetName val="Comparable Sale Picklists"/>
      <sheetName val="Comp. Land Sale Picklists"/>
      <sheetName val="Job Participants"/>
      <sheetName val="Job Participant Additional Info"/>
    </sheetNames>
    <sheetDataSet>
      <sheetData sheetId="0" refreshError="1"/>
      <sheetData sheetId="1" refreshError="1"/>
      <sheetData sheetId="2" refreshError="1">
        <row r="29">
          <cell r="A29" t="str">
            <v>N/A</v>
          </cell>
        </row>
        <row r="30">
          <cell r="A30" t="str">
            <v>A</v>
          </cell>
        </row>
        <row r="31">
          <cell r="A31" t="str">
            <v>AE</v>
          </cell>
        </row>
        <row r="32">
          <cell r="A32" t="str">
            <v>AH</v>
          </cell>
        </row>
        <row r="33">
          <cell r="A33" t="str">
            <v>AO</v>
          </cell>
        </row>
        <row r="34">
          <cell r="A34" t="str">
            <v>A99</v>
          </cell>
        </row>
        <row r="35">
          <cell r="A35" t="str">
            <v>B</v>
          </cell>
        </row>
        <row r="36">
          <cell r="A36" t="str">
            <v>C</v>
          </cell>
        </row>
        <row r="37">
          <cell r="A37" t="str">
            <v>D</v>
          </cell>
        </row>
        <row r="38">
          <cell r="A38" t="str">
            <v>V</v>
          </cell>
        </row>
        <row r="39">
          <cell r="A39" t="str">
            <v>VE</v>
          </cell>
        </row>
        <row r="40">
          <cell r="A40" t="str">
            <v>X</v>
          </cell>
        </row>
      </sheetData>
      <sheetData sheetId="3" refreshError="1"/>
      <sheetData sheetId="4" refreshError="1"/>
      <sheetData sheetId="5" refreshError="1"/>
      <sheetData sheetId="6" refreshError="1">
        <row r="30">
          <cell r="B30" t="str">
            <v>4900 Florence Street</v>
          </cell>
        </row>
        <row r="32">
          <cell r="B32" t="str">
            <v>4900 Florence Street</v>
          </cell>
        </row>
        <row r="33">
          <cell r="B33" t="str">
            <v>Denver</v>
          </cell>
        </row>
        <row r="35">
          <cell r="B35" t="str">
            <v>Colorado</v>
          </cell>
        </row>
      </sheetData>
      <sheetData sheetId="7" refreshError="1"/>
      <sheetData sheetId="8" refreshError="1"/>
      <sheetData sheetId="9" refreshError="1"/>
      <sheetData sheetId="10" refreshError="1">
        <row r="34">
          <cell r="G34" t="str">
            <v>Inferior</v>
          </cell>
        </row>
        <row r="35">
          <cell r="G35" t="str">
            <v>Similar</v>
          </cell>
        </row>
        <row r="36">
          <cell r="G36" t="str">
            <v>Superior</v>
          </cell>
        </row>
        <row r="37">
          <cell r="G37" t="str">
            <v>Excellent</v>
          </cell>
        </row>
        <row r="38">
          <cell r="G38" t="str">
            <v>Good/Excellent</v>
          </cell>
        </row>
        <row r="39">
          <cell r="G39" t="str">
            <v>Good</v>
          </cell>
        </row>
        <row r="40">
          <cell r="G40" t="str">
            <v>Average/Good</v>
          </cell>
        </row>
        <row r="41">
          <cell r="G41" t="str">
            <v>Average</v>
          </cell>
        </row>
        <row r="42">
          <cell r="G42" t="str">
            <v>Average/Fair</v>
          </cell>
        </row>
        <row r="43">
          <cell r="G43" t="str">
            <v>Fair</v>
          </cell>
        </row>
        <row r="44">
          <cell r="G44" t="str">
            <v>Fair/Poor</v>
          </cell>
        </row>
        <row r="45">
          <cell r="G45" t="str">
            <v>Poor</v>
          </cell>
        </row>
        <row r="46">
          <cell r="G46" t="str">
            <v>See Narrative</v>
          </cell>
        </row>
      </sheetData>
      <sheetData sheetId="11" refreshError="1">
        <row r="4">
          <cell r="B4" t="str">
            <v>As Is</v>
          </cell>
        </row>
        <row r="5">
          <cell r="B5">
            <v>43118</v>
          </cell>
        </row>
        <row r="7">
          <cell r="B7" t="str">
            <v>Leased Fee</v>
          </cell>
        </row>
        <row r="8">
          <cell r="B8" t="str">
            <v>As Is</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5">
          <cell r="B5">
            <v>152896</v>
          </cell>
        </row>
        <row r="6">
          <cell r="B6">
            <v>3.5100091827364555</v>
          </cell>
        </row>
      </sheetData>
      <sheetData sheetId="21" refreshError="1">
        <row r="5">
          <cell r="B5">
            <v>2000</v>
          </cell>
        </row>
        <row r="11">
          <cell r="B11" t="str">
            <v>28,147</v>
          </cell>
        </row>
        <row r="12">
          <cell r="B12">
            <v>28147</v>
          </cell>
        </row>
        <row r="16">
          <cell r="B16">
            <v>1</v>
          </cell>
        </row>
        <row r="26">
          <cell r="B26">
            <v>5.43</v>
          </cell>
        </row>
        <row r="27">
          <cell r="B27">
            <v>0.12</v>
          </cell>
        </row>
        <row r="28">
          <cell r="B28" t="str">
            <v>30'</v>
          </cell>
        </row>
        <row r="39">
          <cell r="B39">
            <v>33</v>
          </cell>
        </row>
      </sheetData>
      <sheetData sheetId="22" refreshError="1"/>
      <sheetData sheetId="23" refreshError="1"/>
      <sheetData sheetId="24" refreshError="1"/>
      <sheetData sheetId="25" refreshError="1"/>
      <sheetData sheetId="26" refreshError="1"/>
      <sheetData sheetId="27" refreshError="1"/>
      <sheetData sheetId="28" refreshError="1">
        <row r="48">
          <cell r="E48">
            <v>750000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row r="44">
          <cell r="F44">
            <v>0</v>
          </cell>
        </row>
      </sheetData>
      <sheetData sheetId="37" refreshError="1"/>
      <sheetData sheetId="38" refreshError="1">
        <row r="2">
          <cell r="A2">
            <v>1</v>
          </cell>
          <cell r="B2">
            <v>0</v>
          </cell>
          <cell r="C2">
            <v>0</v>
          </cell>
          <cell r="D2">
            <v>0</v>
          </cell>
          <cell r="E2">
            <v>0</v>
          </cell>
          <cell r="F2">
            <v>0</v>
          </cell>
          <cell r="G2">
            <v>0</v>
          </cell>
          <cell r="H2">
            <v>0</v>
          </cell>
          <cell r="I2">
            <v>0</v>
          </cell>
          <cell r="J2">
            <v>0</v>
          </cell>
          <cell r="K2">
            <v>0</v>
          </cell>
          <cell r="L2">
            <v>0</v>
          </cell>
          <cell r="M2">
            <v>1987</v>
          </cell>
          <cell r="N2">
            <v>0.1</v>
          </cell>
          <cell r="O2">
            <v>0.1</v>
          </cell>
          <cell r="P2" t="str">
            <v>15</v>
          </cell>
          <cell r="Q2" t="str">
            <v>Yes</v>
          </cell>
          <cell r="R2">
            <v>0</v>
          </cell>
          <cell r="S2">
            <v>0</v>
          </cell>
          <cell r="T2">
            <v>0</v>
          </cell>
          <cell r="U2">
            <v>0</v>
          </cell>
          <cell r="V2">
            <v>0</v>
          </cell>
          <cell r="W2">
            <v>0</v>
          </cell>
          <cell r="X2">
            <v>0</v>
          </cell>
          <cell r="Y2">
            <v>0</v>
          </cell>
          <cell r="Z2"/>
          <cell r="AA2"/>
          <cell r="AB2"/>
          <cell r="AC2" t="str">
            <v>—</v>
          </cell>
          <cell r="AD2" t="str">
            <v>—</v>
          </cell>
          <cell r="AE2">
            <v>0</v>
          </cell>
          <cell r="AF2" t="e">
            <v>#VALUE!</v>
          </cell>
          <cell r="AG2" t="e">
            <v>#DIV/0!</v>
          </cell>
          <cell r="AH2" t="str">
            <v>—</v>
          </cell>
        </row>
        <row r="3">
          <cell r="A3">
            <v>2</v>
          </cell>
          <cell r="B3" t="e">
            <v>#REF!</v>
          </cell>
          <cell r="C3" t="e">
            <v>#REF!</v>
          </cell>
          <cell r="D3" t="e">
            <v>#REF!</v>
          </cell>
          <cell r="E3" t="e">
            <v>#REF!</v>
          </cell>
          <cell r="F3" t="e">
            <v>#REF!</v>
          </cell>
          <cell r="G3" t="e">
            <v>#REF!</v>
          </cell>
          <cell r="H3" t="e">
            <v>#REF!</v>
          </cell>
          <cell r="I3" t="e">
            <v>#REF!</v>
          </cell>
          <cell r="J3" t="e">
            <v>#REF!</v>
          </cell>
          <cell r="K3" t="e">
            <v>#REF!</v>
          </cell>
          <cell r="L3" t="e">
            <v>#REF!</v>
          </cell>
          <cell r="M3" t="e">
            <v>#REF!</v>
          </cell>
          <cell r="N3">
            <v>0.1</v>
          </cell>
          <cell r="O3">
            <v>0.1</v>
          </cell>
          <cell r="P3" t="str">
            <v>15</v>
          </cell>
          <cell r="Q3" t="str">
            <v>Yes</v>
          </cell>
          <cell r="R3" t="e">
            <v>#REF!</v>
          </cell>
          <cell r="S3" t="e">
            <v>#REF!</v>
          </cell>
          <cell r="T3" t="e">
            <v>#REF!</v>
          </cell>
          <cell r="U3" t="e">
            <v>#REF!</v>
          </cell>
          <cell r="V3" t="e">
            <v>#REF!</v>
          </cell>
          <cell r="W3" t="e">
            <v>#REF!</v>
          </cell>
          <cell r="X3" t="e">
            <v>#REF!</v>
          </cell>
          <cell r="Y3"/>
          <cell r="Z3"/>
          <cell r="AA3"/>
          <cell r="AB3"/>
          <cell r="AC3" t="str">
            <v>—</v>
          </cell>
          <cell r="AD3" t="str">
            <v>—</v>
          </cell>
          <cell r="AE3" t="e">
            <v>#REF!</v>
          </cell>
          <cell r="AF3" t="e">
            <v>#VALUE!</v>
          </cell>
          <cell r="AG3" t="e">
            <v>#REF!</v>
          </cell>
          <cell r="AH3" t="str">
            <v>—</v>
          </cell>
        </row>
        <row r="4">
          <cell r="A4">
            <v>3</v>
          </cell>
          <cell r="B4" t="e">
            <v>#REF!</v>
          </cell>
          <cell r="C4" t="e">
            <v>#REF!</v>
          </cell>
          <cell r="D4" t="e">
            <v>#REF!</v>
          </cell>
          <cell r="E4" t="e">
            <v>#REF!</v>
          </cell>
          <cell r="F4" t="e">
            <v>#REF!</v>
          </cell>
          <cell r="G4" t="e">
            <v>#REF!</v>
          </cell>
          <cell r="H4" t="e">
            <v>#REF!</v>
          </cell>
          <cell r="I4" t="e">
            <v>#REF!</v>
          </cell>
          <cell r="J4" t="e">
            <v>#REF!</v>
          </cell>
          <cell r="K4" t="e">
            <v>#REF!</v>
          </cell>
          <cell r="L4" t="e">
            <v>#REF!</v>
          </cell>
          <cell r="M4" t="e">
            <v>#REF!</v>
          </cell>
          <cell r="N4">
            <v>0.1</v>
          </cell>
          <cell r="O4">
            <v>0.1</v>
          </cell>
          <cell r="P4" t="str">
            <v>15</v>
          </cell>
          <cell r="Q4" t="str">
            <v>Yes</v>
          </cell>
          <cell r="R4" t="e">
            <v>#REF!</v>
          </cell>
          <cell r="S4" t="e">
            <v>#REF!</v>
          </cell>
          <cell r="T4">
            <v>0.92</v>
          </cell>
          <cell r="U4" t="e">
            <v>#REF!</v>
          </cell>
          <cell r="V4" t="e">
            <v>#REF!</v>
          </cell>
          <cell r="W4" t="e">
            <v>#REF!</v>
          </cell>
          <cell r="X4" t="e">
            <v>#REF!</v>
          </cell>
          <cell r="Y4"/>
          <cell r="Z4"/>
          <cell r="AA4"/>
          <cell r="AB4"/>
          <cell r="AC4" t="str">
            <v>—</v>
          </cell>
          <cell r="AD4" t="str">
            <v>—</v>
          </cell>
          <cell r="AE4" t="e">
            <v>#REF!</v>
          </cell>
          <cell r="AF4" t="e">
            <v>#VALUE!</v>
          </cell>
          <cell r="AG4" t="e">
            <v>#REF!</v>
          </cell>
          <cell r="AH4" t="str">
            <v>—</v>
          </cell>
        </row>
        <row r="5">
          <cell r="A5">
            <v>4</v>
          </cell>
          <cell r="B5" t="e">
            <v>#REF!</v>
          </cell>
          <cell r="C5" t="e">
            <v>#REF!</v>
          </cell>
          <cell r="D5" t="e">
            <v>#REF!</v>
          </cell>
          <cell r="E5" t="e">
            <v>#REF!</v>
          </cell>
          <cell r="F5" t="e">
            <v>#REF!</v>
          </cell>
          <cell r="G5" t="e">
            <v>#REF!</v>
          </cell>
          <cell r="H5" t="e">
            <v>#REF!</v>
          </cell>
          <cell r="I5" t="e">
            <v>#REF!</v>
          </cell>
          <cell r="J5" t="e">
            <v>#REF!</v>
          </cell>
          <cell r="K5" t="e">
            <v>#REF!</v>
          </cell>
          <cell r="L5" t="e">
            <v>#REF!</v>
          </cell>
          <cell r="M5" t="e">
            <v>#REF!</v>
          </cell>
          <cell r="N5">
            <v>0.1</v>
          </cell>
          <cell r="O5">
            <v>0.1</v>
          </cell>
          <cell r="P5" t="str">
            <v>15</v>
          </cell>
          <cell r="Q5" t="str">
            <v>Yes</v>
          </cell>
          <cell r="R5" t="e">
            <v>#REF!</v>
          </cell>
          <cell r="S5" t="e">
            <v>#REF!</v>
          </cell>
          <cell r="T5" t="e">
            <v>#REF!</v>
          </cell>
          <cell r="U5" t="e">
            <v>#REF!</v>
          </cell>
          <cell r="V5" t="e">
            <v>#REF!</v>
          </cell>
          <cell r="W5" t="e">
            <v>#REF!</v>
          </cell>
          <cell r="X5" t="e">
            <v>#REF!</v>
          </cell>
          <cell r="Y5"/>
          <cell r="Z5"/>
          <cell r="AA5"/>
          <cell r="AB5"/>
          <cell r="AC5" t="str">
            <v>—</v>
          </cell>
          <cell r="AD5" t="str">
            <v>—</v>
          </cell>
          <cell r="AE5" t="e">
            <v>#REF!</v>
          </cell>
          <cell r="AF5" t="e">
            <v>#VALUE!</v>
          </cell>
          <cell r="AG5" t="e">
            <v>#REF!</v>
          </cell>
          <cell r="AH5" t="str">
            <v>—</v>
          </cell>
        </row>
        <row r="6">
          <cell r="A6">
            <v>5</v>
          </cell>
          <cell r="B6" t="e">
            <v>#REF!</v>
          </cell>
          <cell r="C6" t="e">
            <v>#REF!</v>
          </cell>
          <cell r="D6" t="e">
            <v>#REF!</v>
          </cell>
          <cell r="E6" t="e">
            <v>#REF!</v>
          </cell>
          <cell r="F6" t="e">
            <v>#REF!</v>
          </cell>
          <cell r="G6" t="e">
            <v>#REF!</v>
          </cell>
          <cell r="H6" t="e">
            <v>#REF!</v>
          </cell>
          <cell r="I6" t="e">
            <v>#REF!</v>
          </cell>
          <cell r="J6" t="e">
            <v>#REF!</v>
          </cell>
          <cell r="K6" t="e">
            <v>#REF!</v>
          </cell>
          <cell r="L6" t="e">
            <v>#REF!</v>
          </cell>
          <cell r="M6" t="e">
            <v>#REF!</v>
          </cell>
          <cell r="N6">
            <v>0.1</v>
          </cell>
          <cell r="O6">
            <v>0.1</v>
          </cell>
          <cell r="P6" t="str">
            <v>15</v>
          </cell>
          <cell r="Q6" t="str">
            <v>Yes</v>
          </cell>
          <cell r="R6" t="e">
            <v>#REF!</v>
          </cell>
          <cell r="S6" t="e">
            <v>#REF!</v>
          </cell>
          <cell r="T6" t="e">
            <v>#REF!</v>
          </cell>
          <cell r="U6" t="e">
            <v>#REF!</v>
          </cell>
          <cell r="V6" t="e">
            <v>#REF!</v>
          </cell>
          <cell r="W6" t="e">
            <v>#REF!</v>
          </cell>
          <cell r="X6" t="e">
            <v>#REF!</v>
          </cell>
          <cell r="Y6"/>
          <cell r="Z6"/>
          <cell r="AA6"/>
          <cell r="AB6"/>
          <cell r="AC6" t="str">
            <v>—</v>
          </cell>
          <cell r="AD6" t="str">
            <v>—</v>
          </cell>
          <cell r="AE6" t="e">
            <v>#REF!</v>
          </cell>
          <cell r="AF6" t="e">
            <v>#VALUE!</v>
          </cell>
          <cell r="AG6" t="e">
            <v>#REF!</v>
          </cell>
          <cell r="AH6" t="str">
            <v>—</v>
          </cell>
        </row>
        <row r="7">
          <cell r="A7">
            <v>6</v>
          </cell>
          <cell r="B7" t="e">
            <v>#REF!</v>
          </cell>
          <cell r="C7" t="e">
            <v>#REF!</v>
          </cell>
          <cell r="D7" t="e">
            <v>#REF!</v>
          </cell>
          <cell r="E7" t="e">
            <v>#REF!</v>
          </cell>
          <cell r="F7" t="e">
            <v>#REF!</v>
          </cell>
          <cell r="G7" t="e">
            <v>#REF!</v>
          </cell>
          <cell r="H7" t="e">
            <v>#REF!</v>
          </cell>
          <cell r="I7" t="e">
            <v>#REF!</v>
          </cell>
          <cell r="J7" t="e">
            <v>#REF!</v>
          </cell>
          <cell r="K7" t="e">
            <v>#REF!</v>
          </cell>
          <cell r="L7" t="e">
            <v>#REF!</v>
          </cell>
          <cell r="M7" t="e">
            <v>#REF!</v>
          </cell>
          <cell r="N7">
            <v>0.1</v>
          </cell>
          <cell r="O7">
            <v>0.1</v>
          </cell>
          <cell r="P7" t="str">
            <v>15</v>
          </cell>
          <cell r="Q7" t="str">
            <v>Yes</v>
          </cell>
          <cell r="R7" t="e">
            <v>#REF!</v>
          </cell>
          <cell r="S7" t="e">
            <v>#REF!</v>
          </cell>
          <cell r="T7" t="e">
            <v>#REF!</v>
          </cell>
          <cell r="U7" t="e">
            <v>#REF!</v>
          </cell>
          <cell r="V7" t="e">
            <v>#REF!</v>
          </cell>
          <cell r="W7" t="e">
            <v>#REF!</v>
          </cell>
          <cell r="X7" t="e">
            <v>#REF!</v>
          </cell>
          <cell r="Y7"/>
          <cell r="Z7"/>
          <cell r="AA7"/>
          <cell r="AB7"/>
          <cell r="AC7" t="str">
            <v>—</v>
          </cell>
          <cell r="AD7" t="str">
            <v>—</v>
          </cell>
          <cell r="AE7" t="e">
            <v>#REF!</v>
          </cell>
          <cell r="AF7" t="e">
            <v>#VALUE!</v>
          </cell>
          <cell r="AG7" t="e">
            <v>#REF!</v>
          </cell>
          <cell r="AH7" t="str">
            <v>—</v>
          </cell>
        </row>
        <row r="8">
          <cell r="A8">
            <v>7</v>
          </cell>
          <cell r="B8" t="e">
            <v>#REF!</v>
          </cell>
          <cell r="C8" t="e">
            <v>#REF!</v>
          </cell>
          <cell r="D8" t="e">
            <v>#REF!</v>
          </cell>
          <cell r="E8" t="e">
            <v>#REF!</v>
          </cell>
          <cell r="F8" t="e">
            <v>#REF!</v>
          </cell>
          <cell r="G8" t="e">
            <v>#REF!</v>
          </cell>
          <cell r="H8" t="e">
            <v>#REF!</v>
          </cell>
          <cell r="I8" t="e">
            <v>#REF!</v>
          </cell>
          <cell r="J8" t="e">
            <v>#REF!</v>
          </cell>
          <cell r="K8" t="e">
            <v>#REF!</v>
          </cell>
          <cell r="L8" t="e">
            <v>#REF!</v>
          </cell>
          <cell r="M8" t="e">
            <v>#REF!</v>
          </cell>
          <cell r="N8">
            <v>0.1</v>
          </cell>
          <cell r="O8">
            <v>0.1</v>
          </cell>
          <cell r="P8" t="str">
            <v>15</v>
          </cell>
          <cell r="Q8" t="str">
            <v>Yes</v>
          </cell>
          <cell r="R8" t="e">
            <v>#REF!</v>
          </cell>
          <cell r="S8" t="e">
            <v>#REF!</v>
          </cell>
          <cell r="T8" t="e">
            <v>#REF!</v>
          </cell>
          <cell r="U8" t="e">
            <v>#REF!</v>
          </cell>
          <cell r="V8" t="e">
            <v>#REF!</v>
          </cell>
          <cell r="W8" t="e">
            <v>#REF!</v>
          </cell>
          <cell r="X8" t="e">
            <v>#REF!</v>
          </cell>
          <cell r="Y8"/>
          <cell r="Z8"/>
          <cell r="AA8"/>
          <cell r="AB8"/>
          <cell r="AC8" t="str">
            <v>—</v>
          </cell>
          <cell r="AD8" t="str">
            <v>—</v>
          </cell>
          <cell r="AE8" t="e">
            <v>#REF!</v>
          </cell>
          <cell r="AF8" t="e">
            <v>#VALUE!</v>
          </cell>
          <cell r="AG8" t="e">
            <v>#REF!</v>
          </cell>
          <cell r="AH8" t="str">
            <v>—</v>
          </cell>
        </row>
        <row r="9">
          <cell r="A9">
            <v>8</v>
          </cell>
          <cell r="B9" t="e">
            <v>#REF!</v>
          </cell>
          <cell r="C9" t="e">
            <v>#REF!</v>
          </cell>
          <cell r="D9" t="e">
            <v>#REF!</v>
          </cell>
          <cell r="E9" t="e">
            <v>#REF!</v>
          </cell>
          <cell r="F9" t="e">
            <v>#REF!</v>
          </cell>
          <cell r="G9" t="e">
            <v>#REF!</v>
          </cell>
          <cell r="H9" t="e">
            <v>#REF!</v>
          </cell>
          <cell r="I9" t="e">
            <v>#REF!</v>
          </cell>
          <cell r="J9" t="e">
            <v>#REF!</v>
          </cell>
          <cell r="K9" t="e">
            <v>#REF!</v>
          </cell>
          <cell r="L9" t="e">
            <v>#REF!</v>
          </cell>
          <cell r="M9" t="e">
            <v>#REF!</v>
          </cell>
          <cell r="N9">
            <v>0.1</v>
          </cell>
          <cell r="O9">
            <v>0.1</v>
          </cell>
          <cell r="P9" t="str">
            <v>15</v>
          </cell>
          <cell r="Q9" t="str">
            <v>Yes</v>
          </cell>
          <cell r="R9" t="e">
            <v>#REF!</v>
          </cell>
          <cell r="S9" t="e">
            <v>#REF!</v>
          </cell>
          <cell r="T9" t="e">
            <v>#REF!</v>
          </cell>
          <cell r="U9" t="e">
            <v>#REF!</v>
          </cell>
          <cell r="V9" t="e">
            <v>#REF!</v>
          </cell>
          <cell r="W9" t="e">
            <v>#REF!</v>
          </cell>
          <cell r="X9" t="e">
            <v>#REF!</v>
          </cell>
          <cell r="Y9"/>
          <cell r="Z9"/>
          <cell r="AA9"/>
          <cell r="AB9"/>
          <cell r="AC9" t="str">
            <v>—</v>
          </cell>
          <cell r="AD9" t="str">
            <v>—</v>
          </cell>
          <cell r="AE9" t="e">
            <v>#REF!</v>
          </cell>
          <cell r="AF9" t="e">
            <v>#VALUE!</v>
          </cell>
          <cell r="AG9" t="e">
            <v>#REF!</v>
          </cell>
          <cell r="AH9" t="str">
            <v>—</v>
          </cell>
        </row>
        <row r="10">
          <cell r="A10">
            <v>9</v>
          </cell>
          <cell r="B10" t="e">
            <v>#REF!</v>
          </cell>
          <cell r="C10" t="e">
            <v>#REF!</v>
          </cell>
          <cell r="D10" t="e">
            <v>#REF!</v>
          </cell>
          <cell r="E10" t="e">
            <v>#REF!</v>
          </cell>
          <cell r="F10" t="e">
            <v>#REF!</v>
          </cell>
          <cell r="G10" t="e">
            <v>#REF!</v>
          </cell>
          <cell r="H10" t="e">
            <v>#REF!</v>
          </cell>
          <cell r="I10" t="e">
            <v>#REF!</v>
          </cell>
          <cell r="J10" t="e">
            <v>#REF!</v>
          </cell>
          <cell r="K10" t="e">
            <v>#REF!</v>
          </cell>
          <cell r="L10" t="e">
            <v>#REF!</v>
          </cell>
          <cell r="M10" t="e">
            <v>#REF!</v>
          </cell>
          <cell r="N10">
            <v>0.1</v>
          </cell>
          <cell r="O10">
            <v>0.1</v>
          </cell>
          <cell r="P10" t="str">
            <v>15</v>
          </cell>
          <cell r="Q10" t="str">
            <v>Yes</v>
          </cell>
          <cell r="R10" t="e">
            <v>#REF!</v>
          </cell>
          <cell r="S10" t="e">
            <v>#REF!</v>
          </cell>
          <cell r="T10" t="e">
            <v>#REF!</v>
          </cell>
          <cell r="U10" t="e">
            <v>#REF!</v>
          </cell>
          <cell r="V10" t="e">
            <v>#REF!</v>
          </cell>
          <cell r="W10" t="e">
            <v>#REF!</v>
          </cell>
          <cell r="X10" t="e">
            <v>#REF!</v>
          </cell>
          <cell r="Y10"/>
          <cell r="Z10"/>
          <cell r="AA10"/>
          <cell r="AB10"/>
          <cell r="AC10" t="str">
            <v>—</v>
          </cell>
          <cell r="AD10" t="str">
            <v>—</v>
          </cell>
          <cell r="AE10" t="e">
            <v>#REF!</v>
          </cell>
          <cell r="AF10" t="e">
            <v>#VALUE!</v>
          </cell>
          <cell r="AG10" t="e">
            <v>#REF!</v>
          </cell>
          <cell r="AH10" t="str">
            <v>—</v>
          </cell>
        </row>
        <row r="11">
          <cell r="A11">
            <v>10</v>
          </cell>
          <cell r="B11" t="e">
            <v>#REF!</v>
          </cell>
          <cell r="C11" t="e">
            <v>#REF!</v>
          </cell>
          <cell r="D11" t="e">
            <v>#REF!</v>
          </cell>
          <cell r="E11" t="e">
            <v>#REF!</v>
          </cell>
          <cell r="F11" t="e">
            <v>#REF!</v>
          </cell>
          <cell r="G11" t="e">
            <v>#REF!</v>
          </cell>
          <cell r="H11" t="e">
            <v>#REF!</v>
          </cell>
          <cell r="I11" t="e">
            <v>#REF!</v>
          </cell>
          <cell r="J11" t="e">
            <v>#REF!</v>
          </cell>
          <cell r="K11" t="e">
            <v>#REF!</v>
          </cell>
          <cell r="L11" t="e">
            <v>#REF!</v>
          </cell>
          <cell r="M11" t="e">
            <v>#REF!</v>
          </cell>
          <cell r="N11">
            <v>0.1</v>
          </cell>
          <cell r="O11">
            <v>0.1</v>
          </cell>
          <cell r="P11" t="str">
            <v>15</v>
          </cell>
          <cell r="Q11" t="str">
            <v>Yes</v>
          </cell>
          <cell r="R11" t="e">
            <v>#REF!</v>
          </cell>
          <cell r="S11" t="e">
            <v>#REF!</v>
          </cell>
          <cell r="T11" t="e">
            <v>#REF!</v>
          </cell>
          <cell r="U11" t="e">
            <v>#REF!</v>
          </cell>
          <cell r="V11" t="e">
            <v>#REF!</v>
          </cell>
          <cell r="W11" t="e">
            <v>#REF!</v>
          </cell>
          <cell r="X11" t="e">
            <v>#REF!</v>
          </cell>
          <cell r="Y11"/>
          <cell r="Z11"/>
          <cell r="AA11"/>
          <cell r="AB11"/>
          <cell r="AC11" t="str">
            <v>—</v>
          </cell>
          <cell r="AD11" t="str">
            <v>—</v>
          </cell>
          <cell r="AE11" t="e">
            <v>#REF!</v>
          </cell>
          <cell r="AF11" t="e">
            <v>#VALUE!</v>
          </cell>
          <cell r="AG11" t="e">
            <v>#REF!</v>
          </cell>
          <cell r="AH11" t="str">
            <v>—</v>
          </cell>
        </row>
      </sheetData>
      <sheetData sheetId="39" refreshError="1"/>
      <sheetData sheetId="40" refreshError="1"/>
      <sheetData sheetId="41" refreshError="1">
        <row r="188">
          <cell r="D188">
            <v>1400000</v>
          </cell>
        </row>
      </sheetData>
      <sheetData sheetId="42" refreshError="1"/>
      <sheetData sheetId="43" refreshError="1"/>
      <sheetData sheetId="44" refreshError="1"/>
      <sheetData sheetId="45" refreshError="1"/>
      <sheetData sheetId="46" refreshError="1">
        <row r="9">
          <cell r="C9">
            <v>1</v>
          </cell>
        </row>
      </sheetData>
      <sheetData sheetId="47" refreshError="1"/>
      <sheetData sheetId="48" refreshError="1"/>
      <sheetData sheetId="49" refreshError="1"/>
      <sheetData sheetId="50" refreshError="1">
        <row r="7">
          <cell r="C7">
            <v>28147</v>
          </cell>
        </row>
      </sheetData>
      <sheetData sheetId="51" refreshError="1">
        <row r="32">
          <cell r="S32">
            <v>5.0000000000000044E-2</v>
          </cell>
        </row>
      </sheetData>
      <sheetData sheetId="52" refreshError="1"/>
      <sheetData sheetId="53" refreshError="1"/>
      <sheetData sheetId="54" refreshError="1"/>
      <sheetData sheetId="55" refreshError="1"/>
      <sheetData sheetId="56" refreshError="1">
        <row r="1">
          <cell r="A1" t="str">
            <v>ACTUAL OPERATING HISTORY DATA ENTRY WORKSHEET</v>
          </cell>
        </row>
        <row r="2">
          <cell r="H2" t="str">
            <v>Annualized</v>
          </cell>
        </row>
        <row r="3">
          <cell r="A3" t="str">
            <v>Category</v>
          </cell>
          <cell r="C3">
            <v>2013</v>
          </cell>
          <cell r="D3">
            <v>2014</v>
          </cell>
          <cell r="E3">
            <v>2015</v>
          </cell>
          <cell r="F3">
            <v>2016</v>
          </cell>
          <cell r="H3">
            <v>2017</v>
          </cell>
          <cell r="I3" t="str">
            <v>Budget</v>
          </cell>
        </row>
        <row r="5">
          <cell r="A5">
            <v>1020</v>
          </cell>
          <cell r="C5">
            <v>0</v>
          </cell>
          <cell r="D5">
            <v>0</v>
          </cell>
          <cell r="E5">
            <v>0</v>
          </cell>
          <cell r="F5">
            <v>0</v>
          </cell>
          <cell r="H5">
            <v>0</v>
          </cell>
          <cell r="I5">
            <v>0</v>
          </cell>
        </row>
        <row r="6">
          <cell r="A6">
            <v>1030</v>
          </cell>
          <cell r="C6">
            <v>0</v>
          </cell>
          <cell r="D6">
            <v>0</v>
          </cell>
          <cell r="E6">
            <v>0</v>
          </cell>
          <cell r="F6">
            <v>0</v>
          </cell>
          <cell r="H6">
            <v>0</v>
          </cell>
          <cell r="I6">
            <v>0</v>
          </cell>
        </row>
        <row r="7">
          <cell r="A7">
            <v>1040</v>
          </cell>
          <cell r="C7">
            <v>0</v>
          </cell>
          <cell r="D7">
            <v>0</v>
          </cell>
          <cell r="E7">
            <v>0</v>
          </cell>
          <cell r="F7">
            <v>0</v>
          </cell>
          <cell r="H7">
            <v>0</v>
          </cell>
          <cell r="I7">
            <v>0</v>
          </cell>
        </row>
        <row r="8">
          <cell r="A8">
            <v>1050</v>
          </cell>
          <cell r="C8">
            <v>0</v>
          </cell>
          <cell r="D8">
            <v>0</v>
          </cell>
          <cell r="E8">
            <v>0</v>
          </cell>
          <cell r="F8">
            <v>0</v>
          </cell>
          <cell r="H8">
            <v>0</v>
          </cell>
          <cell r="I8">
            <v>0</v>
          </cell>
        </row>
        <row r="9">
          <cell r="A9">
            <v>1060</v>
          </cell>
          <cell r="C9">
            <v>0</v>
          </cell>
          <cell r="D9">
            <v>0</v>
          </cell>
          <cell r="E9">
            <v>0</v>
          </cell>
          <cell r="F9">
            <v>0</v>
          </cell>
          <cell r="H9">
            <v>0</v>
          </cell>
          <cell r="I9">
            <v>0</v>
          </cell>
        </row>
        <row r="10">
          <cell r="A10">
            <v>1070</v>
          </cell>
          <cell r="C10">
            <v>0</v>
          </cell>
          <cell r="D10">
            <v>0</v>
          </cell>
          <cell r="E10">
            <v>0</v>
          </cell>
          <cell r="F10">
            <v>0</v>
          </cell>
          <cell r="H10">
            <v>0</v>
          </cell>
          <cell r="I10">
            <v>0</v>
          </cell>
        </row>
        <row r="11">
          <cell r="A11">
            <v>1080</v>
          </cell>
          <cell r="C11">
            <v>0</v>
          </cell>
          <cell r="D11">
            <v>0</v>
          </cell>
          <cell r="E11">
            <v>0</v>
          </cell>
          <cell r="F11">
            <v>0</v>
          </cell>
          <cell r="H11">
            <v>0</v>
          </cell>
          <cell r="I11">
            <v>0</v>
          </cell>
        </row>
        <row r="12">
          <cell r="A12">
            <v>1090</v>
          </cell>
          <cell r="C12">
            <v>0</v>
          </cell>
          <cell r="D12">
            <v>0</v>
          </cell>
          <cell r="E12">
            <v>0</v>
          </cell>
          <cell r="F12">
            <v>0</v>
          </cell>
          <cell r="H12">
            <v>0</v>
          </cell>
          <cell r="I12">
            <v>0</v>
          </cell>
        </row>
        <row r="13">
          <cell r="A13">
            <v>1100</v>
          </cell>
          <cell r="B13" t="str">
            <v>Storage Space Rental</v>
          </cell>
          <cell r="C13">
            <v>0</v>
          </cell>
          <cell r="D13">
            <v>0</v>
          </cell>
          <cell r="E13">
            <v>0</v>
          </cell>
          <cell r="F13">
            <v>0</v>
          </cell>
          <cell r="G13">
            <v>0</v>
          </cell>
          <cell r="H13">
            <v>0</v>
          </cell>
          <cell r="I13">
            <v>0</v>
          </cell>
        </row>
        <row r="14">
          <cell r="A14">
            <v>1110</v>
          </cell>
          <cell r="C14">
            <v>0</v>
          </cell>
          <cell r="D14">
            <v>0</v>
          </cell>
          <cell r="E14">
            <v>0</v>
          </cell>
          <cell r="F14">
            <v>0</v>
          </cell>
          <cell r="H14">
            <v>0</v>
          </cell>
          <cell r="I14">
            <v>0</v>
          </cell>
        </row>
        <row r="15">
          <cell r="A15">
            <v>1000</v>
          </cell>
          <cell r="C15">
            <v>0</v>
          </cell>
          <cell r="D15">
            <v>0</v>
          </cell>
          <cell r="E15">
            <v>0</v>
          </cell>
          <cell r="F15">
            <v>0</v>
          </cell>
          <cell r="H15">
            <v>0</v>
          </cell>
          <cell r="I15">
            <v>0</v>
          </cell>
        </row>
        <row r="18">
          <cell r="A18">
            <v>1510</v>
          </cell>
          <cell r="C18">
            <v>0</v>
          </cell>
          <cell r="D18">
            <v>0</v>
          </cell>
          <cell r="E18">
            <v>0</v>
          </cell>
          <cell r="F18">
            <v>0</v>
          </cell>
          <cell r="H18">
            <v>0</v>
          </cell>
          <cell r="I18">
            <v>0</v>
          </cell>
        </row>
        <row r="19">
          <cell r="A19">
            <v>1520</v>
          </cell>
          <cell r="C19">
            <v>0</v>
          </cell>
          <cell r="D19">
            <v>0</v>
          </cell>
          <cell r="E19">
            <v>0</v>
          </cell>
          <cell r="F19">
            <v>0</v>
          </cell>
          <cell r="H19">
            <v>0</v>
          </cell>
          <cell r="I19">
            <v>0</v>
          </cell>
        </row>
        <row r="20">
          <cell r="A20">
            <v>1530</v>
          </cell>
          <cell r="C20">
            <v>0</v>
          </cell>
          <cell r="D20">
            <v>0</v>
          </cell>
          <cell r="E20">
            <v>0</v>
          </cell>
          <cell r="F20">
            <v>0</v>
          </cell>
          <cell r="H20">
            <v>0</v>
          </cell>
          <cell r="I20">
            <v>0</v>
          </cell>
        </row>
        <row r="21">
          <cell r="A21">
            <v>1500</v>
          </cell>
          <cell r="C21">
            <v>0</v>
          </cell>
          <cell r="D21">
            <v>0</v>
          </cell>
          <cell r="E21">
            <v>0</v>
          </cell>
          <cell r="F21">
            <v>0</v>
          </cell>
          <cell r="H21">
            <v>0</v>
          </cell>
          <cell r="I21">
            <v>0</v>
          </cell>
        </row>
        <row r="23">
          <cell r="C23">
            <v>0</v>
          </cell>
          <cell r="D23">
            <v>0</v>
          </cell>
          <cell r="E23">
            <v>0</v>
          </cell>
          <cell r="F23">
            <v>0</v>
          </cell>
          <cell r="H23">
            <v>0</v>
          </cell>
          <cell r="I23">
            <v>0</v>
          </cell>
        </row>
        <row r="27">
          <cell r="A27">
            <v>2010</v>
          </cell>
          <cell r="C27">
            <v>0</v>
          </cell>
          <cell r="D27">
            <v>0</v>
          </cell>
          <cell r="E27">
            <v>0</v>
          </cell>
          <cell r="F27">
            <v>0</v>
          </cell>
          <cell r="H27">
            <v>0</v>
          </cell>
          <cell r="I27">
            <v>0</v>
          </cell>
        </row>
        <row r="28">
          <cell r="A28">
            <v>2020</v>
          </cell>
          <cell r="C28">
            <v>0</v>
          </cell>
          <cell r="D28">
            <v>0</v>
          </cell>
          <cell r="E28">
            <v>0</v>
          </cell>
          <cell r="F28">
            <v>0</v>
          </cell>
          <cell r="H28">
            <v>0</v>
          </cell>
          <cell r="I28">
            <v>0</v>
          </cell>
        </row>
        <row r="29">
          <cell r="A29">
            <v>2000</v>
          </cell>
          <cell r="C29">
            <v>0</v>
          </cell>
          <cell r="D29">
            <v>0</v>
          </cell>
          <cell r="E29">
            <v>0</v>
          </cell>
          <cell r="F29">
            <v>0</v>
          </cell>
          <cell r="H29">
            <v>0</v>
          </cell>
          <cell r="I29">
            <v>0</v>
          </cell>
        </row>
        <row r="32">
          <cell r="A32">
            <v>3010</v>
          </cell>
          <cell r="C32">
            <v>0</v>
          </cell>
          <cell r="D32">
            <v>0</v>
          </cell>
          <cell r="E32">
            <v>0</v>
          </cell>
          <cell r="F32">
            <v>0</v>
          </cell>
          <cell r="H32">
            <v>0</v>
          </cell>
          <cell r="I32">
            <v>0</v>
          </cell>
        </row>
        <row r="33">
          <cell r="A33">
            <v>3020</v>
          </cell>
          <cell r="C33">
            <v>0</v>
          </cell>
          <cell r="D33">
            <v>0</v>
          </cell>
          <cell r="E33">
            <v>0</v>
          </cell>
          <cell r="F33">
            <v>0</v>
          </cell>
          <cell r="H33">
            <v>0</v>
          </cell>
          <cell r="I33">
            <v>0</v>
          </cell>
        </row>
        <row r="34">
          <cell r="A34">
            <v>3000</v>
          </cell>
          <cell r="C34">
            <v>0</v>
          </cell>
          <cell r="D34">
            <v>0</v>
          </cell>
          <cell r="E34">
            <v>0</v>
          </cell>
          <cell r="F34">
            <v>0</v>
          </cell>
          <cell r="H34">
            <v>0</v>
          </cell>
          <cell r="I34">
            <v>0</v>
          </cell>
        </row>
        <row r="37">
          <cell r="A37">
            <v>4010</v>
          </cell>
          <cell r="C37">
            <v>0</v>
          </cell>
          <cell r="D37">
            <v>0</v>
          </cell>
          <cell r="E37">
            <v>0</v>
          </cell>
          <cell r="F37">
            <v>0</v>
          </cell>
          <cell r="H37">
            <v>0</v>
          </cell>
          <cell r="I37">
            <v>0</v>
          </cell>
        </row>
        <row r="38">
          <cell r="A38">
            <v>4020</v>
          </cell>
          <cell r="C38">
            <v>0</v>
          </cell>
          <cell r="D38">
            <v>0</v>
          </cell>
          <cell r="E38">
            <v>0</v>
          </cell>
          <cell r="F38">
            <v>0</v>
          </cell>
          <cell r="H38">
            <v>0</v>
          </cell>
          <cell r="I38">
            <v>0</v>
          </cell>
        </row>
        <row r="39">
          <cell r="A39">
            <v>4030</v>
          </cell>
          <cell r="C39">
            <v>0</v>
          </cell>
          <cell r="D39">
            <v>0</v>
          </cell>
          <cell r="E39">
            <v>0</v>
          </cell>
          <cell r="F39">
            <v>0</v>
          </cell>
          <cell r="H39">
            <v>0</v>
          </cell>
          <cell r="I39">
            <v>0</v>
          </cell>
        </row>
        <row r="40">
          <cell r="A40">
            <v>4040</v>
          </cell>
          <cell r="C40">
            <v>0</v>
          </cell>
          <cell r="D40">
            <v>0</v>
          </cell>
          <cell r="E40">
            <v>0</v>
          </cell>
          <cell r="F40">
            <v>0</v>
          </cell>
          <cell r="H40">
            <v>0</v>
          </cell>
          <cell r="I40">
            <v>0</v>
          </cell>
        </row>
        <row r="41">
          <cell r="A41">
            <v>4000</v>
          </cell>
          <cell r="C41">
            <v>0</v>
          </cell>
          <cell r="D41">
            <v>0</v>
          </cell>
          <cell r="E41">
            <v>0</v>
          </cell>
          <cell r="F41">
            <v>0</v>
          </cell>
          <cell r="H41">
            <v>0</v>
          </cell>
          <cell r="I41">
            <v>0</v>
          </cell>
        </row>
        <row r="45">
          <cell r="A45">
            <v>6010</v>
          </cell>
          <cell r="C45">
            <v>0</v>
          </cell>
          <cell r="D45">
            <v>0</v>
          </cell>
          <cell r="E45">
            <v>0</v>
          </cell>
          <cell r="F45">
            <v>0</v>
          </cell>
          <cell r="H45">
            <v>0</v>
          </cell>
          <cell r="I45">
            <v>0</v>
          </cell>
        </row>
        <row r="46">
          <cell r="A46">
            <v>6020</v>
          </cell>
          <cell r="C46">
            <v>0</v>
          </cell>
          <cell r="D46">
            <v>0</v>
          </cell>
          <cell r="E46">
            <v>0</v>
          </cell>
          <cell r="F46">
            <v>0</v>
          </cell>
          <cell r="H46">
            <v>0</v>
          </cell>
          <cell r="I46">
            <v>0</v>
          </cell>
        </row>
        <row r="47">
          <cell r="A47">
            <v>6030</v>
          </cell>
          <cell r="C47">
            <v>0</v>
          </cell>
          <cell r="D47">
            <v>0</v>
          </cell>
          <cell r="E47">
            <v>0</v>
          </cell>
          <cell r="F47">
            <v>0</v>
          </cell>
          <cell r="H47">
            <v>0</v>
          </cell>
          <cell r="I47">
            <v>0</v>
          </cell>
        </row>
        <row r="48">
          <cell r="A48">
            <v>6040</v>
          </cell>
          <cell r="C48">
            <v>0</v>
          </cell>
          <cell r="D48">
            <v>0</v>
          </cell>
          <cell r="E48">
            <v>0</v>
          </cell>
          <cell r="F48">
            <v>0</v>
          </cell>
          <cell r="H48">
            <v>0</v>
          </cell>
          <cell r="I48">
            <v>0</v>
          </cell>
        </row>
        <row r="49">
          <cell r="A49">
            <v>6050</v>
          </cell>
          <cell r="C49">
            <v>0</v>
          </cell>
          <cell r="D49">
            <v>0</v>
          </cell>
          <cell r="E49">
            <v>0</v>
          </cell>
          <cell r="F49">
            <v>0</v>
          </cell>
          <cell r="H49">
            <v>0</v>
          </cell>
          <cell r="I49">
            <v>0</v>
          </cell>
        </row>
        <row r="50">
          <cell r="A50">
            <v>6060</v>
          </cell>
          <cell r="C50">
            <v>0</v>
          </cell>
          <cell r="D50">
            <v>0</v>
          </cell>
          <cell r="E50">
            <v>0</v>
          </cell>
          <cell r="F50">
            <v>0</v>
          </cell>
          <cell r="H50">
            <v>0</v>
          </cell>
          <cell r="I50">
            <v>0</v>
          </cell>
        </row>
        <row r="51">
          <cell r="A51">
            <v>6070</v>
          </cell>
          <cell r="C51">
            <v>0</v>
          </cell>
          <cell r="D51">
            <v>0</v>
          </cell>
          <cell r="E51">
            <v>0</v>
          </cell>
          <cell r="F51">
            <v>0</v>
          </cell>
          <cell r="H51">
            <v>0</v>
          </cell>
          <cell r="I51">
            <v>0</v>
          </cell>
        </row>
        <row r="52">
          <cell r="A52">
            <v>6080</v>
          </cell>
          <cell r="C52">
            <v>0</v>
          </cell>
          <cell r="D52">
            <v>0</v>
          </cell>
          <cell r="E52">
            <v>0</v>
          </cell>
          <cell r="F52">
            <v>0</v>
          </cell>
          <cell r="H52">
            <v>0</v>
          </cell>
          <cell r="I52">
            <v>0</v>
          </cell>
        </row>
        <row r="53">
          <cell r="A53">
            <v>6090</v>
          </cell>
          <cell r="C53">
            <v>0</v>
          </cell>
          <cell r="D53">
            <v>0</v>
          </cell>
          <cell r="E53">
            <v>0</v>
          </cell>
          <cell r="F53">
            <v>0</v>
          </cell>
          <cell r="H53">
            <v>0</v>
          </cell>
          <cell r="I53">
            <v>0</v>
          </cell>
        </row>
        <row r="54">
          <cell r="A54">
            <v>6000</v>
          </cell>
          <cell r="C54">
            <v>0</v>
          </cell>
          <cell r="D54">
            <v>0</v>
          </cell>
          <cell r="E54">
            <v>0</v>
          </cell>
          <cell r="F54">
            <v>0</v>
          </cell>
          <cell r="H54">
            <v>0</v>
          </cell>
          <cell r="I54">
            <v>0</v>
          </cell>
        </row>
        <row r="57">
          <cell r="A57">
            <v>7010</v>
          </cell>
          <cell r="C57">
            <v>0</v>
          </cell>
          <cell r="D57">
            <v>0</v>
          </cell>
          <cell r="E57">
            <v>0</v>
          </cell>
          <cell r="F57">
            <v>0</v>
          </cell>
          <cell r="H57">
            <v>0</v>
          </cell>
          <cell r="I57">
            <v>0</v>
          </cell>
        </row>
        <row r="58">
          <cell r="A58">
            <v>7020</v>
          </cell>
          <cell r="C58">
            <v>0</v>
          </cell>
          <cell r="D58">
            <v>0</v>
          </cell>
          <cell r="E58">
            <v>0</v>
          </cell>
          <cell r="F58">
            <v>0</v>
          </cell>
          <cell r="H58">
            <v>0</v>
          </cell>
          <cell r="I58">
            <v>0</v>
          </cell>
        </row>
        <row r="59">
          <cell r="A59">
            <v>7030</v>
          </cell>
          <cell r="C59">
            <v>0</v>
          </cell>
          <cell r="D59">
            <v>0</v>
          </cell>
          <cell r="E59">
            <v>0</v>
          </cell>
          <cell r="F59">
            <v>0</v>
          </cell>
          <cell r="H59">
            <v>0</v>
          </cell>
          <cell r="I59">
            <v>0</v>
          </cell>
        </row>
        <row r="60">
          <cell r="A60">
            <v>7040</v>
          </cell>
          <cell r="C60">
            <v>0</v>
          </cell>
          <cell r="D60">
            <v>0</v>
          </cell>
          <cell r="E60">
            <v>0</v>
          </cell>
          <cell r="F60">
            <v>0</v>
          </cell>
          <cell r="H60">
            <v>0</v>
          </cell>
          <cell r="I60">
            <v>0</v>
          </cell>
        </row>
        <row r="61">
          <cell r="A61">
            <v>7050</v>
          </cell>
          <cell r="C61">
            <v>0</v>
          </cell>
          <cell r="D61">
            <v>0</v>
          </cell>
          <cell r="E61">
            <v>0</v>
          </cell>
          <cell r="F61">
            <v>0</v>
          </cell>
          <cell r="H61">
            <v>0</v>
          </cell>
          <cell r="I61">
            <v>0</v>
          </cell>
        </row>
        <row r="62">
          <cell r="A62">
            <v>7060</v>
          </cell>
          <cell r="C62">
            <v>0</v>
          </cell>
          <cell r="D62">
            <v>0</v>
          </cell>
          <cell r="E62">
            <v>0</v>
          </cell>
          <cell r="F62">
            <v>0</v>
          </cell>
          <cell r="H62">
            <v>0</v>
          </cell>
          <cell r="I62">
            <v>0</v>
          </cell>
        </row>
        <row r="63">
          <cell r="A63">
            <v>7070</v>
          </cell>
          <cell r="C63">
            <v>0</v>
          </cell>
          <cell r="D63">
            <v>0</v>
          </cell>
          <cell r="E63">
            <v>0</v>
          </cell>
          <cell r="F63">
            <v>0</v>
          </cell>
          <cell r="H63">
            <v>0</v>
          </cell>
          <cell r="I63">
            <v>0</v>
          </cell>
        </row>
        <row r="64">
          <cell r="A64">
            <v>7080</v>
          </cell>
          <cell r="C64">
            <v>0</v>
          </cell>
          <cell r="D64">
            <v>0</v>
          </cell>
          <cell r="E64">
            <v>0</v>
          </cell>
          <cell r="F64">
            <v>0</v>
          </cell>
          <cell r="H64">
            <v>0</v>
          </cell>
          <cell r="I64">
            <v>0</v>
          </cell>
        </row>
        <row r="65">
          <cell r="A65">
            <v>7090</v>
          </cell>
          <cell r="C65">
            <v>0</v>
          </cell>
          <cell r="D65">
            <v>0</v>
          </cell>
          <cell r="E65">
            <v>0</v>
          </cell>
          <cell r="F65">
            <v>0</v>
          </cell>
          <cell r="H65">
            <v>0</v>
          </cell>
          <cell r="I65">
            <v>0</v>
          </cell>
        </row>
        <row r="66">
          <cell r="A66">
            <v>7000</v>
          </cell>
          <cell r="C66">
            <v>0</v>
          </cell>
          <cell r="D66">
            <v>0</v>
          </cell>
          <cell r="E66">
            <v>0</v>
          </cell>
          <cell r="F66">
            <v>0</v>
          </cell>
          <cell r="H66">
            <v>0</v>
          </cell>
          <cell r="I66">
            <v>0</v>
          </cell>
        </row>
        <row r="68">
          <cell r="A68">
            <v>5000</v>
          </cell>
          <cell r="C68">
            <v>0</v>
          </cell>
          <cell r="D68">
            <v>0</v>
          </cell>
          <cell r="E68">
            <v>0</v>
          </cell>
          <cell r="F68">
            <v>0</v>
          </cell>
          <cell r="H68">
            <v>0</v>
          </cell>
          <cell r="I68">
            <v>0</v>
          </cell>
        </row>
        <row r="71">
          <cell r="A71">
            <v>8000</v>
          </cell>
          <cell r="C71">
            <v>0</v>
          </cell>
          <cell r="D71">
            <v>0</v>
          </cell>
          <cell r="E71">
            <v>0</v>
          </cell>
          <cell r="F71">
            <v>0</v>
          </cell>
          <cell r="H71">
            <v>0</v>
          </cell>
          <cell r="I71">
            <v>0</v>
          </cell>
        </row>
        <row r="73">
          <cell r="A73">
            <v>9000</v>
          </cell>
          <cell r="C73">
            <v>0</v>
          </cell>
          <cell r="D73">
            <v>0</v>
          </cell>
          <cell r="E73">
            <v>0</v>
          </cell>
          <cell r="F73">
            <v>0</v>
          </cell>
          <cell r="H73">
            <v>0</v>
          </cell>
          <cell r="I73">
            <v>0</v>
          </cell>
        </row>
        <row r="75">
          <cell r="C75">
            <v>0</v>
          </cell>
          <cell r="D75">
            <v>0</v>
          </cell>
          <cell r="E75">
            <v>0</v>
          </cell>
          <cell r="F75">
            <v>0</v>
          </cell>
          <cell r="H75">
            <v>0</v>
          </cell>
          <cell r="I75">
            <v>0</v>
          </cell>
        </row>
        <row r="76">
          <cell r="C76">
            <v>0</v>
          </cell>
          <cell r="D76">
            <v>0</v>
          </cell>
          <cell r="E76">
            <v>0</v>
          </cell>
          <cell r="F76">
            <v>0</v>
          </cell>
          <cell r="H76">
            <v>0</v>
          </cell>
          <cell r="I76">
            <v>0</v>
          </cell>
        </row>
      </sheetData>
      <sheetData sheetId="57" refreshError="1"/>
      <sheetData sheetId="58" refreshError="1"/>
      <sheetData sheetId="59" refreshError="1">
        <row r="32">
          <cell r="M32">
            <v>0</v>
          </cell>
        </row>
        <row r="38">
          <cell r="M38">
            <v>0</v>
          </cell>
        </row>
        <row r="41">
          <cell r="M41">
            <v>0</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row r="36">
          <cell r="D36">
            <v>641610.86499999999</v>
          </cell>
        </row>
        <row r="44">
          <cell r="B44">
            <v>6.25E-2</v>
          </cell>
        </row>
        <row r="50">
          <cell r="D50">
            <v>10300000</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ales"/>
      <sheetName val="Office"/>
      <sheetName val="Market Conditions"/>
      <sheetName val="Assumptions"/>
    </sheetNames>
    <sheetDataSet>
      <sheetData sheetId="0"/>
      <sheetData sheetId="1"/>
      <sheetData sheetId="2"/>
      <sheetData sheetId="3">
        <row r="2">
          <cell r="C2" t="str">
            <v>Qualitative</v>
          </cell>
        </row>
        <row r="3">
          <cell r="C3" t="str">
            <v>Quantitative</v>
          </cell>
        </row>
        <row r="9">
          <cell r="F9">
            <v>6</v>
          </cell>
          <cell r="G9" t="str">
            <v>( ++++++ )</v>
          </cell>
        </row>
        <row r="10">
          <cell r="F10">
            <v>5</v>
          </cell>
          <cell r="G10" t="str">
            <v>( +++++ )</v>
          </cell>
        </row>
        <row r="11">
          <cell r="F11">
            <v>4</v>
          </cell>
          <cell r="G11" t="str">
            <v>( ++++ )</v>
          </cell>
        </row>
        <row r="12">
          <cell r="F12">
            <v>3</v>
          </cell>
          <cell r="G12" t="str">
            <v>( +++ )</v>
          </cell>
        </row>
        <row r="13">
          <cell r="F13">
            <v>2</v>
          </cell>
          <cell r="G13" t="str">
            <v>( ++ )</v>
          </cell>
        </row>
        <row r="14">
          <cell r="F14">
            <v>1</v>
          </cell>
          <cell r="G14" t="str">
            <v>( + )</v>
          </cell>
        </row>
        <row r="15">
          <cell r="F15">
            <v>0</v>
          </cell>
          <cell r="G15" t="str">
            <v>=</v>
          </cell>
        </row>
        <row r="16">
          <cell r="F16">
            <v>-1</v>
          </cell>
          <cell r="G16" t="str">
            <v>( - )</v>
          </cell>
        </row>
        <row r="17">
          <cell r="F17">
            <v>-2</v>
          </cell>
          <cell r="G17" t="str">
            <v>( -- )</v>
          </cell>
        </row>
        <row r="18">
          <cell r="F18">
            <v>-3</v>
          </cell>
          <cell r="G18" t="str">
            <v>( --- )</v>
          </cell>
        </row>
        <row r="19">
          <cell r="F19">
            <v>-4</v>
          </cell>
          <cell r="G19" t="str">
            <v>( ---- )</v>
          </cell>
        </row>
        <row r="20">
          <cell r="F20">
            <v>-5</v>
          </cell>
          <cell r="G20" t="str">
            <v>( ----- )</v>
          </cell>
        </row>
        <row r="21">
          <cell r="F21">
            <v>-6</v>
          </cell>
          <cell r="G21" t="str">
            <v>( ------ )</v>
          </cell>
        </row>
      </sheetData>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Office Comps"/>
      <sheetName val="Retail Comps"/>
      <sheetName val="Industrial Comps"/>
      <sheetName val="Taxes &amp; Financial Indicators"/>
      <sheetName val="Proforma and Direct Cap"/>
      <sheetName val="Cap Rate Comps"/>
      <sheetName val="Assumptions"/>
    </sheetNames>
    <sheetDataSet>
      <sheetData sheetId="0"/>
      <sheetData sheetId="1"/>
      <sheetData sheetId="2"/>
      <sheetData sheetId="3"/>
      <sheetData sheetId="4"/>
      <sheetData sheetId="5"/>
      <sheetData sheetId="6">
        <row r="9">
          <cell r="E9" t="str">
            <v>( ++++++ )</v>
          </cell>
          <cell r="F9">
            <v>6</v>
          </cell>
          <cell r="G9" t="str">
            <v>( ++++++ )</v>
          </cell>
        </row>
        <row r="10">
          <cell r="E10" t="str">
            <v>( +++++ )</v>
          </cell>
          <cell r="F10">
            <v>5</v>
          </cell>
          <cell r="G10" t="str">
            <v>( +++++ )</v>
          </cell>
        </row>
        <row r="11">
          <cell r="E11" t="str">
            <v>( ++++ )</v>
          </cell>
          <cell r="F11">
            <v>4</v>
          </cell>
          <cell r="G11" t="str">
            <v>( ++++ )</v>
          </cell>
        </row>
        <row r="12">
          <cell r="E12" t="str">
            <v>( +++ )</v>
          </cell>
          <cell r="F12">
            <v>3</v>
          </cell>
          <cell r="G12" t="str">
            <v>( +++ )</v>
          </cell>
        </row>
        <row r="13">
          <cell r="E13" t="str">
            <v>( ++ )</v>
          </cell>
          <cell r="F13">
            <v>2</v>
          </cell>
          <cell r="G13" t="str">
            <v>( ++ )</v>
          </cell>
        </row>
        <row r="14">
          <cell r="E14" t="str">
            <v>( + )</v>
          </cell>
          <cell r="F14">
            <v>1</v>
          </cell>
          <cell r="G14" t="str">
            <v>( + )</v>
          </cell>
        </row>
        <row r="15">
          <cell r="E15" t="str">
            <v>=</v>
          </cell>
          <cell r="F15">
            <v>0</v>
          </cell>
          <cell r="G15" t="str">
            <v>=</v>
          </cell>
        </row>
        <row r="16">
          <cell r="E16" t="str">
            <v>( - )</v>
          </cell>
          <cell r="F16">
            <v>-1</v>
          </cell>
          <cell r="G16" t="str">
            <v>( - )</v>
          </cell>
        </row>
        <row r="17">
          <cell r="E17" t="str">
            <v>( -- )</v>
          </cell>
          <cell r="F17">
            <v>-2</v>
          </cell>
          <cell r="G17" t="str">
            <v>( -- )</v>
          </cell>
        </row>
        <row r="18">
          <cell r="E18" t="str">
            <v>( --- )</v>
          </cell>
          <cell r="F18">
            <v>-3</v>
          </cell>
          <cell r="G18" t="str">
            <v>( --- )</v>
          </cell>
        </row>
        <row r="19">
          <cell r="E19" t="str">
            <v>( ---- )</v>
          </cell>
          <cell r="F19">
            <v>-4</v>
          </cell>
          <cell r="G19" t="str">
            <v>( ---- )</v>
          </cell>
        </row>
        <row r="20">
          <cell r="E20" t="str">
            <v>( ----- )</v>
          </cell>
          <cell r="F20">
            <v>-5</v>
          </cell>
          <cell r="G20" t="str">
            <v>( ----- )</v>
          </cell>
        </row>
        <row r="21">
          <cell r="E21" t="str">
            <v>( ------ )</v>
          </cell>
          <cell r="F21">
            <v>-6</v>
          </cell>
          <cell r="G21" t="str">
            <v>( ------ )</v>
          </cell>
        </row>
      </sheetData>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Assumptions"/>
      <sheetName val="Office Comps"/>
      <sheetName val="Retail Comps"/>
      <sheetName val="Industrial Comps"/>
      <sheetName val="Taxes &amp; Financial Indicators"/>
      <sheetName val="Proforma and Direct Cap"/>
      <sheetName val="Cap Rate Comps"/>
    </sheetNames>
    <sheetDataSet>
      <sheetData sheetId="0" refreshError="1">
        <row r="9">
          <cell r="E9" t="str">
            <v>( ++++++ )</v>
          </cell>
          <cell r="F9">
            <v>6</v>
          </cell>
          <cell r="G9" t="str">
            <v>( ++++++ )</v>
          </cell>
        </row>
        <row r="10">
          <cell r="E10" t="str">
            <v>( +++++ )</v>
          </cell>
          <cell r="F10">
            <v>5</v>
          </cell>
          <cell r="G10" t="str">
            <v>( +++++ )</v>
          </cell>
        </row>
        <row r="11">
          <cell r="E11" t="str">
            <v>( ++++ )</v>
          </cell>
          <cell r="F11">
            <v>4</v>
          </cell>
          <cell r="G11" t="str">
            <v>( ++++ )</v>
          </cell>
        </row>
        <row r="12">
          <cell r="E12" t="str">
            <v>( +++ )</v>
          </cell>
          <cell r="F12">
            <v>3</v>
          </cell>
          <cell r="G12" t="str">
            <v>( +++ )</v>
          </cell>
        </row>
        <row r="13">
          <cell r="E13" t="str">
            <v>( ++ )</v>
          </cell>
          <cell r="F13">
            <v>2</v>
          </cell>
          <cell r="G13" t="str">
            <v>( ++ )</v>
          </cell>
        </row>
        <row r="14">
          <cell r="E14" t="str">
            <v>( + )</v>
          </cell>
          <cell r="F14">
            <v>1</v>
          </cell>
          <cell r="G14" t="str">
            <v>( + )</v>
          </cell>
        </row>
        <row r="15">
          <cell r="E15" t="str">
            <v>=</v>
          </cell>
          <cell r="F15">
            <v>0</v>
          </cell>
          <cell r="G15" t="str">
            <v>=</v>
          </cell>
        </row>
        <row r="16">
          <cell r="E16" t="str">
            <v>( - )</v>
          </cell>
          <cell r="F16">
            <v>-1</v>
          </cell>
          <cell r="G16" t="str">
            <v>( - )</v>
          </cell>
        </row>
        <row r="17">
          <cell r="E17" t="str">
            <v>( -- )</v>
          </cell>
          <cell r="F17">
            <v>-2</v>
          </cell>
          <cell r="G17" t="str">
            <v>( -- )</v>
          </cell>
        </row>
        <row r="18">
          <cell r="E18" t="str">
            <v>( --- )</v>
          </cell>
          <cell r="F18">
            <v>-3</v>
          </cell>
          <cell r="G18" t="str">
            <v>( --- )</v>
          </cell>
        </row>
        <row r="19">
          <cell r="E19" t="str">
            <v>( ---- )</v>
          </cell>
          <cell r="F19">
            <v>-4</v>
          </cell>
          <cell r="G19" t="str">
            <v>( ---- )</v>
          </cell>
        </row>
        <row r="20">
          <cell r="E20" t="str">
            <v>( ----- )</v>
          </cell>
          <cell r="F20">
            <v>-5</v>
          </cell>
          <cell r="G20" t="str">
            <v>( ----- )</v>
          </cell>
        </row>
        <row r="21">
          <cell r="E21" t="str">
            <v>( ------ )</v>
          </cell>
          <cell r="F21">
            <v>-6</v>
          </cell>
          <cell r="G21" t="str">
            <v>( ------ )</v>
          </cell>
        </row>
      </sheetData>
      <sheetData sheetId="1"/>
      <sheetData sheetId="2"/>
      <sheetData sheetId="3"/>
      <sheetData sheetId="4"/>
      <sheetData sheetId="5"/>
      <sheetData sheetId="6"/>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Menu"/>
      <sheetName val="Navigation"/>
      <sheetName val="OptionsProperty"/>
      <sheetName val="CompanyAddressData"/>
      <sheetName val="CompanyAddressList"/>
      <sheetName val="CertificationsOptions"/>
      <sheetName val="MapOptions"/>
      <sheetName val="MethodAssump"/>
      <sheetName val="Assignment"/>
      <sheetName val="Certification"/>
      <sheetName val="Valuation Scenarios"/>
      <sheetName val="Value Indications"/>
      <sheetName val="ExtraordinaryHypothetical"/>
      <sheetName val="Risk Summary"/>
      <sheetName val="Property History"/>
      <sheetName val="Scope Info"/>
      <sheetName val="Neighborhood"/>
      <sheetName val="Demos"/>
      <sheetName val="Site Information"/>
      <sheetName val="tblSite"/>
      <sheetName val="Zoning"/>
      <sheetName val="Unit Mix"/>
      <sheetName val="Improvement Description"/>
      <sheetName val="Improvement Description_2"/>
      <sheetName val="tblImprovements"/>
      <sheetName val="tblImprovements_2"/>
      <sheetName val="Taxes"/>
      <sheetName val="TaxComps"/>
      <sheetName val="H&amp;BU"/>
      <sheetName val="tblSalientFacts"/>
      <sheetName val="LSalesNew"/>
      <sheetName val="LSaleAdjNew"/>
      <sheetName val="LSalesAnalysis"/>
      <sheetName val="LSalesSecondary"/>
      <sheetName val="LSaleAdjSecondary"/>
      <sheetName val="LSalesAnalysisSecondary"/>
      <sheetName val="CostDataSec11_12"/>
      <sheetName val="CostDataSec13"/>
      <sheetName val="CostDataSec14"/>
      <sheetName val="CostDataSec15"/>
      <sheetName val="CostDataSec18"/>
      <sheetName val="OptionsCost"/>
      <sheetName val="CostDataSec99"/>
      <sheetName val="Cost (2)"/>
      <sheetName val="Cost (3)"/>
      <sheetName val="Cost (4)"/>
      <sheetName val="Cost (5)"/>
      <sheetName val="CostSummary"/>
      <sheetName val="CostInsur"/>
      <sheetName val="Evaluation"/>
      <sheetName val="ISaleData"/>
      <sheetName val="ISalesNew"/>
      <sheetName val="ISaleAdjNew"/>
      <sheetName val="ISalesAnalysis"/>
      <sheetName val="ISaleTbls"/>
      <sheetName val="ISalesSecondary"/>
      <sheetName val="ISaleAdjSecondary"/>
      <sheetName val="ISalesAnalysisSecondary"/>
      <sheetName val="RentCompData"/>
      <sheetName val="RentRollApt"/>
      <sheetName val="UnitCompApt"/>
      <sheetName val="tblUnitCompApt"/>
      <sheetName val="CompRentsApt"/>
      <sheetName val="RentSurveyApt"/>
      <sheetName val="Cost"/>
      <sheetName val="OwnerUserExpProforma"/>
      <sheetName val="RentRollNew"/>
      <sheetName val="RetailSales"/>
      <sheetName val="tblRentRoll"/>
      <sheetName val="LeaseAbstractsNew"/>
      <sheetName val="Lists"/>
      <sheetName val="LeaseCompsNew"/>
      <sheetName val="SpecialtyLeaseComps"/>
      <sheetName val="LeaseAdjGrids"/>
      <sheetName val="AltPropertyAdjGrid"/>
      <sheetName val="LeaseCompsSecondary"/>
      <sheetName val="LeaseAdjGridsSecondary"/>
      <sheetName val="AltPropertyAdjSecondary"/>
      <sheetName val="MktRentConcl"/>
      <sheetName val="STMarketRentConclusions"/>
      <sheetName val="RawOpData"/>
      <sheetName val="OpSummary"/>
      <sheetName val="SummaryExpenseTbl"/>
      <sheetName val="ExpCompData"/>
      <sheetName val="Recoveries.New"/>
      <sheetName val="ExpCompRawData"/>
      <sheetName val="CapRates"/>
      <sheetName val="ProForma"/>
      <sheetName val="GoDark"/>
      <sheetName val="LeaseUpAdj"/>
      <sheetName val="DCF.New"/>
      <sheetName val="Survey Publications"/>
      <sheetName val="Scratch"/>
      <sheetName val="Addenda"/>
      <sheetName val="Our Company"/>
      <sheetName val="Client Company"/>
      <sheetName val="Client Contact"/>
      <sheetName val="Job Info"/>
      <sheetName val="Job Participants"/>
      <sheetName val="Job Participant Additional Info"/>
      <sheetName val="Job Property"/>
      <sheetName val="Property Unit Mix"/>
      <sheetName val="Property Comments"/>
      <sheetName val="Property Attributes"/>
      <sheetName val="Comp. Land Sale Picklists"/>
      <sheetName val="Comparable Sale Picklists"/>
      <sheetName val="Comparable Rental Picklists"/>
      <sheetName val="Comp. Rental Picklist Units"/>
      <sheetName val="Comparable Lease Picklists"/>
      <sheetName val="Subject Property Leases"/>
    </sheetNames>
    <sheetDataSet>
      <sheetData sheetId="0">
        <row r="15">
          <cell r="D15" t="str">
            <v>Retail</v>
          </cell>
        </row>
        <row r="17">
          <cell r="D17"/>
        </row>
      </sheetData>
      <sheetData sheetId="1"/>
      <sheetData sheetId="2"/>
      <sheetData sheetId="3"/>
      <sheetData sheetId="4"/>
      <sheetData sheetId="5"/>
      <sheetData sheetId="6"/>
      <sheetData sheetId="7">
        <row r="4">
          <cell r="B4" t="str">
            <v>Investor</v>
          </cell>
        </row>
      </sheetData>
      <sheetData sheetId="8">
        <row r="15">
          <cell r="B15" t="str">
            <v>4430 South Adams County Parkway</v>
          </cell>
        </row>
        <row r="16">
          <cell r="B16" t="str">
            <v>Suite C5000B</v>
          </cell>
        </row>
        <row r="17">
          <cell r="B17" t="str">
            <v>Brighton</v>
          </cell>
        </row>
        <row r="18">
          <cell r="B18" t="str">
            <v>CO</v>
          </cell>
        </row>
        <row r="19">
          <cell r="B19">
            <v>80601</v>
          </cell>
        </row>
        <row r="22">
          <cell r="B22" t="str">
            <v xml:space="preserve">Mr. Tom Downey, owner representitive, was interviewed by phone and email throughout the appraisal process. Mr. Downey attended our inspection of the subject property. </v>
          </cell>
        </row>
        <row r="27">
          <cell r="B27" t="str">
            <v>THF PRAIRIE CENTER RETAIL ONE LLC 
C/O THF REALTY</v>
          </cell>
        </row>
        <row r="34">
          <cell r="B34" t="str">
            <v>Adams</v>
          </cell>
        </row>
        <row r="36">
          <cell r="B36">
            <v>80601</v>
          </cell>
        </row>
        <row r="43">
          <cell r="B43">
            <v>44987</v>
          </cell>
        </row>
        <row r="44">
          <cell r="B44">
            <v>45008</v>
          </cell>
        </row>
      </sheetData>
      <sheetData sheetId="9"/>
      <sheetData sheetId="10">
        <row r="76">
          <cell r="D76" t="str">
            <v xml:space="preserve"> •Market Value of the Fee Simple interest in the subject property, As Is as of January 1, 2022</v>
          </cell>
        </row>
        <row r="79">
          <cell r="D79" t="str">
            <v>Market Value</v>
          </cell>
        </row>
        <row r="85">
          <cell r="D85" t="str">
            <v>As Is Market Value - January 1, 2022</v>
          </cell>
        </row>
      </sheetData>
      <sheetData sheetId="11">
        <row r="14">
          <cell r="C14" t="str">
            <v>12 months</v>
          </cell>
        </row>
        <row r="15">
          <cell r="C15" t="str">
            <v>12 months</v>
          </cell>
        </row>
      </sheetData>
      <sheetData sheetId="12"/>
      <sheetData sheetId="13"/>
      <sheetData sheetId="14"/>
      <sheetData sheetId="15"/>
      <sheetData sheetId="16"/>
      <sheetData sheetId="17"/>
      <sheetData sheetId="18">
        <row r="2">
          <cell r="C2" t="str">
            <v>Northwest side of Prairie Center Parway, south of Eagle Boulevard, in the City of Brighton, Adams County, Colorado.</v>
          </cell>
        </row>
        <row r="11">
          <cell r="C11">
            <v>0</v>
          </cell>
        </row>
        <row r="12">
          <cell r="C12"/>
        </row>
        <row r="16">
          <cell r="C16" t="str">
            <v>Typical utilities and municipal services available to site.</v>
          </cell>
        </row>
        <row r="18">
          <cell r="C18" t="str">
            <v>08001C0333H</v>
          </cell>
        </row>
        <row r="19">
          <cell r="C19">
            <v>39146</v>
          </cell>
        </row>
        <row r="20">
          <cell r="C20" t="str">
            <v>Zone X (Unshaded)</v>
          </cell>
        </row>
        <row r="21">
          <cell r="C21" t="str">
            <v>Zone X (unshaded) is a Non-Special Flood Hazard Area (NSFHA) of minimal flood hazard, usually depicted on Flood Insurance Rate Maps (FIRM) as above the 500-year flood level. This is an area in a low to moderate risk flood zone that is not in any immediate danger from flooding caused by overflowing rivers or hard rains. In communities that participate in the National Flood Insurance Program (NFIP), flood insurance is available to all property owners and renters in this zone.</v>
          </cell>
        </row>
        <row r="22">
          <cell r="C22">
            <v>0</v>
          </cell>
        </row>
        <row r="24">
          <cell r="C24" t="str">
            <v>We did not receive nor review a soil report.  However, we assume that the soil's load-bearing capacity is sufficient to support existing and/or proposed structure(s).  We did not observe any evidence to the contrary during our physical inspection of the property.</v>
          </cell>
        </row>
        <row r="25">
          <cell r="C25" t="str">
            <v>No unusual conditions observed.  No studies provided.  Site is assumed to be free of any environmental concerns.</v>
          </cell>
        </row>
        <row r="27">
          <cell r="C27" t="str">
            <v>Manual fill.</v>
          </cell>
        </row>
        <row r="28">
          <cell r="C28" t="str">
            <v>Manual fill.</v>
          </cell>
        </row>
        <row r="29">
          <cell r="C29" t="str">
            <v>Manual fill.</v>
          </cell>
        </row>
        <row r="30">
          <cell r="C30"/>
        </row>
        <row r="31">
          <cell r="C31" t="str">
            <v>Manual fill.</v>
          </cell>
        </row>
        <row r="32">
          <cell r="C32" t="str">
            <v>Manual fill.</v>
          </cell>
        </row>
        <row r="33">
          <cell r="C33" t="str">
            <v>Manual fill.</v>
          </cell>
        </row>
        <row r="34">
          <cell r="C34" t="str">
            <v>Manual fill.</v>
          </cell>
        </row>
        <row r="37">
          <cell r="C37" t="str">
            <v>Improved Parcel: 1569-212-01-017
Excess Land: 1569-212-01-018</v>
          </cell>
        </row>
        <row r="38">
          <cell r="C38" t="str">
            <v>Improved Parcel: PRAIRIE CENTER MAJOR RETAIL 2 4TH AMND LOT 5 REMAINDER
Excess Land: PRAIRIE CENTER MAJOR RETAIL 2 4TH AMND LOT 5A</v>
          </cell>
        </row>
        <row r="39">
          <cell r="C39" t="str">
            <v xml:space="preserve">A typical parking and access agreement appears to exist with adjacent properties to the north and south of the subject. No adverse easements or encumbrances appear to exist at the property. </v>
          </cell>
        </row>
      </sheetData>
      <sheetData sheetId="19"/>
      <sheetData sheetId="20"/>
      <sheetData sheetId="21"/>
      <sheetData sheetId="22">
        <row r="2">
          <cell r="C2" t="str">
            <v>Multi-Tenant Retail Center with Excess Land</v>
          </cell>
        </row>
        <row r="3">
          <cell r="C3" t="str">
            <v>Retail</v>
          </cell>
        </row>
        <row r="4">
          <cell r="C4" t="str">
            <v>Multi-Tenant Retail Center with Excess Land</v>
          </cell>
        </row>
        <row r="6">
          <cell r="C6" t="str">
            <v>Updated over time</v>
          </cell>
        </row>
        <row r="7">
          <cell r="C7">
            <v>3</v>
          </cell>
        </row>
        <row r="8">
          <cell r="C8">
            <v>1</v>
          </cell>
        </row>
        <row r="9">
          <cell r="C9" t="str">
            <v>C</v>
          </cell>
        </row>
        <row r="14">
          <cell r="C14">
            <v>0</v>
          </cell>
        </row>
        <row r="15">
          <cell r="C15">
            <v>0</v>
          </cell>
        </row>
        <row r="16">
          <cell r="C16">
            <v>0</v>
          </cell>
        </row>
        <row r="17">
          <cell r="C17">
            <v>109032</v>
          </cell>
        </row>
        <row r="22">
          <cell r="C22"/>
        </row>
        <row r="23">
          <cell r="C23"/>
        </row>
        <row r="27">
          <cell r="C27">
            <v>0</v>
          </cell>
        </row>
        <row r="28">
          <cell r="C28" t="str">
            <v>Manual fill.</v>
          </cell>
        </row>
        <row r="29">
          <cell r="C29" t="str">
            <v>N/R</v>
          </cell>
        </row>
        <row r="30">
          <cell r="C30">
            <v>0</v>
          </cell>
        </row>
        <row r="31">
          <cell r="C31">
            <v>0.18029073080825908</v>
          </cell>
        </row>
        <row r="35">
          <cell r="C35" t="str">
            <v>Manual Entry</v>
          </cell>
        </row>
        <row r="37">
          <cell r="C37"/>
        </row>
        <row r="38">
          <cell r="C38"/>
        </row>
        <row r="39">
          <cell r="C39" t="str">
            <v>Manual fill.</v>
          </cell>
        </row>
        <row r="40">
          <cell r="C40"/>
        </row>
        <row r="41">
          <cell r="C41"/>
        </row>
        <row r="44">
          <cell r="C44">
            <v>433</v>
          </cell>
        </row>
        <row r="45">
          <cell r="C45">
            <v>0</v>
          </cell>
        </row>
        <row r="46">
          <cell r="C46">
            <v>0</v>
          </cell>
        </row>
        <row r="48">
          <cell r="C48" t="str">
            <v>4.05 spaces per 1,000 SF of net building area.</v>
          </cell>
        </row>
        <row r="50">
          <cell r="C50" t="str">
            <v>The property is assumed to be fully ADA compliant.</v>
          </cell>
        </row>
        <row r="54">
          <cell r="C54" t="str">
            <v>Manual fill.</v>
          </cell>
        </row>
        <row r="55">
          <cell r="C55"/>
        </row>
        <row r="56">
          <cell r="C56" t="str">
            <v>Concrete block</v>
          </cell>
        </row>
        <row r="57">
          <cell r="C57"/>
        </row>
        <row r="58">
          <cell r="C58"/>
        </row>
        <row r="59">
          <cell r="C59"/>
        </row>
        <row r="60">
          <cell r="C60"/>
        </row>
        <row r="61">
          <cell r="C61"/>
        </row>
        <row r="65">
          <cell r="C65"/>
        </row>
        <row r="66">
          <cell r="C66"/>
        </row>
        <row r="67">
          <cell r="C67" t="str">
            <v>Manual fill.</v>
          </cell>
        </row>
        <row r="69">
          <cell r="C69"/>
        </row>
        <row r="70">
          <cell r="C70"/>
        </row>
        <row r="75">
          <cell r="C75"/>
        </row>
        <row r="76">
          <cell r="C76"/>
        </row>
        <row r="77">
          <cell r="C77" t="str">
            <v>Manual fill.</v>
          </cell>
        </row>
        <row r="78">
          <cell r="C78" t="str">
            <v>Manual fill.</v>
          </cell>
        </row>
        <row r="80">
          <cell r="C80"/>
        </row>
        <row r="83">
          <cell r="C83"/>
        </row>
        <row r="84">
          <cell r="C84"/>
        </row>
        <row r="85">
          <cell r="C85" t="str">
            <v>Manual fill.</v>
          </cell>
        </row>
        <row r="86">
          <cell r="C86" t="str">
            <v>Manual fill.</v>
          </cell>
        </row>
        <row r="87">
          <cell r="C87" t="str">
            <v>Manual fill.</v>
          </cell>
        </row>
        <row r="90">
          <cell r="C90" t="str">
            <v>None noted</v>
          </cell>
        </row>
        <row r="91">
          <cell r="C91" t="str">
            <v>None noted</v>
          </cell>
        </row>
        <row r="92">
          <cell r="C92" t="str">
            <v>N/A</v>
          </cell>
        </row>
        <row r="95">
          <cell r="C95" t="str">
            <v>Average</v>
          </cell>
        </row>
        <row r="97">
          <cell r="C97" t="str">
            <v>Average</v>
          </cell>
        </row>
        <row r="99">
          <cell r="C99" t="str">
            <v>Average</v>
          </cell>
        </row>
        <row r="100">
          <cell r="C100" t="str">
            <v>Building 1: 4 Years
Building 2: 9 Years
Building 3: 14 Years</v>
          </cell>
        </row>
        <row r="103">
          <cell r="C103" t="str">
            <v>Building 1: 41 Years
Building 2: 40 Years
Building 3: 38 Years</v>
          </cell>
        </row>
      </sheetData>
      <sheetData sheetId="23">
        <row r="31">
          <cell r="C31" t="str">
            <v>Manual Entry</v>
          </cell>
        </row>
        <row r="32">
          <cell r="C32" t="str">
            <v>Manual Entry</v>
          </cell>
        </row>
        <row r="33">
          <cell r="C33" t="str">
            <v>Manual Entry</v>
          </cell>
        </row>
        <row r="34">
          <cell r="C34" t="str">
            <v>Manual Entry</v>
          </cell>
        </row>
        <row r="35">
          <cell r="C35" t="str">
            <v>Manual Entry</v>
          </cell>
        </row>
        <row r="36">
          <cell r="C36" t="str">
            <v>Manual Entry</v>
          </cell>
        </row>
        <row r="39">
          <cell r="C39" t="str">
            <v>Manual Entry</v>
          </cell>
        </row>
        <row r="40">
          <cell r="C40" t="str">
            <v>Manual Entry</v>
          </cell>
        </row>
        <row r="85">
          <cell r="C85" t="str">
            <v>Manual Entry</v>
          </cell>
        </row>
      </sheetData>
      <sheetData sheetId="24"/>
      <sheetData sheetId="25"/>
      <sheetData sheetId="26"/>
      <sheetData sheetId="27"/>
      <sheetData sheetId="28">
        <row r="2">
          <cell r="B2" t="str">
            <v>Retail Development</v>
          </cell>
        </row>
        <row r="3">
          <cell r="B3" t="str">
            <v>As currently developed</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1">
          <cell r="V1">
            <v>0</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Basic"/>
      <sheetName val="LA"/>
      <sheetName val="BAA - Pre-Appraisal Analysis"/>
      <sheetName val="Rent Roll"/>
      <sheetName val="LAG"/>
      <sheetName val="MRC &amp; PGRI"/>
      <sheetName val="V &amp; CL"/>
      <sheetName val="HOA"/>
      <sheetName val="CED"/>
      <sheetName val="OECC"/>
      <sheetName val="PF"/>
      <sheetName val="Cap Rate"/>
      <sheetName val="IA Value"/>
      <sheetName val="IS Summary"/>
      <sheetName val="Sales Grid"/>
      <sheetName val="Market Conditions"/>
      <sheetName val="SCA Value"/>
      <sheetName val="Land Sales Adjustments "/>
      <sheetName val="Cost Analysis Actual Costs"/>
      <sheetName val="Cost Analysis Estimated Costs"/>
      <sheetName val="Final 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3">
          <cell r="G33">
            <v>6128646.0606000004</v>
          </cell>
        </row>
        <row r="56">
          <cell r="G56">
            <v>919296.9090900002</v>
          </cell>
        </row>
      </sheetData>
      <sheetData sheetId="2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List"/>
      <sheetName val="Certification_OLD"/>
      <sheetName val="Certification"/>
      <sheetName val="CertificationsOptions"/>
      <sheetName val="Valuation Scenarios"/>
      <sheetName val="Value Indications"/>
      <sheetName val="Lists"/>
      <sheetName val="Risk Summary"/>
      <sheetName val="Property History"/>
      <sheetName val="Scope Info"/>
      <sheetName val="H&amp;BU"/>
      <sheetName val="OptionsProperty_Old"/>
      <sheetName val="MapOptions"/>
      <sheetName val="Site Information"/>
      <sheetName val="Improvement Description"/>
      <sheetName val="Zoning"/>
      <sheetName val="Taxes"/>
      <sheetName val="TaxComps"/>
      <sheetName val="Neighborhood"/>
      <sheetName val="LSaleData"/>
      <sheetName val="LSales"/>
      <sheetName val="LSaleAdj"/>
      <sheetName val="LSaleAdj_Macro"/>
      <sheetName val="LSaleNarr"/>
      <sheetName val="CostDataSec99"/>
      <sheetName val="CostDataSec13"/>
      <sheetName val="CostDataSec14"/>
      <sheetName val="CostDataSec15"/>
      <sheetName val="OptionsCost"/>
      <sheetName val="Cost"/>
      <sheetName val="CostInsur"/>
      <sheetName val="ISaleData"/>
      <sheetName val="ISales"/>
      <sheetName val="RentRoll_Old"/>
      <sheetName val="ISaleAdj_Macro"/>
      <sheetName val="ISaleTbls"/>
      <sheetName val="AdjustmentDetail"/>
      <sheetName val="ISaleNarr"/>
      <sheetName val="ISaleAdj"/>
      <sheetName val="RentRoll"/>
      <sheetName val="RentRoll_Macro"/>
      <sheetName val="RentRollTbls"/>
      <sheetName val="RentCompData"/>
      <sheetName val="LeaseAbstracts"/>
      <sheetName val="LeaseComps"/>
      <sheetName val="StdLeaseAdj"/>
      <sheetName val="StdLeaseAdj_Macro"/>
      <sheetName val="MarketRentConclusions"/>
      <sheetName val="STMarketRentConclusions"/>
      <sheetName val="OpActuals"/>
      <sheetName val="OpSummary"/>
      <sheetName val="ExpCompData"/>
      <sheetName val="SummaryExpenseTbl"/>
      <sheetName val="Recoveries"/>
      <sheetName val="LeaseDataRaw"/>
      <sheetName val="LeaseAdjDetail"/>
      <sheetName val="LeaseAdj"/>
      <sheetName val="MarketRentConcNarr"/>
      <sheetName val="ExpCompRawData"/>
      <sheetName val="CapRates"/>
      <sheetName val="ProForma"/>
      <sheetName val="OwnerUserExpProforma"/>
      <sheetName val="ExpCompIREM"/>
      <sheetName val="ExpCompIREMregional"/>
      <sheetName val="LeaseUpAdj"/>
      <sheetName val="PwC"/>
      <sheetName val="OpSummaryGSE"/>
      <sheetName val="ProformaGSE"/>
      <sheetName val="Evaluation"/>
      <sheetName val="Scratch"/>
      <sheetName val="DiscountedCashFlow"/>
      <sheetName val="Sheet3"/>
      <sheetName val="Comp1"/>
      <sheetName val="Comp2"/>
      <sheetName val="Comp3"/>
      <sheetName val="Comp4"/>
      <sheetName val="Comp5"/>
      <sheetName val="Comp6"/>
      <sheetName val="Comp7"/>
      <sheetName val="Comp8"/>
      <sheetName val="Comp9"/>
      <sheetName val="Comp10"/>
      <sheetName val="Client Company"/>
      <sheetName val="Client Contact"/>
      <sheetName val="Job Info"/>
      <sheetName val="Our Company"/>
      <sheetName val="Job Property"/>
      <sheetName val="Property Comments"/>
      <sheetName val="Property Attributes"/>
      <sheetName val="Property Unit Mix"/>
      <sheetName val="Comparable Rental Picklists"/>
      <sheetName val="Comp. Rental Picklist Units"/>
      <sheetName val="Comparable Sale Picklists"/>
      <sheetName val="Comp. Land Sale Picklists"/>
      <sheetName val="Job Participants"/>
      <sheetName val="Job Participant Additional Info"/>
    </sheetNames>
    <sheetDataSet>
      <sheetData sheetId="0"/>
      <sheetData sheetId="1"/>
      <sheetData sheetId="2"/>
      <sheetData sheetId="3"/>
      <sheetData sheetId="4"/>
      <sheetData sheetId="5"/>
      <sheetData sheetId="6">
        <row r="30">
          <cell r="B30" t="str">
            <v>Shops at Presidio</v>
          </cell>
        </row>
      </sheetData>
      <sheetData sheetId="7"/>
      <sheetData sheetId="8"/>
      <sheetData sheetId="9"/>
      <sheetData sheetId="10"/>
      <sheetData sheetId="11">
        <row r="4">
          <cell r="B4" t="str">
            <v>As Is</v>
          </cell>
        </row>
      </sheetData>
      <sheetData sheetId="12"/>
      <sheetData sheetId="13">
        <row r="2">
          <cell r="H2" t="str">
            <v>Neutral</v>
          </cell>
          <cell r="AA2" t="str">
            <v>Excellent</v>
          </cell>
          <cell r="BV2" t="str">
            <v>NRA</v>
          </cell>
        </row>
        <row r="3">
          <cell r="H3" t="str">
            <v>Upward</v>
          </cell>
          <cell r="AA3" t="str">
            <v>Good/Excellent</v>
          </cell>
          <cell r="BV3" t="str">
            <v>GBA</v>
          </cell>
        </row>
        <row r="4">
          <cell r="H4" t="str">
            <v>Downward</v>
          </cell>
          <cell r="AA4" t="str">
            <v>Good</v>
          </cell>
          <cell r="BV4" t="str">
            <v>Land</v>
          </cell>
        </row>
        <row r="5">
          <cell r="AA5" t="str">
            <v>Average/Good</v>
          </cell>
        </row>
        <row r="6">
          <cell r="AA6" t="str">
            <v>Average</v>
          </cell>
        </row>
        <row r="7">
          <cell r="AA7" t="str">
            <v>Average/Fair</v>
          </cell>
        </row>
        <row r="8">
          <cell r="AA8" t="str">
            <v>Fair</v>
          </cell>
        </row>
        <row r="9">
          <cell r="AA9" t="str">
            <v>Fair/Poor</v>
          </cell>
        </row>
        <row r="10">
          <cell r="AA10" t="str">
            <v>Poor</v>
          </cell>
        </row>
      </sheetData>
      <sheetData sheetId="14"/>
      <sheetData sheetId="15"/>
      <sheetData sheetId="16"/>
      <sheetData sheetId="17"/>
      <sheetData sheetId="18"/>
      <sheetData sheetId="19"/>
      <sheetData sheetId="20">
        <row r="3">
          <cell r="B3">
            <v>125017</v>
          </cell>
        </row>
      </sheetData>
      <sheetData sheetId="21">
        <row r="5">
          <cell r="B5">
            <v>2017</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44">
          <cell r="F44">
            <v>0</v>
          </cell>
        </row>
        <row r="58">
          <cell r="G58" t="e">
            <v>#N/A</v>
          </cell>
        </row>
      </sheetData>
      <sheetData sheetId="37"/>
      <sheetData sheetId="38">
        <row r="2">
          <cell r="A2">
            <v>1</v>
          </cell>
        </row>
      </sheetData>
      <sheetData sheetId="39"/>
      <sheetData sheetId="40"/>
      <sheetData sheetId="41"/>
      <sheetData sheetId="42"/>
      <sheetData sheetId="43"/>
      <sheetData sheetId="44"/>
      <sheetData sheetId="45">
        <row r="188">
          <cell r="D188">
            <v>750000</v>
          </cell>
        </row>
      </sheetData>
      <sheetData sheetId="46">
        <row r="9">
          <cell r="C9">
            <v>1</v>
          </cell>
        </row>
      </sheetData>
      <sheetData sheetId="47">
        <row r="2">
          <cell r="A2" t="str">
            <v>Retail</v>
          </cell>
        </row>
        <row r="3">
          <cell r="A3" t="str">
            <v>In-Line (&lt; 1,500)</v>
          </cell>
        </row>
        <row r="4">
          <cell r="A4" t="str">
            <v>In-Line (&gt;1,500)</v>
          </cell>
        </row>
        <row r="5">
          <cell r="A5" t="str">
            <v>Jr. Anchor</v>
          </cell>
        </row>
        <row r="6">
          <cell r="A6" t="str">
            <v>Anchor</v>
          </cell>
        </row>
        <row r="7">
          <cell r="A7" t="str">
            <v>Endcap</v>
          </cell>
        </row>
        <row r="8">
          <cell r="A8" t="str">
            <v>Pad Site</v>
          </cell>
        </row>
        <row r="9">
          <cell r="A9" t="str">
            <v>Restaurant</v>
          </cell>
        </row>
        <row r="10">
          <cell r="A10" t="str">
            <v>Bar/Restaurant</v>
          </cell>
        </row>
        <row r="11">
          <cell r="A11" t="str">
            <v>Retail/Office</v>
          </cell>
        </row>
      </sheetData>
      <sheetData sheetId="48"/>
      <sheetData sheetId="49"/>
      <sheetData sheetId="50"/>
      <sheetData sheetId="51"/>
      <sheetData sheetId="52">
        <row r="62">
          <cell r="C62" t="str">
            <v>NNN</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50">
          <cell r="D50">
            <v>5500000</v>
          </cell>
        </row>
      </sheetData>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Value Indications"/>
      <sheetName val="Land Sales Adjustments"/>
      <sheetName val="Summary of Land Sales"/>
      <sheetName val="Cost"/>
      <sheetName val="Cost Approach Summary"/>
      <sheetName val="Improved Sales Adjustments"/>
      <sheetName val="Summary of Improved Sales"/>
      <sheetName val="Extra Improved Sales Adjustment"/>
      <sheetName val="Taxes &amp; Financial Indicators"/>
      <sheetName val="Lease Abstracts"/>
      <sheetName val="RentRoll"/>
      <sheetName val="Expense Recoveries"/>
      <sheetName val="Lease Adjustments"/>
      <sheetName val="Lease Comps"/>
      <sheetName val="Market Rent Conclusion"/>
      <sheetName val="PGRI"/>
      <sheetName val="Vacancy"/>
      <sheetName val="Operating Expenses"/>
      <sheetName val=" Proforma &amp; Cap"/>
      <sheetName val="Risk Factors Affecting Subject"/>
      <sheetName val="Sheet1"/>
      <sheetName val="Cap Rate Comps"/>
    </sheetNames>
    <sheetDataSet>
      <sheetData sheetId="0" refreshError="1">
        <row r="5">
          <cell r="C5">
            <v>2170000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row r="4">
          <cell r="B4">
            <v>1100000</v>
          </cell>
        </row>
        <row r="5">
          <cell r="B5">
            <v>680000</v>
          </cell>
        </row>
      </sheetData>
      <sheetData sheetId="2"/>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Basic"/>
      <sheetName val="LA"/>
      <sheetName val="Rent Roll"/>
      <sheetName val="LAG"/>
      <sheetName val="MRC &amp; PGRI"/>
      <sheetName val="V &amp; CL"/>
      <sheetName val="HOA"/>
      <sheetName val="CED"/>
      <sheetName val="OECC"/>
      <sheetName val="PF"/>
      <sheetName val="Cap Rate"/>
      <sheetName val="IA Value"/>
      <sheetName val="IS Summary"/>
      <sheetName val="Market Conditions"/>
      <sheetName val="SCA Value"/>
      <sheetName val="Final 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Navigation"/>
      <sheetName val="Menu"/>
      <sheetName val="OptionsProperty"/>
      <sheetName val="Addenda"/>
      <sheetName val="MethodAssump"/>
      <sheetName val="ExtraordinaryHypothetical"/>
      <sheetName val="Assignment"/>
      <sheetName val="CompanyAddressData"/>
      <sheetName val="CompanyAddressList"/>
      <sheetName val="tblSalientFacts"/>
      <sheetName val="Certification"/>
      <sheetName val="CertificationsOptions"/>
      <sheetName val="Valuation Scenarios"/>
      <sheetName val="Value Indications"/>
      <sheetName val="Lists"/>
      <sheetName val="Risk Summary"/>
      <sheetName val="Property History"/>
      <sheetName val="Scope Info"/>
      <sheetName val="MapOptions"/>
      <sheetName val="Site Information"/>
      <sheetName val="tblSite"/>
      <sheetName val="Zoning"/>
      <sheetName val="Improvement Description"/>
      <sheetName val="tblImprovements"/>
      <sheetName val="Taxes"/>
      <sheetName val="TaxComps"/>
      <sheetName val="Neighborhood"/>
      <sheetName val="Demos"/>
      <sheetName val="H&amp;BU"/>
      <sheetName val="LSalesNew"/>
      <sheetName val="LSaleAdjNew"/>
      <sheetName val="LSalesAnalysis"/>
      <sheetName val="CostDataSec99"/>
      <sheetName val="CostDataSec13"/>
      <sheetName val="CostDataSec14"/>
      <sheetName val="CostDataSec15"/>
      <sheetName val="OptionsCost"/>
      <sheetName val="Cost"/>
      <sheetName val="CostInsur"/>
      <sheetName val="ISaleData"/>
      <sheetName val="Evaluation"/>
      <sheetName val="ISalesNew"/>
      <sheetName val="ISaleAdjNew"/>
      <sheetName val="ISalesAnalysis"/>
      <sheetName val="ISaleTbls"/>
      <sheetName val="RentRollTbls"/>
      <sheetName val="RentCompData"/>
      <sheetName val="RentRollNew"/>
      <sheetName val="tblRentRoll"/>
      <sheetName val="LeaseAbstractsNew"/>
      <sheetName val="LeaseCompsNew"/>
      <sheetName val="SpecialtyLeaseComps"/>
      <sheetName val="LeaseAdjGrids"/>
      <sheetName val="STMarketRentConclusions"/>
      <sheetName val="AltPropertyAdjGrid"/>
      <sheetName val="MktRentConcl"/>
      <sheetName val="RawOpData"/>
      <sheetName val="OpSummary"/>
      <sheetName val="SummaryExpenseTbl"/>
      <sheetName val="ExpCompData"/>
      <sheetName val="Recoveries.New"/>
      <sheetName val="ExpCompRawData"/>
      <sheetName val="CapRates"/>
      <sheetName val="ProForma"/>
      <sheetName val="OwnerUserExpProforma"/>
      <sheetName val="ExpCompIREM"/>
      <sheetName val="ExpCompIREMregional"/>
      <sheetName val="LeaseUpAdj"/>
      <sheetName val="PwC"/>
      <sheetName val="DCF.New"/>
      <sheetName val="Scratch"/>
      <sheetName val="Comp. Land Sale Picklists"/>
      <sheetName val="Survey Publications"/>
      <sheetName val="Our Company"/>
      <sheetName val="Job Info"/>
      <sheetName val="Job Participants"/>
      <sheetName val="Job Participant Additional Info"/>
      <sheetName val="Job Property"/>
      <sheetName val="Property Comments"/>
      <sheetName val="Property Attributes"/>
      <sheetName val="Client Company"/>
      <sheetName val="Client Contact"/>
      <sheetName val="Comparable Sale Picklists"/>
      <sheetName val="Comparable Lease Picklists"/>
      <sheetName val="Subject Property Leases"/>
      <sheetName val="Comparable Rental Pick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95">
          <cell r="C95">
            <v>40</v>
          </cell>
        </row>
        <row r="96">
          <cell r="C96">
            <v>0</v>
          </cell>
        </row>
      </sheetData>
      <sheetData sheetId="23"/>
      <sheetData sheetId="24"/>
      <sheetData sheetId="25"/>
      <sheetData sheetId="26"/>
      <sheetData sheetId="27"/>
      <sheetData sheetId="28"/>
      <sheetData sheetId="29"/>
      <sheetData sheetId="30"/>
      <sheetData sheetId="31"/>
      <sheetData sheetId="32"/>
      <sheetData sheetId="33">
        <row r="52">
          <cell r="B52">
            <v>1000</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Navigation"/>
      <sheetName val="Security_Ref"/>
      <sheetName val="Menu"/>
      <sheetName val="UNAUTHORIZED FILE USE"/>
      <sheetName val="ProsperSpark Changes"/>
      <sheetName val="OptionsProperty"/>
      <sheetName val="CompanyAddressData"/>
      <sheetName val="xCompanyAddressList"/>
      <sheetName val="CertificationsOptions"/>
      <sheetName val="MapOptions"/>
      <sheetName val="Assignment"/>
      <sheetName val="ExtraordinaryHypothetical"/>
      <sheetName val="Risk Summary"/>
      <sheetName val="Property History"/>
      <sheetName val="Scope Info"/>
      <sheetName val="Neighborhood"/>
      <sheetName val="Demos"/>
      <sheetName val="Site Information"/>
      <sheetName val="tblSite"/>
      <sheetName val="Zoning"/>
      <sheetName val="Unit Mix"/>
      <sheetName val="Improvement Description"/>
      <sheetName val="Improvement Description_2"/>
      <sheetName val="tblImprovements"/>
      <sheetName val="tblImprovements_2"/>
      <sheetName val="Taxes"/>
      <sheetName val="TaxComps"/>
      <sheetName val="Lists"/>
      <sheetName val="H&amp;BU"/>
      <sheetName val="LSales1"/>
      <sheetName val="LSaleAdj1"/>
      <sheetName val="LSaleAnalysis1"/>
      <sheetName val="LSales2"/>
      <sheetName val="LSaleAdj2"/>
      <sheetName val="LSaleAnalysis2"/>
      <sheetName val="LSales3"/>
      <sheetName val="LSaleAdj3"/>
      <sheetName val="LSaleAnalysis3"/>
      <sheetName val="LSales4"/>
      <sheetName val="LSaleAdj4"/>
      <sheetName val="LSaleAnalysis4"/>
      <sheetName val="LSales5"/>
      <sheetName val="LSaleAdj5"/>
      <sheetName val="LSaleAnalysis5"/>
      <sheetName val="LSales6"/>
      <sheetName val="LSaleAdj6"/>
      <sheetName val="LSaleAnalysis6"/>
      <sheetName val="LSales7"/>
      <sheetName val="LSaleAdj7"/>
      <sheetName val="LSaleAnalysis7"/>
      <sheetName val="LSales8"/>
      <sheetName val="LSaleAdj8"/>
      <sheetName val="LSaleAnalysis8"/>
      <sheetName val="LSales9"/>
      <sheetName val="LSaleAdj9"/>
      <sheetName val="LSaleAnalysis9"/>
      <sheetName val="LSales10"/>
      <sheetName val="LSaleAdj10"/>
      <sheetName val="LSaleAnalysis10"/>
      <sheetName val="CostDataSec11_12"/>
      <sheetName val="CostDataSec13"/>
      <sheetName val="CostDataSec14"/>
      <sheetName val="CostDataSec15"/>
      <sheetName val="CostDataSec18"/>
      <sheetName val="OptionsCost"/>
      <sheetName val="CostDataSec99"/>
      <sheetName val="tblSalientFacts"/>
      <sheetName val="Cost"/>
      <sheetName val="Cost_2"/>
      <sheetName val="Cost_3"/>
      <sheetName val="Cost_4"/>
      <sheetName val="Cost_5"/>
      <sheetName val="CostSummary"/>
      <sheetName val="CostInsur"/>
      <sheetName val="Evaluation"/>
      <sheetName val="NamedRanges"/>
      <sheetName val="ISales1"/>
      <sheetName val="ISaleAdj1"/>
      <sheetName val="ISalesAnalysis1"/>
      <sheetName val="ISaleTbls1"/>
      <sheetName val="ISales2"/>
      <sheetName val="ISaleAdj2"/>
      <sheetName val="ISalesAnalysis2"/>
      <sheetName val="ISaleTbls2"/>
      <sheetName val="ISales3"/>
      <sheetName val="ISaleAdj3"/>
      <sheetName val="ISalesAnalysis3"/>
      <sheetName val="ISaleTbls3"/>
      <sheetName val="ISales4"/>
      <sheetName val="ISaleAdj4"/>
      <sheetName val="ISalesAnalysis4"/>
      <sheetName val="ISaleTbls4"/>
      <sheetName val="ISales5"/>
      <sheetName val="ISaleAdj5"/>
      <sheetName val="ISalesAnalysis5"/>
      <sheetName val="ISaleTbls5"/>
      <sheetName val="ISales6"/>
      <sheetName val="ISaleAdj6"/>
      <sheetName val="ISalesAnalysis6"/>
      <sheetName val="ISaleTbls6"/>
      <sheetName val="ISales7"/>
      <sheetName val="ISaleAdj7"/>
      <sheetName val="ISalesAnalysis7"/>
      <sheetName val="ISaleTbls7"/>
      <sheetName val="ISales8"/>
      <sheetName val="ISaleAdj8"/>
      <sheetName val="ISalesAnalysis8"/>
      <sheetName val="ISaleTbls8"/>
      <sheetName val="ISales9"/>
      <sheetName val="ISaleAdj9"/>
      <sheetName val="ISalesAnalysis9"/>
      <sheetName val="ISaleTbls9"/>
      <sheetName val="ISales10"/>
      <sheetName val="ISaleAdj10"/>
      <sheetName val="ISalesAnalysis10"/>
      <sheetName val="ISaleTbls10"/>
      <sheetName val="RentRollApt"/>
      <sheetName val="UnitCompApt"/>
      <sheetName val="tblUnitCompApt"/>
      <sheetName val="CompRentsApt"/>
      <sheetName val="RentSurveyApt"/>
      <sheetName val="RentRoll"/>
      <sheetName val="RetailSales"/>
      <sheetName val="tblRentRoll"/>
      <sheetName val="LeaseAbstracts"/>
      <sheetName val="LeaseComps"/>
      <sheetName val="SpecialtyLeaseComps"/>
      <sheetName val="AltPropertyAdjGrid"/>
      <sheetName val="LeaseAdjGrids"/>
      <sheetName val="LeaseCompsSecondary"/>
      <sheetName val="LeaseAdjGridsSecondary"/>
      <sheetName val="AltPropertyAdjSecondary"/>
      <sheetName val="MktRentConcl"/>
      <sheetName val="STMarketRentConclusions"/>
      <sheetName val="RawOpData"/>
      <sheetName val="OpSummary"/>
      <sheetName val="SummaryExpenseTbl"/>
      <sheetName val="ExpCompData"/>
      <sheetName val="Recoveries"/>
      <sheetName val="ExpCompRawData"/>
      <sheetName val="CapRates"/>
      <sheetName val="ProForma"/>
      <sheetName val="OwnerUserExpProforma"/>
      <sheetName val="GoDark"/>
      <sheetName val="LeaseUpAdj"/>
      <sheetName val="DCF"/>
      <sheetName val="Survey Publications"/>
      <sheetName val="ValuationScenarios"/>
      <sheetName val="Scratch"/>
      <sheetName val="Addenda"/>
      <sheetName val="Certification"/>
      <sheetName val="ClientCompany"/>
      <sheetName val="ClientContact"/>
      <sheetName val="JobParticipants"/>
      <sheetName val="JobSubjectProperty"/>
      <sheetName val="JobSubjectPropertyLeases"/>
      <sheetName val="JobConditionalLanguage"/>
      <sheetName val="ComparableSales"/>
      <sheetName val="ComparableLeases"/>
      <sheetName val="JobParticipantAdditionalInfo"/>
      <sheetName val="JobSubjectPropertyUnitMix"/>
      <sheetName val="ComparableMFRentals"/>
      <sheetName val="ComparableMFRentalsUnits"/>
      <sheetName val="JobSubjectPropertyAmenities"/>
      <sheetName val="MVSCostData"/>
      <sheetName val="CompCommercialRentSurveys"/>
      <sheetName val="JobValuationScenarios"/>
      <sheetName val="Expansion1"/>
      <sheetName val="Expansion2"/>
      <sheetName val="Expansion3"/>
      <sheetName val="1024 Cherokee Street F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Set>
  </externalBook>
</externalLink>
</file>

<file path=xl/tables/table1.xml><?xml version="1.0" encoding="utf-8"?>
<table xmlns="http://schemas.openxmlformats.org/spreadsheetml/2006/main" id="1" name="AdamsCountyResourceTable" displayName="AdamsCountyResourceTable" ref="A1:G298" headerRowCount="1">
  <autoFilter ref="A1:G298"/>
  <tableColumns count="7">
    <tableColumn id="1" name="Municipality"/>
    <tableColumn id="2" name="Category"/>
    <tableColumn id="3" name="Resource Name"/>
    <tableColumn id="4" name="URL"/>
    <tableColumn id="5" name="Notes"/>
    <tableColumn id="6" name="Unnamed: 5"/>
    <tableColumn id="7" name="Unnamed: 6"/>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8.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1"/>
  <sheetViews>
    <sheetView tabSelected="1" zoomScale="120" zoomScaleNormal="120" workbookViewId="0">
      <selection activeCell="D10" sqref="D10"/>
    </sheetView>
  </sheetViews>
  <sheetFormatPr baseColWidth="8" defaultRowHeight="15"/>
  <cols>
    <col width="24.42578125" bestFit="1" customWidth="1" style="1449" min="1" max="1"/>
    <col width="35.7109375" bestFit="1" customWidth="1" style="1449" min="2" max="2"/>
    <col width="14" customWidth="1" style="1449" min="3" max="3"/>
    <col width="14" customWidth="1" style="1449" min="4" max="4"/>
    <col width="14" customWidth="1" style="1449" min="5" max="5"/>
    <col width="14" customWidth="1" style="1449" min="6" max="6"/>
    <col width="14" bestFit="1" customWidth="1" style="1449" min="7" max="7"/>
    <col width="14" customWidth="1" style="1449" min="8" max="8"/>
    <col width="14" customWidth="1" style="1449" min="9" max="9"/>
    <col width="14" customWidth="1" style="1449" min="10" max="10"/>
    <col width="14" customWidth="1" style="1449" min="11" max="11"/>
    <col width="14" customWidth="1" style="1449" min="12" max="12"/>
    <col width="14" customWidth="1" style="1449" min="13" max="13"/>
  </cols>
  <sheetData>
    <row r="1">
      <c r="A1" s="1750" t="inlineStr">
        <is>
          <t>Building Labels</t>
        </is>
      </c>
      <c r="B1" s="1751">
        <f>IF($B$4&gt;=2,"Building 1","")</f>
        <v/>
      </c>
      <c r="C1" s="1752">
        <f>IF($B$4=1,"Bldg 1",IF($B$4&gt;=2,"Bldg 2",""))</f>
        <v/>
      </c>
      <c r="D1" s="1752">
        <f>IF($B$4&gt;=3,"Bldg 3","")</f>
        <v/>
      </c>
      <c r="E1" s="1752">
        <f>IF($B$4&gt;=4,"Bldg 4","")</f>
        <v/>
      </c>
      <c r="F1" s="1752">
        <f>IF($B$4&gt;=5,"Bldg 5","")</f>
        <v/>
      </c>
      <c r="G1" s="1752">
        <f>IF($B$4&gt;=6,"Bldg 6","")</f>
        <v/>
      </c>
      <c r="H1" s="1752">
        <f>IF($B$4&gt;=7,"Bldg 7","")</f>
        <v/>
      </c>
      <c r="I1" s="1752">
        <f>IF($B$4&gt;=8,"Bldg 8","")</f>
        <v/>
      </c>
      <c r="J1" s="1752">
        <f>IF($B$4&gt;=9,"Bldg 9","")</f>
        <v/>
      </c>
      <c r="K1" s="1752">
        <f>IF($B$4&gt;=10,"Bldg 10","")</f>
        <v/>
      </c>
      <c r="L1" s="1752">
        <f>IF($B$4&gt;=11,"Bldg 11","")</f>
        <v/>
      </c>
      <c r="M1" s="1752">
        <f>IF($B$4&gt;=12,"Bldg 12","")</f>
        <v/>
      </c>
    </row>
    <row r="2" ht="15.75" customHeight="1" s="1449" thickBot="1">
      <c r="A2" t="inlineStr">
        <is>
          <t>Account</t>
        </is>
      </c>
      <c r="B2" s="1136" t="n"/>
      <c r="C2" s="1753" t="n"/>
      <c r="D2" s="1753" t="n"/>
      <c r="E2" s="1754" t="n"/>
      <c r="F2" s="1754" t="n"/>
      <c r="G2" s="1755" t="n"/>
      <c r="H2" s="1753" t="n"/>
      <c r="I2" s="1753" t="n"/>
      <c r="J2" s="1753" t="n"/>
      <c r="K2" s="1753" t="n"/>
      <c r="L2" s="1753" t="n"/>
      <c r="M2" s="1753" t="n"/>
    </row>
    <row r="3">
      <c r="A3" t="inlineStr">
        <is>
          <t>Occ. Code</t>
        </is>
      </c>
      <c r="B3" s="1137" t="n"/>
      <c r="C3" s="1753" t="n"/>
      <c r="D3" s="1753" t="n"/>
      <c r="E3" s="1754" t="n"/>
      <c r="F3" s="1754" t="n"/>
      <c r="G3" s="1755" t="n"/>
      <c r="H3" s="1753" t="n"/>
      <c r="I3" s="1753" t="n"/>
      <c r="J3" s="1753" t="n"/>
      <c r="K3" s="1753" t="n"/>
      <c r="L3" s="1753" t="n"/>
      <c r="M3" s="1753" t="n"/>
    </row>
    <row r="4">
      <c r="A4" t="inlineStr">
        <is>
          <t>Number of Buildings</t>
        </is>
      </c>
      <c r="B4" s="1137" t="n"/>
      <c r="C4" s="1753" t="n"/>
      <c r="D4" s="1753" t="n"/>
      <c r="E4" s="1754" t="n"/>
      <c r="F4" s="1754" t="n"/>
      <c r="G4" s="1754" t="n"/>
      <c r="H4" s="1753" t="n"/>
      <c r="I4" s="1753" t="n"/>
      <c r="J4" s="1753" t="n"/>
      <c r="K4" s="1753" t="n"/>
      <c r="L4" s="1753" t="n"/>
      <c r="M4" s="1753" t="n"/>
    </row>
    <row r="5">
      <c r="A5" t="inlineStr">
        <is>
          <t>GBA</t>
        </is>
      </c>
      <c r="B5" s="1138" t="n"/>
      <c r="C5" s="1753" t="n"/>
      <c r="D5" s="1753" t="n"/>
      <c r="E5" s="1754" t="n"/>
      <c r="F5" s="1754" t="n"/>
      <c r="G5" s="1754" t="n"/>
      <c r="H5" s="1753" t="n"/>
      <c r="I5" s="1753" t="n"/>
      <c r="J5" s="1753" t="n"/>
      <c r="K5" s="1753" t="n"/>
      <c r="L5" s="1753" t="n"/>
      <c r="M5" s="1753" t="n"/>
    </row>
    <row r="6">
      <c r="A6" t="inlineStr">
        <is>
          <t>Footprint</t>
        </is>
      </c>
      <c r="B6" s="1138" t="n"/>
      <c r="C6" s="1753" t="n"/>
      <c r="D6" s="1753" t="n"/>
      <c r="E6" s="1754" t="n"/>
      <c r="F6" s="1754" t="n"/>
      <c r="G6" s="1754" t="n"/>
      <c r="H6" s="1753" t="n"/>
      <c r="I6" s="1753" t="n"/>
      <c r="J6" s="1753" t="n"/>
      <c r="K6" s="1753" t="n"/>
      <c r="L6" s="1753" t="n"/>
      <c r="M6" s="1753" t="n"/>
    </row>
    <row r="7">
      <c r="A7" t="inlineStr">
        <is>
          <t>NRA</t>
        </is>
      </c>
      <c r="B7" s="1138" t="n"/>
      <c r="C7" s="1753" t="n"/>
      <c r="D7" s="1753" t="n"/>
      <c r="E7" s="1754" t="n"/>
      <c r="F7" s="1754" t="n"/>
      <c r="G7" s="1754" t="n"/>
      <c r="H7" s="1753" t="n"/>
      <c r="I7" s="1753" t="n"/>
      <c r="J7" s="1753" t="n"/>
      <c r="K7" s="1753" t="n"/>
      <c r="L7" s="1753" t="n"/>
      <c r="M7" s="1753" t="n"/>
    </row>
    <row r="8">
      <c r="A8" t="inlineStr">
        <is>
          <t>SF Basis</t>
        </is>
      </c>
      <c r="B8" s="1138" t="inlineStr">
        <is>
          <t>GBA</t>
        </is>
      </c>
      <c r="C8" s="1753" t="n"/>
      <c r="D8" s="1753" t="n"/>
      <c r="E8" s="1754" t="n"/>
      <c r="F8" s="1754" t="n"/>
      <c r="G8" s="1754" t="n"/>
      <c r="H8" s="1753" t="n"/>
      <c r="I8" s="1753" t="n"/>
      <c r="J8" s="1753" t="n"/>
      <c r="K8" s="1753" t="n"/>
      <c r="L8" s="1753" t="n"/>
      <c r="M8" s="1753" t="n"/>
    </row>
    <row r="9">
      <c r="A9" t="inlineStr">
        <is>
          <t>Year Built</t>
        </is>
      </c>
      <c r="B9" s="1136" t="n"/>
      <c r="C9" s="1753" t="n"/>
      <c r="D9" s="1753" t="n"/>
      <c r="E9" s="1754" t="n"/>
      <c r="F9" s="1754" t="n"/>
      <c r="G9" s="1754" t="n"/>
      <c r="H9" s="1753" t="n"/>
      <c r="I9" s="1753" t="n"/>
      <c r="J9" s="1753" t="n"/>
      <c r="K9" s="1753" t="n"/>
      <c r="L9" s="1753" t="n"/>
      <c r="M9" s="1753" t="n"/>
    </row>
    <row r="10">
      <c r="A10" t="inlineStr">
        <is>
          <t>Condition</t>
        </is>
      </c>
      <c r="B10" s="1136" t="n"/>
      <c r="C10" s="1753" t="n"/>
      <c r="D10" s="1753" t="n"/>
      <c r="E10" s="1754" t="n"/>
      <c r="F10" s="1754" t="n"/>
      <c r="G10" s="1754" t="n"/>
      <c r="H10" s="1753" t="n"/>
      <c r="I10" s="1753" t="n"/>
      <c r="J10" s="1753" t="n"/>
      <c r="K10" s="1753" t="n"/>
      <c r="L10" s="1753" t="n"/>
      <c r="M10" s="1753" t="n"/>
    </row>
    <row r="11">
      <c r="A11" t="inlineStr">
        <is>
          <t>Year/Condition</t>
        </is>
      </c>
      <c r="B11" s="1139" t="inlineStr">
        <is>
          <t>1999/Average</t>
        </is>
      </c>
      <c r="C11" s="1753" t="n"/>
      <c r="D11" s="1753" t="n"/>
      <c r="E11" s="1754" t="n"/>
      <c r="F11" s="1754" t="n"/>
      <c r="G11" s="1754" t="n"/>
      <c r="H11" s="1753" t="n"/>
      <c r="I11" s="1753" t="n"/>
      <c r="J11" s="1753" t="n"/>
      <c r="K11" s="1753" t="n"/>
      <c r="L11" s="1753" t="n"/>
      <c r="M11" s="1753" t="n"/>
    </row>
    <row r="12" ht="15.75" customHeight="1" s="1449" thickBot="1">
      <c r="A12" t="inlineStr">
        <is>
          <t>Site Size</t>
        </is>
      </c>
      <c r="B12" s="1138" t="n"/>
      <c r="C12" s="1753" t="n"/>
      <c r="D12" s="1753" t="n"/>
      <c r="E12" s="1754" t="n"/>
      <c r="F12" s="1754" t="n"/>
      <c r="G12" s="1754" t="n"/>
      <c r="H12" s="1753" t="n"/>
      <c r="I12" s="1753" t="n"/>
      <c r="J12" s="1753" t="n"/>
      <c r="K12" s="1753" t="n"/>
      <c r="L12" s="1753" t="n"/>
      <c r="M12" s="1753" t="n"/>
    </row>
    <row r="13">
      <c r="A13" t="inlineStr">
        <is>
          <t>Acres</t>
        </is>
      </c>
      <c r="B13" s="732">
        <f>B12/43560</f>
        <v/>
      </c>
      <c r="C13" s="1753" t="n"/>
      <c r="D13" s="1753" t="n"/>
      <c r="E13" s="1754" t="n"/>
      <c r="F13" s="1754" t="n"/>
      <c r="G13" s="1754" t="n"/>
      <c r="H13" s="1753" t="n"/>
      <c r="I13" s="1753" t="n"/>
      <c r="J13" s="1753" t="n"/>
      <c r="K13" s="1753" t="n"/>
      <c r="L13" s="1753" t="n"/>
      <c r="M13" s="1753" t="n"/>
    </row>
    <row r="14">
      <c r="A14" t="inlineStr">
        <is>
          <t>Coverage Ratio</t>
        </is>
      </c>
      <c r="B14" s="733">
        <f>B5/B12</f>
        <v/>
      </c>
      <c r="C14" s="1753" t="n"/>
      <c r="D14" s="1753" t="n"/>
      <c r="E14" s="1754" t="n"/>
      <c r="F14" s="1754" t="n"/>
      <c r="G14" s="1754" t="n"/>
      <c r="H14" s="1753" t="n"/>
      <c r="I14" s="1753" t="n"/>
      <c r="J14" s="1753" t="n"/>
      <c r="K14" s="1753" t="n"/>
      <c r="L14" s="1753" t="n"/>
      <c r="M14" s="1753" t="n"/>
    </row>
    <row r="15">
      <c r="A15" t="inlineStr">
        <is>
          <t>Office %</t>
        </is>
      </c>
      <c r="B15" s="1141" t="n"/>
      <c r="C15" s="1753" t="n"/>
      <c r="D15" s="1753" t="n"/>
      <c r="E15" s="1754" t="n"/>
      <c r="F15" s="1754" t="n"/>
      <c r="G15" s="1754" t="n"/>
      <c r="H15" s="1753" t="n"/>
      <c r="I15" s="1753" t="n"/>
      <c r="J15" s="1753" t="n"/>
      <c r="K15" s="1753" t="n"/>
      <c r="L15" s="1753" t="n"/>
      <c r="M15" s="1753" t="n"/>
    </row>
    <row r="16">
      <c r="A16" t="inlineStr">
        <is>
          <t>Type</t>
        </is>
      </c>
      <c r="B16" s="1136" t="n"/>
      <c r="C16" s="1753" t="n"/>
      <c r="D16" s="1753" t="n"/>
      <c r="E16" s="1754" t="n"/>
      <c r="F16" s="1754" t="n"/>
      <c r="G16" s="1754" t="n"/>
      <c r="H16" s="1753" t="n"/>
      <c r="I16" s="1753" t="n"/>
      <c r="J16" s="1753" t="n"/>
      <c r="K16" s="1753" t="n"/>
      <c r="L16" s="1753" t="n"/>
      <c r="M16" s="1753" t="n"/>
    </row>
    <row r="17">
      <c r="A17" t="inlineStr">
        <is>
          <t>Address</t>
        </is>
      </c>
      <c r="B17" s="1136" t="n"/>
      <c r="E17" s="1560" t="n"/>
      <c r="F17" s="1560" t="n"/>
      <c r="G17" s="1560" t="n"/>
    </row>
    <row r="18">
      <c r="A18" t="inlineStr">
        <is>
          <t>City</t>
        </is>
      </c>
      <c r="B18" s="1136" t="n"/>
      <c r="E18" s="1560" t="n"/>
      <c r="F18" s="1560" t="n"/>
      <c r="G18" s="1560" t="n"/>
    </row>
    <row r="19">
      <c r="A19" t="inlineStr">
        <is>
          <t>County</t>
        </is>
      </c>
      <c r="B19" s="465" t="inlineStr">
        <is>
          <t>Adams County</t>
        </is>
      </c>
      <c r="E19" s="1560" t="n"/>
      <c r="F19" s="1560" t="n"/>
      <c r="G19" s="1560" t="n"/>
    </row>
    <row r="20">
      <c r="A20" t="inlineStr">
        <is>
          <t>Assumed Occupancy</t>
        </is>
      </c>
      <c r="B20" s="1141" t="n"/>
      <c r="E20" s="1560" t="n"/>
      <c r="F20" s="1560" t="n"/>
      <c r="G20" s="1560" t="n"/>
    </row>
    <row r="21">
      <c r="A21" t="inlineStr">
        <is>
          <t>Assessor's Assigned Value</t>
        </is>
      </c>
      <c r="B21" s="1756" t="n"/>
      <c r="C21" s="1757" t="n"/>
      <c r="D21" s="1758" t="n"/>
      <c r="E21" s="1247" t="n"/>
      <c r="F21" s="1560" t="n"/>
      <c r="G21" s="1560" t="n"/>
    </row>
    <row r="22">
      <c r="A22" t="inlineStr">
        <is>
          <t>Petitioner's Value</t>
        </is>
      </c>
      <c r="B22" s="1756" t="n"/>
      <c r="C22" s="1757" t="n"/>
      <c r="E22" s="1560" t="n"/>
      <c r="F22" s="1560" t="n"/>
      <c r="G22" s="1560" t="n"/>
    </row>
    <row r="23">
      <c r="A23" t="inlineStr">
        <is>
          <t>Recent Sale Date</t>
        </is>
      </c>
      <c r="B23" s="1143" t="n"/>
      <c r="E23" s="1560" t="n"/>
      <c r="F23" s="1560" t="n"/>
      <c r="G23" s="1560" t="n"/>
    </row>
    <row r="24">
      <c r="A24" t="inlineStr">
        <is>
          <t>Recent Sale Price</t>
        </is>
      </c>
      <c r="B24" s="1756" t="n"/>
      <c r="C24" s="1757" t="n"/>
      <c r="E24" s="1560" t="n"/>
      <c r="F24" s="1560" t="n"/>
      <c r="G24" s="1560" t="n"/>
    </row>
    <row r="25">
      <c r="A25" t="inlineStr">
        <is>
          <t>Sale Type</t>
        </is>
      </c>
      <c r="B25" s="1136" t="n"/>
      <c r="E25" s="1560" t="n"/>
      <c r="F25" s="1560" t="n"/>
      <c r="G25" s="1560" t="n"/>
    </row>
    <row r="26">
      <c r="A26" t="inlineStr">
        <is>
          <t>Value Premise</t>
        </is>
      </c>
      <c r="B26" s="1759" t="inlineStr">
        <is>
          <t>Fee Simple</t>
        </is>
      </c>
      <c r="E26" s="1560" t="n"/>
      <c r="F26" s="1560" t="n"/>
      <c r="G26" s="1560" t="n"/>
    </row>
    <row r="27">
      <c r="A27" t="inlineStr">
        <is>
          <t>Date of Value</t>
        </is>
      </c>
      <c r="B27" s="1143" t="n"/>
    </row>
    <row r="28">
      <c r="A28" t="inlineStr">
        <is>
          <t>Report Date</t>
        </is>
      </c>
      <c r="B28" s="1143" t="n"/>
    </row>
    <row r="29">
      <c r="A29" t="inlineStr">
        <is>
          <t>Hearing Date</t>
        </is>
      </c>
      <c r="B29" s="1144" t="n"/>
    </row>
    <row r="30">
      <c r="A30" t="inlineStr">
        <is>
          <t>Zoning</t>
        </is>
      </c>
      <c r="B30" s="1140" t="n"/>
    </row>
    <row r="31">
      <c r="A31" t="inlineStr">
        <is>
          <t>Zoning Authority</t>
        </is>
      </c>
      <c r="B31" s="1140" t="inlineStr">
        <is>
          <t>Adams County</t>
        </is>
      </c>
    </row>
  </sheetData>
  <conditionalFormatting sqref="C1:C16">
    <cfRule type="expression" priority="1" dxfId="10">
      <formula>LEN($C$1)=0</formula>
    </cfRule>
  </conditionalFormatting>
  <conditionalFormatting sqref="D1:D16">
    <cfRule type="expression" priority="2" dxfId="10">
      <formula>LEN($D$1)=0</formula>
    </cfRule>
  </conditionalFormatting>
  <conditionalFormatting sqref="E1:E16">
    <cfRule type="expression" priority="3" dxfId="10">
      <formula>LEN($E$1)=0</formula>
    </cfRule>
  </conditionalFormatting>
  <conditionalFormatting sqref="F1:F16">
    <cfRule type="expression" priority="4" dxfId="10">
      <formula>LEN($F$1)=0</formula>
    </cfRule>
  </conditionalFormatting>
  <conditionalFormatting sqref="G1:G16">
    <cfRule type="expression" priority="5" dxfId="10">
      <formula>LEN($G$1)=0</formula>
    </cfRule>
  </conditionalFormatting>
  <conditionalFormatting sqref="H1:H16">
    <cfRule type="expression" priority="6" dxfId="10">
      <formula>LEN($H$1)=0</formula>
    </cfRule>
  </conditionalFormatting>
  <conditionalFormatting sqref="I1:I16">
    <cfRule type="expression" priority="7" dxfId="10">
      <formula>LEN($I$1)=0</formula>
    </cfRule>
  </conditionalFormatting>
  <conditionalFormatting sqref="J1:J16">
    <cfRule type="expression" priority="8" dxfId="10">
      <formula>LEN($J$1)=0</formula>
    </cfRule>
  </conditionalFormatting>
  <conditionalFormatting sqref="K1:K16">
    <cfRule type="expression" priority="9" dxfId="10">
      <formula>LEN($K$1)=0</formula>
    </cfRule>
  </conditionalFormatting>
  <conditionalFormatting sqref="L1:L16">
    <cfRule type="expression" priority="10" dxfId="10">
      <formula>LEN($L$1)=0</formula>
    </cfRule>
  </conditionalFormatting>
  <conditionalFormatting sqref="M1:M16">
    <cfRule type="expression" priority="11" dxfId="10">
      <formula>LEN($M$1)=0</formula>
    </cfRule>
  </conditionalFormatting>
  <dataValidations count="1">
    <dataValidation sqref="B7" showDropDown="0" showInputMessage="1" showErrorMessage="1" allowBlank="1" type="list">
      <formula1>$E$7:$E$9</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164"/>
  <sheetViews>
    <sheetView zoomScale="70" zoomScaleNormal="70" workbookViewId="0">
      <selection activeCell="M13" sqref="M13"/>
    </sheetView>
  </sheetViews>
  <sheetFormatPr baseColWidth="8" defaultRowHeight="15"/>
  <cols>
    <col width="9.140625" customWidth="1" style="1454" min="1" max="1"/>
    <col width="33.85546875" bestFit="1" customWidth="1" style="1449" min="2" max="2"/>
    <col width="51" customWidth="1" style="1449" min="3" max="3"/>
    <col width="33.42578125" customWidth="1" style="1449" min="4" max="4"/>
    <col width="13" bestFit="1" customWidth="1" style="1449" min="5" max="5"/>
    <col width="12.140625" customWidth="1" style="1449" min="6" max="6"/>
    <col width="33.7109375" customWidth="1" style="1449" min="7" max="7"/>
    <col width="11.140625" customWidth="1" style="1449" min="8" max="12"/>
    <col width="43.85546875" bestFit="1" customWidth="1" style="1449" min="13" max="13"/>
    <col width="14.28515625" customWidth="1" style="1449" min="14" max="16"/>
    <col width="27.7109375" customWidth="1" style="1449" min="17" max="17"/>
    <col width="38.28515625" customWidth="1" style="1449" min="18" max="18"/>
    <col width="57.5703125" customWidth="1" style="1449" min="19" max="19"/>
    <col width="27.140625" customWidth="1" style="1449" min="20" max="20"/>
    <col width="29.28515625" customWidth="1" style="1449" min="21" max="21"/>
    <col width="12" bestFit="1" customWidth="1" style="1449" min="22" max="22"/>
    <col width="10.28515625" customWidth="1" style="1449" min="23" max="23"/>
    <col width="6.28515625" customWidth="1" style="1449" min="24" max="24"/>
    <col width="26.85546875" bestFit="1" customWidth="1" style="1449" min="25" max="25"/>
    <col width="16.42578125" customWidth="1" style="1449" min="26" max="28"/>
    <col width="30.28515625" customWidth="1" style="1449" min="29" max="29"/>
    <col width="15" customWidth="1" style="1449" min="30" max="32"/>
    <col width="25.28515625" bestFit="1" customWidth="1" style="1449" min="33" max="33"/>
    <col width="6.7109375" bestFit="1" customWidth="1" style="1449" min="34" max="34"/>
    <col width="21.140625" customWidth="1" style="1449" min="35" max="36"/>
  </cols>
  <sheetData>
    <row r="1" customFormat="1" s="1454">
      <c r="A1" s="1454" t="inlineStr">
        <is>
          <t>Note:</t>
        </is>
      </c>
      <c r="B1" s="1454" t="inlineStr">
        <is>
          <t>FILL ONLY HIGHLIGHTED CELLS</t>
        </is>
      </c>
    </row>
    <row r="2" customFormat="1" s="1454"/>
    <row r="3">
      <c r="B3" s="1474" t="inlineStr">
        <is>
          <t>EXECUTIVE SUMMARY</t>
        </is>
      </c>
      <c r="D3" s="1454" t="n"/>
      <c r="E3" s="1454" t="n"/>
      <c r="F3" s="1454" t="n"/>
      <c r="G3" s="1454" t="n"/>
      <c r="H3" s="1454" t="n"/>
      <c r="I3" s="1454" t="n"/>
      <c r="J3" s="1454" t="n"/>
      <c r="K3" s="1454" t="n"/>
      <c r="L3" s="1454" t="n"/>
      <c r="M3" s="1454" t="n"/>
      <c r="N3" s="1454" t="n"/>
      <c r="O3" s="1454" t="n"/>
      <c r="P3" s="1454" t="n"/>
      <c r="Q3" s="1454" t="n"/>
      <c r="R3" s="1454" t="n"/>
      <c r="S3" s="1454" t="n"/>
      <c r="T3" s="1454" t="n"/>
    </row>
    <row r="4">
      <c r="B4" s="1152" t="inlineStr">
        <is>
          <t>Account Number</t>
        </is>
      </c>
      <c r="C4" s="1153">
        <f>'Property Info'!B2</f>
        <v/>
      </c>
      <c r="D4" s="1454" t="n"/>
      <c r="E4" s="1454" t="n"/>
      <c r="F4" s="1454" t="n"/>
      <c r="G4" s="1454" t="n"/>
      <c r="H4" s="1454" t="n"/>
      <c r="I4" s="1454" t="n"/>
      <c r="J4" s="1454" t="n"/>
      <c r="K4" s="1454" t="n"/>
      <c r="L4" s="1454" t="n"/>
      <c r="M4" s="1454" t="n"/>
      <c r="N4" s="1454" t="n"/>
      <c r="O4" s="1454" t="n"/>
      <c r="P4" s="1454" t="n"/>
      <c r="Q4" s="1454" t="n"/>
      <c r="R4" s="1454" t="n"/>
      <c r="S4" s="1454" t="n"/>
      <c r="T4" s="1454" t="n"/>
    </row>
    <row r="5">
      <c r="B5" s="1152" t="inlineStr">
        <is>
          <t>Address</t>
        </is>
      </c>
      <c r="C5" s="1153">
        <f>'Property Info'!B17</f>
        <v/>
      </c>
      <c r="D5" s="1454" t="n"/>
      <c r="E5" s="1454" t="n"/>
      <c r="F5" s="1454" t="n"/>
      <c r="G5" s="1454" t="n"/>
      <c r="H5" s="1454" t="n"/>
      <c r="I5" s="1454" t="n"/>
      <c r="J5" s="1454" t="n"/>
      <c r="K5" s="1454" t="n"/>
      <c r="L5" s="1454" t="n"/>
      <c r="M5" s="1454" t="n"/>
      <c r="N5" s="1454" t="n"/>
      <c r="O5" s="1454" t="n"/>
      <c r="P5" s="1454" t="n"/>
      <c r="Q5" s="1454" t="n"/>
      <c r="R5" s="1454" t="n"/>
      <c r="S5" s="1454" t="n"/>
      <c r="T5" s="1454" t="n"/>
    </row>
    <row r="6">
      <c r="B6" s="1152" t="inlineStr">
        <is>
          <t>County</t>
        </is>
      </c>
      <c r="C6" s="1153">
        <f>'Property Info'!B19</f>
        <v/>
      </c>
      <c r="D6" s="1454" t="n"/>
      <c r="E6" s="1454" t="n"/>
      <c r="F6" s="1454" t="n"/>
      <c r="G6" s="1454" t="n"/>
      <c r="H6" s="1454" t="n"/>
      <c r="I6" s="1454" t="n"/>
      <c r="J6" s="1454" t="n"/>
      <c r="K6" s="1454" t="n"/>
      <c r="L6" s="1454" t="n"/>
      <c r="M6" s="1454" t="n"/>
      <c r="N6" s="1454" t="n"/>
      <c r="O6" s="1454" t="n"/>
      <c r="P6" s="1454" t="n"/>
      <c r="Q6" s="1454" t="n"/>
      <c r="R6" s="1454" t="n"/>
      <c r="S6" s="1454" t="n"/>
      <c r="T6" s="1454" t="n"/>
    </row>
    <row r="7">
      <c r="B7" s="1152" t="inlineStr">
        <is>
          <t>City, State</t>
        </is>
      </c>
      <c r="C7" s="1153">
        <f>'Property Info'!B18</f>
        <v/>
      </c>
      <c r="D7" s="1454" t="n"/>
      <c r="E7" s="1454" t="n"/>
      <c r="F7" s="1454" t="n"/>
      <c r="G7" s="1454" t="n"/>
      <c r="H7" s="1454" t="n"/>
      <c r="I7" s="1454" t="n"/>
      <c r="J7" s="1454" t="n"/>
      <c r="K7" s="1454" t="n"/>
      <c r="L7" s="1454" t="n"/>
      <c r="M7" s="1454" t="n"/>
      <c r="N7" s="1454" t="n"/>
      <c r="O7" s="1454" t="n"/>
      <c r="P7" s="1454" t="n"/>
      <c r="Q7" s="1454" t="n"/>
      <c r="R7" s="1454" t="n"/>
      <c r="S7" s="1454" t="n"/>
      <c r="T7" s="1454" t="n"/>
    </row>
    <row r="8">
      <c r="B8" s="1152" t="inlineStr">
        <is>
          <t>Effective Date</t>
        </is>
      </c>
      <c r="C8" s="1760">
        <f>'Property Info'!B27</f>
        <v/>
      </c>
      <c r="D8" s="1454" t="n"/>
      <c r="E8" s="1454" t="n"/>
      <c r="F8" s="1454" t="n"/>
      <c r="G8" s="1454" t="n"/>
      <c r="H8" s="1454" t="n"/>
      <c r="I8" s="1454" t="n"/>
      <c r="J8" s="1454" t="n"/>
      <c r="K8" s="1454" t="n"/>
      <c r="L8" s="1454" t="n"/>
      <c r="M8" s="1454" t="n"/>
      <c r="N8" s="1454" t="n"/>
      <c r="O8" s="1454" t="n"/>
      <c r="P8" s="1454" t="n"/>
      <c r="Q8" s="1454" t="n"/>
      <c r="R8" s="1454" t="n"/>
      <c r="S8" s="1454" t="n"/>
      <c r="T8" s="1454" t="n"/>
    </row>
    <row r="9">
      <c r="B9" s="1152" t="inlineStr">
        <is>
          <t>Appraisal Date</t>
        </is>
      </c>
      <c r="C9" s="1760">
        <f>'Property Info'!B28</f>
        <v/>
      </c>
      <c r="D9" s="1454" t="n"/>
      <c r="E9" s="1454" t="n"/>
      <c r="F9" s="1454" t="n"/>
      <c r="G9" s="1454" t="n"/>
      <c r="H9" s="1454" t="n"/>
      <c r="I9" s="1454" t="n"/>
      <c r="J9" s="1454" t="n"/>
      <c r="K9" s="1454" t="n"/>
      <c r="L9" s="1454" t="n"/>
      <c r="M9" s="1454" t="n"/>
      <c r="N9" s="1454" t="n"/>
      <c r="O9" s="1454" t="n"/>
      <c r="P9" s="1454" t="n"/>
      <c r="Q9" s="1454" t="n"/>
      <c r="R9" s="1454" t="n"/>
      <c r="S9" s="1454" t="n"/>
      <c r="T9" s="1454" t="n"/>
    </row>
    <row r="10">
      <c r="B10" s="1152" t="inlineStr">
        <is>
          <t>Hearing Date</t>
        </is>
      </c>
      <c r="C10" s="1760">
        <f>'Property Info'!B29</f>
        <v/>
      </c>
      <c r="D10" s="1454" t="n"/>
      <c r="E10" s="1454" t="n"/>
      <c r="F10" s="1454" t="n"/>
      <c r="G10" s="1454" t="n"/>
      <c r="H10" s="1454" t="n"/>
      <c r="I10" s="1454" t="n"/>
      <c r="J10" s="1454" t="n"/>
      <c r="K10" s="1454" t="n"/>
      <c r="L10" s="1454" t="n"/>
      <c r="M10" s="1454" t="n"/>
      <c r="N10" s="1454" t="n"/>
      <c r="O10" s="1454" t="n"/>
      <c r="P10" s="1454" t="n"/>
      <c r="Q10" s="1454" t="n"/>
      <c r="R10" s="1454" t="n"/>
      <c r="S10" s="1454" t="n"/>
      <c r="T10" s="1454" t="n"/>
    </row>
    <row r="11" ht="2.25" customHeight="1" s="1449">
      <c r="B11" s="1155" t="n"/>
      <c r="C11" s="1156" t="n"/>
      <c r="D11" s="1454" t="n"/>
      <c r="E11" s="1454" t="n"/>
      <c r="F11" s="1454" t="n"/>
      <c r="G11" s="1454" t="n"/>
      <c r="H11" s="1454" t="n"/>
      <c r="I11" s="1454" t="n"/>
      <c r="J11" s="1454" t="n"/>
      <c r="K11" s="1454" t="n"/>
      <c r="L11" s="1454" t="n"/>
      <c r="M11" s="1454" t="n"/>
      <c r="N11" s="1454" t="n"/>
      <c r="O11" s="1454" t="n"/>
      <c r="P11" s="1454" t="n"/>
      <c r="Q11" s="1454" t="n"/>
      <c r="R11" s="1454" t="n"/>
      <c r="S11" s="1454" t="n"/>
      <c r="T11" s="1454" t="n"/>
    </row>
    <row r="12">
      <c r="B12" s="1152" t="inlineStr">
        <is>
          <t>Property Type</t>
        </is>
      </c>
      <c r="C12" s="1153">
        <f>'Property Info'!B16</f>
        <v/>
      </c>
      <c r="D12" s="1454" t="n"/>
      <c r="E12" s="1454" t="n"/>
      <c r="F12" s="1454" t="n"/>
      <c r="G12" s="1454" t="n"/>
      <c r="H12" s="1454" t="n"/>
      <c r="I12" s="1454" t="n"/>
      <c r="J12" s="1454" t="n"/>
      <c r="K12" s="1454" t="n"/>
      <c r="L12" s="1454" t="n"/>
      <c r="M12" s="1454" t="n"/>
      <c r="N12" s="1454" t="n"/>
      <c r="O12" s="1454" t="n"/>
      <c r="P12" s="1454" t="n"/>
      <c r="Q12" s="1454" t="n"/>
      <c r="R12" s="1454" t="n"/>
      <c r="S12" s="1454" t="n"/>
      <c r="T12" s="1454" t="n"/>
    </row>
    <row r="13">
      <c r="B13" s="1152" t="inlineStr">
        <is>
          <t>Property Size</t>
        </is>
      </c>
      <c r="C13" s="1157" t="n"/>
      <c r="D13" s="1454" t="n"/>
      <c r="E13" s="1454" t="n"/>
      <c r="F13" s="1454" t="n"/>
      <c r="G13" s="1454" t="n"/>
      <c r="H13" s="1454" t="n"/>
      <c r="I13" s="1454" t="n"/>
      <c r="J13" s="1454" t="n"/>
      <c r="K13" s="1454" t="n"/>
      <c r="L13" s="1454" t="n"/>
      <c r="M13" s="1454" t="n"/>
      <c r="N13" s="1454" t="n"/>
      <c r="O13" s="1454" t="n"/>
      <c r="P13" s="1454" t="n"/>
      <c r="Q13" s="1454" t="n"/>
      <c r="R13" s="1454" t="n"/>
      <c r="S13" s="1454" t="n"/>
      <c r="T13" s="1454" t="n"/>
    </row>
    <row r="14">
      <c r="B14" s="1233">
        <f>'Property Info'!B8</f>
        <v/>
      </c>
      <c r="C14" s="1157">
        <f>IF(B14="GBA", 'Property Info'!B5,IF(B14="NRA",'Property Info'!B7,'Property Info'!B5))</f>
        <v/>
      </c>
      <c r="D14" s="1454" t="n"/>
      <c r="E14" s="1454" t="n"/>
      <c r="F14" s="1454" t="n"/>
      <c r="G14" s="1454" t="n"/>
      <c r="H14" s="1454" t="n"/>
      <c r="I14" s="1454" t="n"/>
      <c r="J14" s="1454" t="n"/>
      <c r="K14" s="1454" t="n"/>
      <c r="L14" s="1454" t="n"/>
      <c r="M14" s="1454" t="n"/>
      <c r="N14" s="1454" t="n"/>
      <c r="O14" s="1454" t="n"/>
      <c r="P14" s="1454" t="n"/>
      <c r="Q14" s="1454" t="n"/>
      <c r="R14" s="1454" t="n"/>
      <c r="S14" s="1454" t="n"/>
      <c r="T14" s="1454" t="n"/>
    </row>
    <row r="15">
      <c r="B15" s="1152" t="inlineStr">
        <is>
          <t>Number of Buildings</t>
        </is>
      </c>
      <c r="C15" s="1158">
        <f>'Property Info'!B4</f>
        <v/>
      </c>
      <c r="D15" s="1454" t="n"/>
      <c r="E15" s="1454" t="n"/>
      <c r="F15" s="1454" t="n"/>
      <c r="G15" s="1454" t="n"/>
      <c r="H15" s="1454" t="n"/>
      <c r="I15" s="1454" t="n"/>
      <c r="J15" s="1454" t="n"/>
      <c r="K15" s="1454" t="n"/>
      <c r="L15" s="1454" t="n"/>
      <c r="M15" s="1454" t="n"/>
      <c r="N15" s="1454" t="n"/>
      <c r="O15" s="1454" t="n"/>
      <c r="P15" s="1454" t="n"/>
      <c r="Q15" s="1454" t="n"/>
      <c r="R15" s="1454" t="n"/>
      <c r="S15" s="1454" t="n"/>
      <c r="T15" s="1454" t="n"/>
    </row>
    <row r="16">
      <c r="B16" s="1152" t="inlineStr">
        <is>
          <t>Year Built/Condition</t>
        </is>
      </c>
      <c r="C16" s="1153">
        <f>'Property Info'!B11</f>
        <v/>
      </c>
      <c r="D16" s="1454" t="n"/>
      <c r="E16" s="1454" t="n"/>
      <c r="F16" s="1454" t="n"/>
      <c r="G16" s="1454" t="n"/>
      <c r="H16" s="1454" t="n"/>
      <c r="I16" s="1454" t="n"/>
      <c r="J16" s="1454" t="n"/>
      <c r="K16" s="1454" t="n"/>
      <c r="L16" s="1454" t="n"/>
      <c r="M16" s="1454" t="n"/>
      <c r="N16" s="1454" t="n"/>
      <c r="O16" s="1454" t="n"/>
      <c r="P16" s="1454" t="n"/>
      <c r="Q16" s="1454" t="n"/>
      <c r="R16" s="1454" t="n"/>
      <c r="S16" s="1454" t="n"/>
      <c r="T16" s="1454" t="n"/>
    </row>
    <row r="17" hidden="1" s="1449">
      <c r="B17" s="1152" t="inlineStr">
        <is>
          <t>Condition</t>
        </is>
      </c>
      <c r="C17" s="1159">
        <f>'Property Info'!B10</f>
        <v/>
      </c>
      <c r="D17" s="1454" t="n"/>
      <c r="E17" s="1454" t="n"/>
      <c r="F17" s="1454" t="n"/>
      <c r="G17" s="1454" t="n"/>
      <c r="H17" s="1454" t="n"/>
      <c r="I17" s="1454" t="n"/>
      <c r="J17" s="1454" t="n"/>
      <c r="K17" s="1454" t="n"/>
      <c r="L17" s="1454" t="n"/>
      <c r="M17" s="1454" t="n"/>
      <c r="N17" s="1454" t="n"/>
      <c r="O17" s="1454" t="n"/>
      <c r="P17" s="1454" t="n"/>
      <c r="Q17" s="1454" t="n"/>
      <c r="R17" s="1454" t="n"/>
      <c r="S17" s="1454" t="n"/>
      <c r="T17" s="1454" t="n"/>
    </row>
    <row r="18">
      <c r="B18" s="1152" t="inlineStr">
        <is>
          <t>Site Size (SF)</t>
        </is>
      </c>
      <c r="C18" s="1157">
        <f>'Property Info'!B12</f>
        <v/>
      </c>
      <c r="D18" s="1454" t="n"/>
      <c r="E18" s="1454" t="n"/>
      <c r="F18" s="1454" t="n"/>
      <c r="G18" s="1454" t="n"/>
      <c r="H18" s="1454" t="n"/>
      <c r="I18" s="1454" t="n"/>
      <c r="J18" s="1454" t="n"/>
      <c r="K18" s="1454" t="n"/>
      <c r="L18" s="1454" t="n"/>
      <c r="M18" s="1454" t="n"/>
      <c r="N18" s="1454" t="n"/>
      <c r="O18" s="1454" t="n"/>
      <c r="P18" s="1454" t="n"/>
      <c r="Q18" s="1454" t="n"/>
      <c r="R18" s="1454" t="n"/>
      <c r="S18" s="1454" t="n"/>
      <c r="T18" s="1454" t="n"/>
    </row>
    <row r="19">
      <c r="B19" s="1152" t="inlineStr">
        <is>
          <t>Property Rights Appraised</t>
        </is>
      </c>
      <c r="C19" s="1153">
        <f>'Property Info'!B26</f>
        <v/>
      </c>
      <c r="D19" s="1454" t="n"/>
      <c r="E19" s="1454" t="n"/>
      <c r="F19" s="1454" t="n"/>
      <c r="G19" s="1454" t="n"/>
      <c r="H19" s="1454" t="n"/>
      <c r="I19" s="1454" t="n"/>
      <c r="J19" s="1454" t="n"/>
      <c r="K19" s="1454" t="n"/>
      <c r="L19" s="1454" t="n"/>
      <c r="M19" s="1454" t="n"/>
      <c r="N19" s="1454" t="n"/>
      <c r="O19" s="1454" t="n"/>
      <c r="P19" s="1454" t="n"/>
      <c r="Q19" s="1454" t="n"/>
      <c r="R19" s="1454" t="n"/>
      <c r="S19" s="1454" t="n"/>
      <c r="T19" s="1454" t="n"/>
    </row>
    <row r="20">
      <c r="B20" s="1152" t="inlineStr">
        <is>
          <t>Assumed Occupancy</t>
        </is>
      </c>
      <c r="C20" s="1160">
        <f>'Property Info'!B20</f>
        <v/>
      </c>
      <c r="D20" s="1454" t="n"/>
      <c r="E20" s="1454" t="n"/>
      <c r="F20" s="1454" t="n"/>
      <c r="G20" s="1454" t="n"/>
      <c r="H20" s="1454" t="n"/>
      <c r="I20" s="1454" t="n"/>
      <c r="J20" s="1454" t="n"/>
      <c r="K20" s="1454" t="n"/>
      <c r="L20" s="1454" t="n"/>
      <c r="M20" s="1454" t="n"/>
      <c r="N20" s="1454" t="n"/>
      <c r="O20" s="1454" t="n"/>
      <c r="P20" s="1454" t="n"/>
      <c r="Q20" s="1454" t="n"/>
      <c r="R20" s="1454" t="n"/>
      <c r="S20" s="1454" t="n"/>
      <c r="T20" s="1454" t="n"/>
    </row>
    <row r="21">
      <c r="B21" s="1161" t="inlineStr">
        <is>
          <t>Stabilized Occupancy</t>
        </is>
      </c>
      <c r="C21" s="1162">
        <f>'Income Approach'!D22</f>
        <v/>
      </c>
      <c r="D21" s="1454" t="n"/>
      <c r="E21" s="1454" t="n"/>
      <c r="F21" s="1454" t="n"/>
      <c r="G21" s="1454" t="n"/>
      <c r="H21" s="1454" t="n"/>
      <c r="I21" s="1454" t="n"/>
      <c r="J21" s="1454" t="n"/>
      <c r="K21" s="1454" t="n"/>
      <c r="L21" s="1454" t="n"/>
      <c r="M21" s="1454" t="n"/>
      <c r="N21" s="1454" t="n"/>
      <c r="O21" s="1454" t="n"/>
      <c r="P21" s="1454" t="n"/>
      <c r="Q21" s="1454" t="n"/>
      <c r="R21" s="1454" t="n"/>
      <c r="S21" s="1454" t="n"/>
      <c r="T21" s="1454" t="n"/>
    </row>
    <row r="22">
      <c r="B22" s="1152" t="n"/>
      <c r="C22" s="1160" t="n"/>
      <c r="D22" s="1454" t="n"/>
      <c r="E22" s="1454" t="n"/>
      <c r="F22" s="1454" t="n"/>
      <c r="G22" s="1454" t="n"/>
      <c r="H22" s="1454" t="n"/>
      <c r="I22" s="1454" t="n"/>
      <c r="J22" s="1454" t="n"/>
      <c r="K22" s="1454" t="n"/>
      <c r="L22" s="1454" t="n"/>
      <c r="M22" s="1454" t="n"/>
      <c r="N22" s="1454" t="n"/>
      <c r="O22" s="1454" t="n"/>
      <c r="P22" s="1454" t="n"/>
      <c r="Q22" s="1454" t="n"/>
      <c r="R22" s="1454" t="n"/>
      <c r="S22" s="1454" t="n"/>
      <c r="T22" s="1454" t="n"/>
    </row>
    <row r="23">
      <c r="B23" s="1454" t="n"/>
      <c r="C23" s="1454" t="n"/>
      <c r="D23" s="1481" t="inlineStr">
        <is>
          <t xml:space="preserve">PETITION SCENARIO </t>
        </is>
      </c>
      <c r="E23" s="1477" t="n"/>
      <c r="F23" s="1477" t="n"/>
      <c r="G23" s="1454" t="n"/>
      <c r="H23" s="1454" t="n"/>
      <c r="I23" s="1454" t="n"/>
      <c r="J23" s="1454" t="n"/>
      <c r="K23" s="1454" t="n"/>
      <c r="L23" s="1454" t="n"/>
      <c r="M23" s="1454" t="n"/>
      <c r="N23" s="1454" t="n"/>
      <c r="O23" s="1454" t="n"/>
      <c r="P23" s="1454" t="n"/>
      <c r="Q23" s="1454" t="n"/>
      <c r="R23" s="1454" t="n"/>
      <c r="S23" s="1454" t="n"/>
      <c r="T23" s="1454" t="n"/>
    </row>
    <row r="24">
      <c r="B24" s="1454" t="n"/>
      <c r="C24" s="1454" t="n"/>
      <c r="D24" s="1554" t="n"/>
      <c r="E24" s="1554" t="inlineStr">
        <is>
          <t>$</t>
        </is>
      </c>
      <c r="F24" s="1554" t="inlineStr">
        <is>
          <t>$/SF</t>
        </is>
      </c>
      <c r="G24" s="1454" t="n"/>
      <c r="H24" s="1454" t="n"/>
      <c r="I24" s="1454" t="n"/>
      <c r="J24" s="1454" t="n"/>
      <c r="K24" s="1454" t="n"/>
      <c r="L24" s="1454" t="n"/>
      <c r="M24" s="1454" t="n"/>
      <c r="N24" s="1454" t="n"/>
      <c r="O24" s="1454" t="n"/>
      <c r="P24" s="1454" t="n"/>
      <c r="Q24" s="1454" t="n"/>
      <c r="R24" s="1454" t="n"/>
      <c r="S24" s="1454" t="n"/>
      <c r="T24" s="1454" t="n"/>
    </row>
    <row r="25">
      <c r="B25" s="1454" t="n"/>
      <c r="C25" s="1454" t="n"/>
      <c r="D25" s="1164" t="inlineStr">
        <is>
          <t>Assessor's Assigned Value</t>
        </is>
      </c>
      <c r="E25" s="1761">
        <f>'Basic Sales Grid'!D51</f>
        <v/>
      </c>
      <c r="F25" s="1762">
        <f>E25/C14</f>
        <v/>
      </c>
      <c r="G25" s="1454" t="n"/>
      <c r="H25" s="1454" t="n"/>
      <c r="I25" s="1454" t="n"/>
      <c r="J25" s="1454" t="n"/>
      <c r="K25" s="1454" t="n"/>
      <c r="L25" s="1454" t="n"/>
      <c r="M25" s="1454" t="n"/>
      <c r="N25" s="1454" t="n"/>
      <c r="O25" s="1454" t="n"/>
      <c r="P25" s="1454" t="n"/>
      <c r="Q25" s="1454" t="n"/>
      <c r="R25" s="1454" t="n"/>
      <c r="S25" s="1454" t="n"/>
      <c r="T25" s="1454" t="n"/>
    </row>
    <row r="26">
      <c r="B26" s="1454" t="n"/>
      <c r="C26" s="1454" t="n"/>
      <c r="D26" s="1167" t="inlineStr">
        <is>
          <t>Petitioner’s Requested Value</t>
        </is>
      </c>
      <c r="E26" s="1763">
        <f>'Basic Sales Grid'!D52</f>
        <v/>
      </c>
      <c r="F26" s="1764">
        <f>E26/C14</f>
        <v/>
      </c>
      <c r="G26" s="1454" t="n"/>
      <c r="H26" s="1454" t="n"/>
      <c r="I26" s="1454" t="n"/>
      <c r="J26" s="1454" t="n"/>
      <c r="K26" s="1454" t="n"/>
      <c r="L26" s="1454" t="n"/>
      <c r="M26" s="1454" t="n"/>
      <c r="N26" s="1454" t="n"/>
      <c r="O26" s="1454" t="n"/>
      <c r="P26" s="1454" t="n"/>
      <c r="Q26" s="1454" t="n"/>
      <c r="R26" s="1454" t="n"/>
      <c r="S26" s="1454" t="n"/>
      <c r="T26" s="1454" t="n"/>
    </row>
    <row r="27">
      <c r="B27" s="1454" t="n"/>
      <c r="C27" s="1454" t="n"/>
      <c r="D27" s="1454" t="n"/>
      <c r="E27" s="1454" t="n"/>
      <c r="F27" s="1454" t="n"/>
      <c r="G27" s="1454" t="n"/>
      <c r="H27" s="1454" t="n"/>
      <c r="I27" s="1454" t="n"/>
      <c r="J27" s="1454" t="n"/>
      <c r="K27" s="1454" t="n"/>
      <c r="L27" s="1454" t="n"/>
      <c r="M27" s="1454" t="n"/>
      <c r="N27" s="1454" t="n"/>
      <c r="O27" s="1454" t="n"/>
      <c r="P27" s="1454" t="n"/>
      <c r="Q27" s="1454" t="n"/>
      <c r="R27" s="1454" t="n"/>
      <c r="S27" s="1454" t="n"/>
      <c r="T27" s="1454" t="n"/>
    </row>
    <row r="28">
      <c r="B28" s="1454" t="n"/>
      <c r="C28" s="1454" t="n"/>
      <c r="D28" s="1454" t="n"/>
      <c r="E28" s="1454" t="n"/>
      <c r="F28" s="1454" t="n"/>
      <c r="G28" s="1480" t="inlineStr">
        <is>
          <t>APPRAISAL INFORMATION</t>
        </is>
      </c>
      <c r="M28" s="1170" t="n"/>
      <c r="N28" s="1170" t="n"/>
      <c r="O28" s="1170" t="n"/>
      <c r="P28" s="1170" t="n"/>
      <c r="Q28" s="1170" t="n"/>
      <c r="R28" s="1170" t="n"/>
      <c r="S28" s="1170" t="n"/>
      <c r="T28" s="1454" t="n"/>
    </row>
    <row r="29" ht="31.5" customHeight="1" s="1449">
      <c r="B29" s="1454" t="n"/>
      <c r="C29" s="1454" t="n"/>
      <c r="D29" s="1454" t="n"/>
      <c r="E29" s="1454" t="n"/>
      <c r="F29" s="1454" t="n"/>
      <c r="G29" s="1171" t="inlineStr">
        <is>
          <t>Intended User</t>
        </is>
      </c>
      <c r="H29" s="1451" t="inlineStr">
        <is>
          <t>Adams County Board of Equalization, Adams County Attorney, Colorado Board of Assessment Appeals</t>
        </is>
      </c>
      <c r="M29" s="1470" t="n"/>
      <c r="N29" s="1470" t="n"/>
      <c r="O29" s="1470" t="n"/>
      <c r="P29" s="1470" t="n"/>
      <c r="Q29" s="1470" t="n"/>
      <c r="R29" s="1470" t="n"/>
      <c r="S29" s="1470" t="n"/>
      <c r="T29" s="1454" t="n"/>
    </row>
    <row r="30" hidden="1" s="1449">
      <c r="B30" s="1454" t="n"/>
      <c r="C30" s="1454" t="n"/>
      <c r="D30" s="1454" t="n"/>
      <c r="E30" s="1454" t="n"/>
      <c r="F30" s="1454" t="n"/>
      <c r="G30" s="1171" t="n"/>
      <c r="H30" s="1487">
        <f>clCompanyAddressStreet1&amp;", "&amp;clCompanyAddressStreet2</f>
        <v/>
      </c>
      <c r="L30" s="1173" t="n"/>
      <c r="M30" s="1173" t="n"/>
      <c r="N30" s="1173" t="n"/>
      <c r="O30" s="1173" t="n"/>
      <c r="P30" s="1173" t="n"/>
      <c r="Q30" s="1173" t="n"/>
      <c r="R30" s="1173" t="n"/>
      <c r="S30" s="1173" t="n"/>
      <c r="T30" s="1454" t="n"/>
    </row>
    <row r="31" hidden="1" s="1449">
      <c r="B31" s="1454" t="n"/>
      <c r="C31" s="1454" t="n"/>
      <c r="D31" s="1454" t="n"/>
      <c r="E31" s="1454" t="n"/>
      <c r="F31" s="1454" t="n"/>
      <c r="G31" s="1171" t="n"/>
      <c r="H31" s="1487">
        <f>clCompanyAddressCity&amp;", "&amp;clCompanyAddressState&amp;"  "&amp;clCompanyAddressZip</f>
        <v/>
      </c>
      <c r="L31" s="1173" t="n"/>
      <c r="M31" s="1173" t="n"/>
      <c r="N31" s="1173" t="n"/>
      <c r="O31" s="1173" t="n"/>
      <c r="P31" s="1173" t="n"/>
      <c r="Q31" s="1173" t="n"/>
      <c r="R31" s="1173" t="n"/>
      <c r="S31" s="1173" t="n"/>
      <c r="T31" s="1454" t="n"/>
    </row>
    <row r="32" hidden="1" s="1449">
      <c r="B32" s="1454" t="n"/>
      <c r="C32" s="1454" t="n"/>
      <c r="D32" s="1454" t="n"/>
      <c r="E32" s="1454" t="n"/>
      <c r="F32" s="1454" t="n"/>
      <c r="G32" s="1171" t="inlineStr">
        <is>
          <t>Intended User(s)</t>
        </is>
      </c>
      <c r="H32" s="1488">
        <f>H29</f>
        <v/>
      </c>
      <c r="L32" s="1174" t="n"/>
      <c r="M32" s="1173" t="n"/>
      <c r="N32" s="1173" t="n"/>
      <c r="O32" s="1173" t="n"/>
      <c r="P32" s="1173" t="n"/>
      <c r="Q32" s="1173" t="n"/>
      <c r="R32" s="1173" t="n"/>
      <c r="S32" s="1173" t="n"/>
      <c r="T32" s="1454" t="n"/>
    </row>
    <row r="33" ht="15" customHeight="1" s="1449">
      <c r="B33" s="1454" t="n"/>
      <c r="C33" s="1454" t="n"/>
      <c r="D33" s="1454" t="n"/>
      <c r="E33" s="1454" t="n"/>
      <c r="F33" s="1454" t="n"/>
      <c r="G33" s="1171" t="inlineStr">
        <is>
          <t>Intended Use</t>
        </is>
      </c>
      <c r="H33" s="1451" t="inlineStr">
        <is>
          <t>Aid in tax appeal decision</t>
        </is>
      </c>
      <c r="M33" s="1470" t="n"/>
      <c r="N33" s="1470" t="n"/>
      <c r="O33" s="1470" t="n"/>
      <c r="P33" s="1470" t="n"/>
      <c r="Q33" s="1470" t="n"/>
      <c r="R33" s="1470" t="n"/>
      <c r="S33" s="1470" t="n"/>
      <c r="T33" s="1454" t="n"/>
    </row>
    <row r="34" ht="20.25" customHeight="1" s="1449">
      <c r="B34" s="1454" t="n"/>
      <c r="C34" s="1454" t="n"/>
      <c r="D34" s="1454" t="n"/>
      <c r="E34" s="1454" t="n"/>
      <c r="F34" s="1454" t="n"/>
      <c r="G34" s="1171" t="inlineStr">
        <is>
          <t>Values Concluded</t>
        </is>
      </c>
      <c r="H34" s="1451" t="inlineStr">
        <is>
          <t xml:space="preserve">Retrospective Market Value </t>
        </is>
      </c>
      <c r="M34" s="1470" t="n"/>
      <c r="N34" s="1470" t="n"/>
      <c r="O34" s="1470" t="n"/>
      <c r="P34" s="1470" t="n"/>
      <c r="Q34" s="1470" t="n"/>
      <c r="R34" s="1470" t="n"/>
      <c r="S34" s="1470" t="n"/>
      <c r="T34" s="1454" t="n"/>
    </row>
    <row r="35" ht="29.25" customHeight="1" s="1449">
      <c r="B35" s="1454" t="n"/>
      <c r="C35" s="1454" t="n"/>
      <c r="D35" s="1454" t="n"/>
      <c r="E35" s="1454" t="n"/>
      <c r="F35" s="1454" t="n"/>
      <c r="G35" s="1171" t="inlineStr">
        <is>
          <t>Property Rights Appraised / Premise</t>
        </is>
      </c>
      <c r="H35" s="1451" t="n"/>
      <c r="M35" s="1470" t="n"/>
      <c r="N35" s="1470" t="n"/>
      <c r="O35" s="1470" t="n"/>
      <c r="P35" s="1470" t="n"/>
      <c r="Q35" s="1470" t="n"/>
      <c r="R35" s="1470" t="n"/>
      <c r="S35" s="1470" t="n"/>
      <c r="T35" s="1454" t="n"/>
    </row>
    <row r="36" ht="18" customHeight="1" s="1449">
      <c r="B36" s="1454" t="n"/>
      <c r="C36" s="1454" t="n"/>
      <c r="D36" s="1454" t="n"/>
      <c r="E36" s="1454" t="n"/>
      <c r="F36" s="1454" t="n"/>
      <c r="G36" s="1171" t="inlineStr">
        <is>
          <t>Premise Summary</t>
        </is>
      </c>
      <c r="H36" s="1451" t="n"/>
      <c r="M36" s="1470" t="n"/>
      <c r="N36" s="1470" t="n"/>
      <c r="O36" s="1470" t="n"/>
      <c r="P36" s="1470" t="n"/>
      <c r="Q36" s="1470" t="n"/>
      <c r="R36" s="1470" t="n"/>
      <c r="S36" s="1470" t="n"/>
      <c r="T36" s="1454" t="n"/>
    </row>
    <row r="37">
      <c r="B37" s="1454" t="n"/>
      <c r="C37" s="1454" t="n"/>
      <c r="D37" s="1454" t="n"/>
      <c r="E37" s="1454" t="n"/>
      <c r="F37" s="1454" t="n"/>
      <c r="G37" s="1171" t="inlineStr">
        <is>
          <t>Date of Inspection</t>
        </is>
      </c>
      <c r="H37" s="1765" t="n"/>
      <c r="M37" s="1766" t="n"/>
      <c r="N37" s="1766" t="n"/>
      <c r="O37" s="1766" t="n"/>
      <c r="P37" s="1766" t="n"/>
      <c r="Q37" s="1766" t="n"/>
      <c r="R37" s="1766" t="n"/>
      <c r="S37" s="1766" t="n"/>
      <c r="T37" s="1454" t="n"/>
    </row>
    <row r="38">
      <c r="B38" s="1454" t="n"/>
      <c r="C38" s="1454" t="n"/>
      <c r="D38" s="1454" t="n"/>
      <c r="E38" s="1454" t="n"/>
      <c r="F38" s="1454" t="n"/>
      <c r="G38" s="1171" t="inlineStr">
        <is>
          <t>Report Date</t>
        </is>
      </c>
      <c r="H38" s="1766">
        <f>'Property Info'!B28</f>
        <v/>
      </c>
      <c r="M38" s="1766" t="n"/>
      <c r="N38" s="1766" t="n"/>
      <c r="O38" s="1766" t="n"/>
      <c r="P38" s="1766" t="n"/>
      <c r="Q38" s="1766" t="n"/>
      <c r="R38" s="1766" t="n"/>
      <c r="S38" s="1766" t="n"/>
      <c r="T38" s="1454" t="n"/>
    </row>
    <row r="39">
      <c r="B39" s="1454" t="n"/>
      <c r="C39" s="1454" t="n"/>
      <c r="D39" s="1454" t="n"/>
      <c r="E39" s="1454" t="n"/>
      <c r="F39" s="1454" t="n"/>
      <c r="G39" s="1171" t="inlineStr">
        <is>
          <t>Marketing Time</t>
        </is>
      </c>
      <c r="H39" s="1767" t="inlineStr">
        <is>
          <t>12 months</t>
        </is>
      </c>
      <c r="M39" s="1767" t="n"/>
      <c r="N39" s="1767" t="n"/>
      <c r="O39" s="1767" t="n"/>
      <c r="P39" s="1767" t="n"/>
      <c r="Q39" s="1767" t="n"/>
      <c r="R39" s="1767" t="n"/>
      <c r="S39" s="1767" t="n"/>
      <c r="T39" s="1454" t="n"/>
    </row>
    <row r="40">
      <c r="B40" s="1454" t="n"/>
      <c r="C40" s="1454" t="n"/>
      <c r="D40" s="1454" t="n"/>
      <c r="E40" s="1454" t="n"/>
      <c r="F40" s="1454" t="n"/>
      <c r="G40" s="1171" t="inlineStr">
        <is>
          <t>Exposure Time</t>
        </is>
      </c>
      <c r="H40" s="1767" t="inlineStr">
        <is>
          <t>12 months</t>
        </is>
      </c>
      <c r="M40" s="1767" t="n"/>
      <c r="N40" s="1767" t="n"/>
      <c r="O40" s="1767" t="n"/>
      <c r="P40" s="1767" t="n"/>
      <c r="Q40" s="1767" t="n"/>
      <c r="R40" s="1767" t="n"/>
      <c r="S40" s="1767" t="n"/>
      <c r="T40" s="1454" t="n"/>
    </row>
    <row r="41">
      <c r="B41" s="1454" t="n"/>
      <c r="C41" s="1454" t="n"/>
      <c r="D41" s="1454" t="n"/>
      <c r="E41" s="1454" t="n"/>
      <c r="F41" s="1454" t="n"/>
      <c r="G41" s="1171" t="inlineStr">
        <is>
          <t>Owner of Record</t>
        </is>
      </c>
      <c r="H41" s="1451" t="n"/>
      <c r="M41" s="1470" t="n"/>
      <c r="N41" s="1470" t="n"/>
      <c r="O41" s="1470" t="n"/>
      <c r="P41" s="1470" t="n"/>
      <c r="Q41" s="1470" t="n"/>
      <c r="R41" s="1470" t="n"/>
      <c r="S41" s="1470" t="n"/>
      <c r="T41" s="1454" t="n"/>
    </row>
    <row r="42" ht="67.5" customHeight="1" s="1449">
      <c r="B42" s="1454" t="n"/>
      <c r="C42" s="1454" t="n"/>
      <c r="D42" s="1454" t="n"/>
      <c r="E42" s="1454" t="n"/>
      <c r="F42" s="1454" t="n"/>
      <c r="G42" s="1171" t="inlineStr">
        <is>
          <t>Property Contact(s)</t>
        </is>
      </c>
      <c r="H42" s="1451" t="n"/>
      <c r="M42" s="1470" t="n"/>
      <c r="N42" s="1470" t="n"/>
      <c r="O42" s="1470" t="n"/>
      <c r="P42" s="1470" t="n"/>
      <c r="Q42" s="1470" t="n"/>
      <c r="R42" s="1470" t="n"/>
      <c r="S42" s="1470" t="n"/>
      <c r="T42" s="1454" t="n"/>
    </row>
    <row r="43">
      <c r="B43" s="1454" t="n"/>
      <c r="C43" s="1454" t="n"/>
      <c r="D43" s="1454" t="n"/>
      <c r="E43" s="1454" t="n"/>
      <c r="F43" s="1454" t="n"/>
      <c r="G43" s="1171" t="inlineStr">
        <is>
          <t>Most Probable Purchaser</t>
        </is>
      </c>
      <c r="H43" s="1470">
        <f>pdMostProbablePurchaser</f>
        <v/>
      </c>
      <c r="M43" s="1470" t="n"/>
      <c r="N43" s="1470" t="n"/>
      <c r="O43" s="1470" t="n"/>
      <c r="P43" s="1470" t="n"/>
      <c r="Q43" s="1470" t="n"/>
      <c r="R43" s="1470" t="n"/>
      <c r="S43" s="1470" t="n"/>
      <c r="T43" s="1454" t="n"/>
    </row>
    <row r="44">
      <c r="B44" s="1454" t="n"/>
      <c r="C44" s="1454" t="n"/>
      <c r="D44" s="1454" t="n"/>
      <c r="E44" s="1454" t="n"/>
      <c r="F44" s="1454" t="n"/>
      <c r="G44" s="1171" t="inlineStr">
        <is>
          <t>Highest and Best Use</t>
        </is>
      </c>
      <c r="H44" s="1487" t="n"/>
      <c r="I44" s="1178" t="n"/>
      <c r="J44" s="1178" t="n"/>
      <c r="K44" s="1178" t="n"/>
      <c r="L44" s="1178" t="n"/>
      <c r="M44" s="1178" t="n"/>
      <c r="N44" s="1178" t="n"/>
      <c r="O44" s="1178" t="n"/>
      <c r="P44" s="1178" t="n"/>
      <c r="Q44" s="1178" t="n"/>
      <c r="R44" s="1178" t="n"/>
      <c r="S44" s="1178" t="n"/>
      <c r="T44" s="1454" t="n"/>
    </row>
    <row r="45" ht="15" customHeight="1" s="1449">
      <c r="B45" s="1454" t="n"/>
      <c r="C45" s="1454" t="n"/>
      <c r="D45" s="1454" t="n"/>
      <c r="E45" s="1454" t="n"/>
      <c r="F45" s="1454" t="n"/>
      <c r="G45" s="1179" t="inlineStr">
        <is>
          <t>If Vacant</t>
        </is>
      </c>
      <c r="H45" s="1451" t="inlineStr">
        <is>
          <t xml:space="preserve">Light Industrial Development </t>
        </is>
      </c>
      <c r="M45" s="1470" t="n"/>
      <c r="N45" s="1470" t="n"/>
      <c r="O45" s="1470" t="n"/>
      <c r="P45" s="1470" t="n"/>
      <c r="Q45" s="1470" t="n"/>
      <c r="R45" s="1470" t="n"/>
      <c r="S45" s="1470" t="n"/>
      <c r="T45" s="1454" t="n"/>
    </row>
    <row r="46" ht="15" customHeight="1" s="1449">
      <c r="B46" s="1454" t="n"/>
      <c r="C46" s="1454" t="n"/>
      <c r="D46" s="1454" t="n"/>
      <c r="E46" s="1454" t="n"/>
      <c r="F46" s="1454" t="n"/>
      <c r="G46" s="1180" t="inlineStr">
        <is>
          <t>As Improved</t>
        </is>
      </c>
      <c r="H46" s="1471">
        <f>pdHBUAsImproved</f>
        <v/>
      </c>
      <c r="I46" s="1464" t="n"/>
      <c r="J46" s="1464" t="n"/>
      <c r="K46" s="1464" t="n"/>
      <c r="L46" s="1464" t="n"/>
      <c r="M46" s="1470" t="n"/>
      <c r="N46" s="1470" t="n"/>
      <c r="O46" s="1470" t="n"/>
      <c r="P46" s="1470" t="n"/>
      <c r="Q46" s="1470" t="n"/>
      <c r="R46" s="1470" t="n"/>
      <c r="S46" s="1470" t="n"/>
      <c r="T46" s="1454" t="n"/>
    </row>
    <row r="47">
      <c r="B47" s="1454" t="n"/>
      <c r="C47" s="1454" t="n"/>
      <c r="D47" s="1454" t="n"/>
      <c r="E47" s="1454" t="n"/>
      <c r="F47" s="1454" t="n"/>
      <c r="G47" s="1179" t="n"/>
      <c r="H47" s="1487" t="n"/>
      <c r="I47" s="1173" t="n"/>
      <c r="J47" s="1173" t="n"/>
      <c r="K47" s="1173" t="n"/>
      <c r="L47" s="1173" t="n"/>
      <c r="M47" s="1173" t="n"/>
      <c r="N47" s="1173" t="n"/>
      <c r="O47" s="1173" t="n"/>
      <c r="P47" s="1173" t="n"/>
      <c r="Q47" s="1173" t="n"/>
      <c r="R47" s="1173" t="n"/>
      <c r="S47" s="1173" t="n"/>
      <c r="T47" s="1454" t="n"/>
    </row>
    <row r="48">
      <c r="B48" s="1454" t="n"/>
      <c r="C48" s="1454" t="n"/>
      <c r="D48" s="1454" t="n"/>
      <c r="E48" s="1454" t="n"/>
      <c r="F48" s="1454" t="n"/>
      <c r="G48" s="1179" t="n"/>
      <c r="H48" s="1487" t="n"/>
      <c r="I48" s="1173" t="n"/>
      <c r="J48" s="1173" t="n"/>
      <c r="K48" s="1173" t="n"/>
      <c r="L48" s="1173" t="n"/>
      <c r="M48" s="1173" t="n"/>
      <c r="N48" s="1173" t="n"/>
      <c r="O48" s="1173" t="n"/>
      <c r="P48" s="1173" t="n"/>
      <c r="Q48" s="1173" t="n"/>
      <c r="R48" s="1173" t="n"/>
      <c r="S48" s="1173" t="n"/>
      <c r="T48" s="1454" t="n"/>
    </row>
    <row r="49">
      <c r="B49" s="1454" t="n"/>
      <c r="C49" s="1454" t="n"/>
      <c r="D49" s="1454" t="n"/>
      <c r="E49" s="1454" t="n"/>
      <c r="F49" s="1454" t="n"/>
      <c r="G49" s="1179" t="n"/>
      <c r="H49" s="1487" t="n"/>
      <c r="I49" s="1173" t="n"/>
      <c r="J49" s="1173" t="n"/>
      <c r="K49" s="1173" t="n"/>
      <c r="L49" s="1173" t="n"/>
      <c r="M49" s="1482" t="inlineStr">
        <is>
          <t>SCOPE OF THE INVESTIGATION</t>
        </is>
      </c>
      <c r="R49" s="1409" t="n"/>
      <c r="S49" s="1409" t="n"/>
    </row>
    <row r="50" customFormat="1" s="1454">
      <c r="G50" s="1179" t="n"/>
      <c r="H50" s="1487" t="n"/>
      <c r="I50" s="1173" t="n"/>
      <c r="J50" s="1173" t="n"/>
      <c r="K50" s="1173" t="n"/>
      <c r="L50" s="1173" t="n"/>
      <c r="M50" s="1479" t="inlineStr">
        <is>
          <t>General and Market Data Analyzed</t>
        </is>
      </c>
      <c r="N50" s="1460" t="inlineStr">
        <is>
          <t>§  Regional economic data and trends</t>
        </is>
      </c>
      <c r="R50" s="1460" t="n"/>
      <c r="S50" s="1460" t="n"/>
    </row>
    <row r="51" customFormat="1" s="1454">
      <c r="G51" s="1179" t="n"/>
      <c r="H51" s="1487" t="n"/>
      <c r="I51" s="1173" t="n"/>
      <c r="J51" s="1173" t="n"/>
      <c r="K51" s="1173" t="n"/>
      <c r="L51" s="1173" t="n"/>
      <c r="N51" s="1460" t="inlineStr">
        <is>
          <t>§  Market analysis data specific to the subject property type</t>
        </is>
      </c>
      <c r="R51" s="1460" t="n"/>
      <c r="S51" s="1460" t="n"/>
    </row>
    <row r="52" customFormat="1" s="1454">
      <c r="G52" s="1179" t="n"/>
      <c r="H52" s="1487" t="n"/>
      <c r="I52" s="1173" t="n"/>
      <c r="J52" s="1173" t="n"/>
      <c r="K52" s="1173" t="n"/>
      <c r="L52" s="1173" t="n"/>
      <c r="N52" s="1460" t="inlineStr">
        <is>
          <t>§  Published survey data</t>
        </is>
      </c>
      <c r="R52" s="1460" t="n"/>
      <c r="S52" s="1460" t="n"/>
    </row>
    <row r="53" customFormat="1" s="1454">
      <c r="G53" s="1179" t="n"/>
      <c r="H53" s="1487" t="n"/>
      <c r="I53" s="1173" t="n"/>
      <c r="J53" s="1173" t="n"/>
      <c r="K53" s="1173" t="n"/>
      <c r="L53" s="1173" t="n"/>
      <c r="N53" s="1460" t="inlineStr">
        <is>
          <t>§  Neighborhood demographic data</t>
        </is>
      </c>
      <c r="R53" s="1460" t="n"/>
      <c r="S53" s="1460" t="n"/>
    </row>
    <row r="54" customFormat="1" s="1454">
      <c r="G54" s="1179" t="n"/>
      <c r="H54" s="1487" t="n"/>
      <c r="I54" s="1173" t="n"/>
      <c r="J54" s="1173" t="n"/>
      <c r="K54" s="1173" t="n"/>
      <c r="L54" s="1173" t="n"/>
      <c r="N54" s="1460" t="inlineStr">
        <is>
          <t>§  Comparable cost, sale, rental, expense, and capitalization rate data</t>
        </is>
      </c>
      <c r="R54" s="1460" t="n"/>
      <c r="S54" s="1460" t="n"/>
    </row>
    <row r="55" customFormat="1" s="1454">
      <c r="G55" s="1179" t="n"/>
      <c r="H55" s="1487" t="n"/>
      <c r="I55" s="1173" t="n"/>
      <c r="J55" s="1173" t="n"/>
      <c r="K55" s="1173" t="n"/>
      <c r="L55" s="1173" t="n"/>
      <c r="N55" s="1460" t="inlineStr">
        <is>
          <t>§  Floodplain status</t>
        </is>
      </c>
      <c r="R55" s="1460" t="n"/>
      <c r="S55" s="1460" t="n"/>
    </row>
    <row r="56" customFormat="1" s="1454">
      <c r="G56" s="1179" t="n"/>
      <c r="H56" s="1487" t="n"/>
      <c r="I56" s="1173" t="n"/>
      <c r="J56" s="1173" t="n"/>
      <c r="K56" s="1173" t="n"/>
      <c r="L56" s="1173" t="n"/>
      <c r="N56" s="1460" t="inlineStr">
        <is>
          <t>§  Zoning information</t>
        </is>
      </c>
      <c r="R56" s="1460" t="n"/>
      <c r="S56" s="1460" t="n"/>
    </row>
    <row r="57" customFormat="1" s="1454">
      <c r="G57" s="1179" t="n"/>
      <c r="H57" s="1487" t="n"/>
      <c r="I57" s="1173" t="n"/>
      <c r="J57" s="1173" t="n"/>
      <c r="K57" s="1173" t="n"/>
      <c r="L57" s="1173" t="n"/>
      <c r="N57" s="1460" t="inlineStr">
        <is>
          <t>§  Assessor’s information</t>
        </is>
      </c>
      <c r="R57" s="1460" t="n"/>
      <c r="S57" s="1460" t="n"/>
    </row>
    <row r="58" customFormat="1" s="1454">
      <c r="G58" s="1179" t="n"/>
      <c r="H58" s="1487" t="n"/>
      <c r="I58" s="1173" t="n"/>
      <c r="J58" s="1173" t="n"/>
      <c r="K58" s="1173" t="n"/>
      <c r="L58" s="1173" t="n"/>
      <c r="N58" s="1460" t="inlineStr">
        <is>
          <t>§  Interviewed professionals knowledgeable about the subject’s property type and market</t>
        </is>
      </c>
      <c r="R58" s="1460" t="n"/>
      <c r="S58" s="1460" t="n"/>
    </row>
    <row r="59" ht="15" customFormat="1" customHeight="1" s="1454">
      <c r="G59" s="1179" t="n"/>
      <c r="H59" s="1487" t="n"/>
      <c r="I59" s="1173" t="n"/>
      <c r="J59" s="1173" t="n"/>
      <c r="K59" s="1173" t="n"/>
      <c r="L59" s="1173" t="n"/>
      <c r="M59" s="1479" t="inlineStr">
        <is>
          <t>Inspection Details</t>
        </is>
      </c>
      <c r="N59" s="1453" t="inlineStr">
        <is>
          <t>The interior and exterior of the subject was inspected.</t>
        </is>
      </c>
      <c r="R59" s="1453" t="n"/>
      <c r="S59" s="1453" t="n"/>
    </row>
    <row r="60" customFormat="1" s="1454">
      <c r="G60" s="1179" t="n"/>
      <c r="H60" s="1487" t="n"/>
      <c r="I60" s="1173" t="n"/>
      <c r="J60" s="1173" t="n"/>
      <c r="K60" s="1173" t="n"/>
      <c r="L60" s="1173" t="n"/>
      <c r="M60" s="1479" t="inlineStr">
        <is>
          <t>Data Sources</t>
        </is>
      </c>
      <c r="N60" s="1453" t="n"/>
      <c r="R60" s="1453" t="n"/>
      <c r="S60" s="1453" t="n"/>
    </row>
    <row r="61" customFormat="1" s="1454">
      <c r="G61" s="1179" t="n"/>
      <c r="H61" s="1487" t="n"/>
      <c r="I61" s="1173" t="n"/>
      <c r="J61" s="1173" t="n"/>
      <c r="K61" s="1173" t="n"/>
      <c r="L61" s="1173" t="n"/>
      <c r="M61" s="1206" t="inlineStr">
        <is>
          <t>Site Size</t>
        </is>
      </c>
      <c r="N61" s="1484" t="inlineStr">
        <is>
          <t>Adams County Assessor Records, Appraiser Measurement</t>
        </is>
      </c>
      <c r="R61" s="1453" t="n"/>
      <c r="S61" s="1453" t="n"/>
    </row>
    <row r="62" customFormat="1" s="1454">
      <c r="G62" s="1179" t="n"/>
      <c r="H62" s="1487" t="n"/>
      <c r="I62" s="1173" t="n"/>
      <c r="J62" s="1173" t="n"/>
      <c r="K62" s="1173" t="n"/>
      <c r="L62" s="1173" t="n"/>
      <c r="M62" s="1206" t="inlineStr">
        <is>
          <t>Building Size</t>
        </is>
      </c>
      <c r="N62" s="1462" t="inlineStr">
        <is>
          <t>Adams County Assessor Records, Appraiser Measurement</t>
        </is>
      </c>
      <c r="R62" s="1453" t="n"/>
      <c r="S62" s="1453" t="n"/>
    </row>
    <row r="63" customFormat="1" s="1454">
      <c r="G63" s="1179" t="n"/>
      <c r="H63" s="1487" t="n"/>
      <c r="I63" s="1173" t="n"/>
      <c r="J63" s="1173" t="n"/>
      <c r="K63" s="1173" t="n"/>
      <c r="L63" s="1173" t="n"/>
      <c r="M63" s="1206" t="inlineStr">
        <is>
          <t>Zoning information</t>
        </is>
      </c>
      <c r="N63" s="1462" t="inlineStr">
        <is>
          <t>Adams County Planning Department</t>
        </is>
      </c>
      <c r="R63" s="1453" t="n"/>
      <c r="S63" s="1453" t="n"/>
    </row>
    <row r="64" customFormat="1" s="1454">
      <c r="G64" s="1179" t="n"/>
      <c r="H64" s="1487" t="n"/>
      <c r="I64" s="1173" t="n"/>
      <c r="J64" s="1173" t="n"/>
      <c r="K64" s="1173" t="n"/>
      <c r="L64" s="1173" t="n"/>
      <c r="M64" s="1206" t="inlineStr">
        <is>
          <t>Flood Status</t>
        </is>
      </c>
      <c r="N64" s="1462" t="inlineStr">
        <is>
          <t>FEMA Flood Map Service Center</t>
        </is>
      </c>
      <c r="R64" s="1453" t="n"/>
      <c r="S64" s="1453" t="n"/>
    </row>
    <row r="65" customFormat="1" s="1454">
      <c r="G65" s="1179" t="n"/>
      <c r="H65" s="1487" t="n"/>
      <c r="I65" s="1173" t="n"/>
      <c r="J65" s="1173" t="n"/>
      <c r="K65" s="1173" t="n"/>
      <c r="L65" s="1173" t="n"/>
      <c r="M65" s="1206" t="inlineStr">
        <is>
          <t>Demographics</t>
        </is>
      </c>
      <c r="N65" s="1462" t="inlineStr">
        <is>
          <t>CoStar Market Reports</t>
        </is>
      </c>
      <c r="R65" s="1453" t="n"/>
      <c r="S65" s="1453" t="n"/>
    </row>
    <row r="66" customFormat="1" s="1454">
      <c r="G66" s="1179" t="n"/>
      <c r="H66" s="1487" t="n"/>
      <c r="I66" s="1173" t="n"/>
      <c r="J66" s="1173" t="n"/>
      <c r="K66" s="1173" t="n"/>
      <c r="L66" s="1173" t="n"/>
      <c r="M66" s="1206" t="inlineStr">
        <is>
          <t>Land Sales</t>
        </is>
      </c>
      <c r="N66" s="1462" t="inlineStr">
        <is>
          <t>CoStar, MLS, Adams County Sales Data, Local Brokers</t>
        </is>
      </c>
      <c r="R66" s="1453" t="n"/>
      <c r="S66" s="1453" t="n"/>
    </row>
    <row r="67" customFormat="1" s="1454">
      <c r="G67" s="1179" t="n"/>
      <c r="H67" s="1487" t="n"/>
      <c r="I67" s="1173" t="n"/>
      <c r="J67" s="1173" t="n"/>
      <c r="K67" s="1173" t="n"/>
      <c r="L67" s="1173" t="n"/>
      <c r="M67" s="1206" t="inlineStr">
        <is>
          <t>Cost Estimate Data</t>
        </is>
      </c>
      <c r="N67" s="1462" t="inlineStr">
        <is>
          <t>Marshall &amp; Swift Cost Estimator</t>
        </is>
      </c>
      <c r="R67" s="1453" t="n"/>
      <c r="S67" s="1453" t="n"/>
    </row>
    <row r="68" customFormat="1" s="1454">
      <c r="G68" s="1179" t="n"/>
      <c r="H68" s="1487" t="n"/>
      <c r="I68" s="1173" t="n"/>
      <c r="J68" s="1173" t="n"/>
      <c r="K68" s="1173" t="n"/>
      <c r="L68" s="1173" t="n"/>
      <c r="M68" s="1206" t="inlineStr">
        <is>
          <t>Comparable Improved Sales</t>
        </is>
      </c>
      <c r="N68" s="1462" t="inlineStr">
        <is>
          <t>CoStar, MLS, Adams County Sales Data, Local Brokers</t>
        </is>
      </c>
      <c r="R68" s="1453" t="n"/>
      <c r="S68" s="1453" t="n"/>
    </row>
    <row r="69" customFormat="1" s="1454">
      <c r="G69" s="1179" t="n"/>
      <c r="H69" s="1487" t="n"/>
      <c r="I69" s="1173" t="n"/>
      <c r="J69" s="1173" t="n"/>
      <c r="K69" s="1173" t="n"/>
      <c r="L69" s="1173" t="n"/>
      <c r="M69" s="1206" t="inlineStr">
        <is>
          <t>Comparable Improved Rents</t>
        </is>
      </c>
      <c r="N69" s="1462" t="inlineStr">
        <is>
          <t>CoStar, MLS, Adams County Lease Data, Local Brokers</t>
        </is>
      </c>
      <c r="R69" s="1453" t="n"/>
      <c r="S69" s="1453" t="n"/>
    </row>
    <row r="70" ht="15" customFormat="1" customHeight="1" s="1454">
      <c r="K70" s="1470" t="n"/>
      <c r="L70" s="1470" t="n"/>
      <c r="M70" s="1483" t="inlineStr">
        <is>
          <t>Property Specific Data Requested and Received</t>
        </is>
      </c>
      <c r="N70" s="1470" t="n"/>
      <c r="R70" s="1470" t="n"/>
      <c r="S70" s="1470" t="n"/>
    </row>
    <row r="71" ht="15" customFormat="1" customHeight="1" s="1454">
      <c r="K71" s="1470" t="n"/>
      <c r="L71" s="1470" t="n"/>
      <c r="N71" s="1451" t="inlineStr">
        <is>
          <t>Lease, Lease Addendum</t>
        </is>
      </c>
      <c r="R71" s="1470" t="n"/>
      <c r="S71" s="1470" t="n"/>
    </row>
    <row r="72" customFormat="1" s="1454">
      <c r="K72" s="1470" t="n"/>
      <c r="L72" s="1470" t="n"/>
      <c r="N72" s="1451" t="inlineStr">
        <is>
          <t>Estimated financial analysis</t>
        </is>
      </c>
      <c r="R72" s="1470" t="n"/>
      <c r="S72" s="1470" t="n"/>
    </row>
    <row r="73" customFormat="1" s="1454">
      <c r="K73" s="1470" t="n"/>
      <c r="L73" s="1470" t="n"/>
      <c r="N73" s="1451" t="inlineStr">
        <is>
          <t>Property Expenses (2019, 2020)</t>
        </is>
      </c>
      <c r="R73" s="1470" t="n"/>
      <c r="S73" s="1470" t="n"/>
    </row>
    <row r="74" hidden="1" ht="15" customFormat="1" customHeight="1" s="1454">
      <c r="K74" s="1470" t="n"/>
      <c r="L74" s="1470" t="n"/>
      <c r="N74" s="1451" t="n"/>
      <c r="R74" s="1470" t="n"/>
      <c r="S74" s="1470" t="n"/>
    </row>
    <row r="75" customFormat="1" s="1454">
      <c r="K75" s="1470" t="n"/>
      <c r="L75" s="1470" t="n"/>
      <c r="M75" s="1171" t="inlineStr">
        <is>
          <t>Data Requested, but not Provided</t>
        </is>
      </c>
      <c r="N75" s="1451" t="n"/>
      <c r="R75" s="1470" t="n"/>
      <c r="S75" s="1470" t="n"/>
    </row>
    <row r="76" ht="15" customFormat="1" customHeight="1" s="1454">
      <c r="K76" s="1182" t="n"/>
      <c r="L76" s="1182" t="n"/>
      <c r="M76" s="1179" t="n"/>
      <c r="N76" s="1451" t="inlineStr">
        <is>
          <t>Rent Roll</t>
        </is>
      </c>
      <c r="O76" s="1451" t="n"/>
      <c r="P76" s="1451" t="n"/>
      <c r="Q76" s="1451" t="n"/>
      <c r="R76" s="1470" t="n"/>
      <c r="S76" s="1470" t="n"/>
    </row>
    <row r="77" customFormat="1" s="1454">
      <c r="K77" s="1470" t="n"/>
      <c r="L77" s="1470" t="n"/>
      <c r="M77" s="1179" t="n"/>
      <c r="N77" s="1451" t="inlineStr">
        <is>
          <t>Building Plans</t>
        </is>
      </c>
      <c r="O77" s="1451" t="n"/>
      <c r="P77" s="1451" t="n"/>
      <c r="Q77" s="1451" t="n"/>
      <c r="R77" s="1470" t="n"/>
      <c r="S77" s="1470" t="n"/>
    </row>
    <row r="78" ht="15" customFormat="1" customHeight="1" s="1454">
      <c r="K78" s="1470" t="n"/>
      <c r="L78" s="1470" t="n"/>
      <c r="M78" s="1179" t="n"/>
      <c r="N78" s="1451" t="inlineStr">
        <is>
          <t>Environmental survey</t>
        </is>
      </c>
      <c r="R78" s="1470" t="n"/>
      <c r="S78" s="1470" t="n"/>
    </row>
    <row r="79" ht="15" customFormat="1" customHeight="1" s="1454">
      <c r="K79" s="1470" t="n"/>
      <c r="L79" s="1470" t="n"/>
      <c r="M79" s="1180" t="n"/>
      <c r="N79" s="1471" t="inlineStr">
        <is>
          <t>ALTA Survey</t>
        </is>
      </c>
      <c r="O79" s="1464" t="n"/>
      <c r="P79" s="1464" t="n"/>
      <c r="Q79" s="1464" t="n"/>
      <c r="R79" s="1470" t="n"/>
      <c r="S79" s="1470" t="n"/>
    </row>
    <row r="80" ht="15" customFormat="1" customHeight="1" s="1454">
      <c r="K80" s="1470" t="n"/>
      <c r="L80" s="1470" t="n"/>
      <c r="M80" s="1179" t="n"/>
      <c r="N80" s="1470" t="n"/>
      <c r="O80" s="1470" t="n"/>
      <c r="P80" s="1470" t="n"/>
      <c r="Q80" s="1470" t="n"/>
      <c r="R80" s="1470" t="n"/>
      <c r="S80" s="1470" t="n"/>
    </row>
    <row r="81">
      <c r="D81" s="1402" t="n"/>
      <c r="R81" s="1480" t="inlineStr">
        <is>
          <t>EXTRAORDINARY ASSUMPTION(S) AND HYPOTHETICAL CONDITION(S)</t>
        </is>
      </c>
    </row>
    <row r="82" ht="63" customFormat="1" customHeight="1" s="1454">
      <c r="R82" s="1473" t="inlineStr">
        <is>
          <t>The values presented within this appraisal report are subject to the extraordinary assumptions and hypothetical conditions listed below. Pursuant to the requirement within Uniform Standards of Professional Appraisal Practice Standards, it is stated here that the use of any extraordinary assumptions might have affected the assignment results.</t>
        </is>
      </c>
    </row>
    <row r="83" customFormat="1" s="1454">
      <c r="E83" s="1403" t="n"/>
      <c r="F83" s="1404" t="n"/>
      <c r="R83" s="1053" t="inlineStr">
        <is>
          <t>Extraordinary Assumption(s)</t>
        </is>
      </c>
      <c r="S83" s="1473" t="n"/>
    </row>
    <row r="84" customFormat="1" s="1454">
      <c r="A84" s="1407">
        <f>IF(R84="","X","")</f>
        <v/>
      </c>
      <c r="E84" s="1403" t="n"/>
      <c r="Q84" s="1454" t="n">
        <v>1</v>
      </c>
      <c r="R84" s="1458" t="inlineStr">
        <is>
          <t>This appraisal employs no extroidinary assumptions.</t>
        </is>
      </c>
    </row>
    <row r="85" customFormat="1" s="1454">
      <c r="A85" s="1407">
        <f>IF(R85="","X","")</f>
        <v/>
      </c>
      <c r="E85" s="1403" t="n"/>
      <c r="Q85" s="1454" t="n">
        <v>2</v>
      </c>
      <c r="R85" s="1458">
        <f>IFERROR(IF(INDEX([14]!TableCondLang[#Data],MATCH($E85,[14]!TableCondLang[Row_Num],0),COLUMN([14]!TableCondLang[Discriminator])-1)="Extraordinary",INDEX([14]!TableCondLang[#Data],MATCH($E85,[14]!TableCondLang[Row_Num],0),COLUMN([14]!TableCondLang[Description])-1),""),"")</f>
        <v/>
      </c>
    </row>
    <row r="86" customFormat="1" s="1454">
      <c r="A86" s="1407">
        <f>IF(R86="","X","")</f>
        <v/>
      </c>
      <c r="E86" s="1403" t="n"/>
      <c r="Q86" s="1454" t="n">
        <v>3</v>
      </c>
      <c r="R86" s="1458">
        <f>IFERROR(IF(INDEX([14]!TableCondLang[#Data],MATCH($E86,[14]!TableCondLang[Row_Num],0),COLUMN([14]!TableCondLang[Discriminator])-1)="Extraordinary",INDEX([14]!TableCondLang[#Data],MATCH($E86,[14]!TableCondLang[Row_Num],0),COLUMN([14]!TableCondLang[Description])-1),""),"")</f>
        <v/>
      </c>
    </row>
    <row r="87" customFormat="1" s="1454">
      <c r="A87" s="1407">
        <f>IF(R87="","X","")</f>
        <v/>
      </c>
      <c r="E87" s="1403" t="n"/>
      <c r="Q87" s="1454" t="n">
        <v>4</v>
      </c>
      <c r="R87" s="1458">
        <f>IFERROR(IF(INDEX([14]!TableCondLang[#Data],MATCH($E87,[14]!TableCondLang[Row_Num],0),COLUMN([14]!TableCondLang[Discriminator])-1)="Extraordinary",INDEX([14]!TableCondLang[#Data],MATCH($E87,[14]!TableCondLang[Row_Num],0),COLUMN([14]!TableCondLang[Description])-1),""),"")</f>
        <v/>
      </c>
    </row>
    <row r="88" customFormat="1" s="1454">
      <c r="A88" s="1407">
        <f>IF(S88="","X","")</f>
        <v/>
      </c>
      <c r="E88" s="1403" t="n"/>
      <c r="S88" s="1473">
        <f>IFERROR(IF(INDEX([14]!TableCondLang[#Data],MATCH($E88,[14]!TableCondLang[Row_Num],0),COLUMN([14]!TableCondLang[Discriminator])-1)="Extraordinary",INDEX([14]!TableCondLang[#Data],MATCH($E88,[14]!TableCondLang[Row_Num],0),COLUMN([14]!TableCondLang[Description])-1),""),"")</f>
        <v/>
      </c>
    </row>
    <row r="89" customFormat="1" s="1454">
      <c r="A89" s="1407">
        <f>IF(S89="","X","")</f>
        <v/>
      </c>
      <c r="E89" s="1403" t="n"/>
      <c r="R89" s="1053" t="inlineStr">
        <is>
          <t>Hypothetical Condition(s)</t>
        </is>
      </c>
      <c r="S89" s="1473">
        <f>IFERROR(IF(INDEX([14]!TableCondLang[#Data],MATCH($E89,[14]!TableCondLang[Row_Num],0),COLUMN([14]!TableCondLang[Discriminator])-1)="Extraordinary",INDEX([14]!TableCondLang[#Data],MATCH($E89,[14]!TableCondLang[Row_Num],0),COLUMN([14]!TableCondLang[Description])-1),""),"")</f>
        <v/>
      </c>
    </row>
    <row r="90" customFormat="1" s="1454">
      <c r="A90" s="1407">
        <f>IF(R90="","X","")</f>
        <v/>
      </c>
      <c r="E90" s="1403" t="n"/>
      <c r="Q90" s="1454" t="n">
        <v>1</v>
      </c>
      <c r="R90" s="1458" t="inlineStr">
        <is>
          <t>This appraisal employs no hypothetical conditions.</t>
        </is>
      </c>
    </row>
    <row r="91" customFormat="1" s="1454">
      <c r="A91" s="1407">
        <f>IF(R91="","X","")</f>
        <v/>
      </c>
      <c r="E91" s="1403" t="n"/>
      <c r="Q91" s="1454" t="n">
        <v>2</v>
      </c>
      <c r="R91" s="1458">
        <f>IFERROR(IF(INDEX([14]!TableCondLang[#Data],MATCH($E91,[14]!TableCondLang[Row_Num],0),COLUMN([14]!TableCondLang[Discriminator])-1)="Extraordinary",INDEX([14]!TableCondLang[#Data],MATCH($E91,[14]!TableCondLang[Row_Num],0),COLUMN([14]!TableCondLang[Description])-1),""),"")</f>
        <v/>
      </c>
    </row>
    <row r="92" customFormat="1" s="1454">
      <c r="A92" s="1407">
        <f>IF(R92="","X","")</f>
        <v/>
      </c>
      <c r="E92" s="1403" t="n"/>
      <c r="Q92" s="1454" t="n">
        <v>3</v>
      </c>
      <c r="R92" s="1489">
        <f>IFERROR(IF(INDEX([14]!TableCondLang[#Data],MATCH($E92,[14]!TableCondLang[Row_Num],0),COLUMN([14]!TableCondLang[Discriminator])-1)="Extraordinary",INDEX([14]!TableCondLang[#Data],MATCH($E92,[14]!TableCondLang[Row_Num],0),COLUMN([14]!TableCondLang[Description])-1),""),"")</f>
        <v/>
      </c>
    </row>
    <row r="93" customFormat="1" s="1454">
      <c r="A93" s="1407">
        <f>IF(R93="","X","")</f>
        <v/>
      </c>
      <c r="E93" s="1403" t="n"/>
      <c r="F93" s="1405" t="n"/>
      <c r="G93" s="1406" t="n"/>
      <c r="Q93" s="1454" t="n">
        <v>4</v>
      </c>
      <c r="R93" s="1466">
        <f>IFERROR(IF(INDEX([14]!TableCondLang[#Data],MATCH($E93,[14]!TableCondLang[Row_Num],0),COLUMN([14]!TableCondLang[Discriminator])-1)="Extraordinary",INDEX([14]!TableCondLang[#Data],MATCH($E93,[14]!TableCondLang[Row_Num],0),COLUMN([14]!TableCondLang[Description])-1),""),"")</f>
        <v/>
      </c>
      <c r="S93" s="1464" t="n"/>
    </row>
    <row r="94" customFormat="1" s="1454">
      <c r="A94" s="1407">
        <f>IF(R94="","X","")</f>
        <v/>
      </c>
      <c r="E94" s="1403" t="n"/>
      <c r="F94" s="1405" t="n"/>
      <c r="G94" s="1406" t="n"/>
      <c r="R94" s="1490">
        <f>IFERROR(IF(INDEX([14]!TableCondLang[#Data],MATCH($E94,[14]!TableCondLang[Row_Num],0),COLUMN([14]!TableCondLang[Discriminator])-1)="Extraordinary",INDEX([14]!TableCondLang[#Data],MATCH($E94,[14]!TableCondLang[Row_Num],0),COLUMN([14]!TableCondLang[Description])-1),""),"")</f>
        <v/>
      </c>
    </row>
    <row r="95">
      <c r="G95" s="1179" t="n"/>
      <c r="H95" s="1492" t="n"/>
      <c r="K95" s="1454" t="n"/>
      <c r="L95" s="1454" t="n"/>
      <c r="M95" s="1454" t="n"/>
      <c r="N95" s="1454" t="n"/>
      <c r="O95" s="1454" t="n"/>
      <c r="P95" s="1454" t="n"/>
      <c r="Q95" s="1454" t="n"/>
      <c r="R95" s="1454" t="n"/>
      <c r="S95" s="1454" t="n"/>
      <c r="T95" s="1480" t="inlineStr">
        <is>
          <t>PROPERTY OVERVIEW</t>
        </is>
      </c>
    </row>
    <row r="96" ht="15" customHeight="1" s="1449">
      <c r="N96" s="1454" t="n"/>
      <c r="O96" s="1454" t="n"/>
      <c r="P96" s="1454" t="n"/>
      <c r="Q96" s="1454" t="n"/>
      <c r="R96" s="1454" t="n"/>
      <c r="S96" s="1454" t="n"/>
      <c r="T96" s="808" t="inlineStr">
        <is>
          <t>Property Name</t>
        </is>
      </c>
      <c r="U96" s="1455" t="n"/>
    </row>
    <row r="97">
      <c r="N97" s="1454" t="n"/>
      <c r="O97" s="1454" t="n"/>
      <c r="P97" s="1454" t="n"/>
      <c r="Q97" s="1454" t="n"/>
      <c r="R97" s="1454" t="n"/>
      <c r="S97" s="1454" t="n"/>
      <c r="T97" s="808" t="inlineStr">
        <is>
          <t>Address</t>
        </is>
      </c>
      <c r="U97" s="1452">
        <f>'Property Info'!B17</f>
        <v/>
      </c>
    </row>
    <row r="98">
      <c r="N98" s="1454" t="n"/>
      <c r="O98" s="1454" t="n"/>
      <c r="P98" s="1454" t="n"/>
      <c r="Q98" s="1454" t="n"/>
      <c r="R98" s="1454" t="n"/>
      <c r="S98" s="1454" t="n"/>
      <c r="T98" s="808" t="n"/>
      <c r="U98" s="1452">
        <f>'Property Info'!B18</f>
        <v/>
      </c>
    </row>
    <row r="99" ht="30.75" customHeight="1" s="1449">
      <c r="N99" s="1454" t="n"/>
      <c r="O99" s="1454" t="n"/>
      <c r="P99" s="1454" t="n"/>
      <c r="Q99" s="1454" t="n"/>
      <c r="R99" s="1454" t="n"/>
      <c r="S99" s="1454" t="n"/>
      <c r="T99" s="808" t="inlineStr">
        <is>
          <t>Location</t>
        </is>
      </c>
      <c r="U99" s="1455" t="n"/>
    </row>
    <row r="100">
      <c r="N100" s="1454" t="n"/>
      <c r="O100" s="1454" t="n"/>
      <c r="P100" s="1454" t="n"/>
      <c r="Q100" s="1454" t="n"/>
      <c r="R100" s="1454" t="n"/>
      <c r="S100" s="1454" t="n"/>
      <c r="T100" s="808" t="inlineStr">
        <is>
          <t>Property Description</t>
        </is>
      </c>
      <c r="U100" s="1452">
        <f>U96</f>
        <v/>
      </c>
    </row>
    <row r="101" hidden="1" ht="15" customHeight="1" s="1449">
      <c r="N101" s="1454" t="n"/>
      <c r="O101" s="1454" t="n"/>
      <c r="P101" s="1454" t="n"/>
      <c r="Q101" s="1454" t="n"/>
      <c r="R101" s="1454" t="n"/>
      <c r="S101" s="1454" t="n"/>
      <c r="T101" s="1147" t="inlineStr">
        <is>
          <t>and</t>
        </is>
      </c>
      <c r="U101" s="1455">
        <f>'[7]Improvement Description_2'!C31&amp;" ("&amp;'[7]Improvement Description_2'!C32&amp;")
"&amp;'[7]Improvement Description_2'!C33</f>
        <v/>
      </c>
    </row>
    <row r="102">
      <c r="N102" s="1454" t="n"/>
      <c r="O102" s="1454" t="n"/>
      <c r="P102" s="1454" t="n"/>
      <c r="Q102" s="1454" t="n"/>
      <c r="R102" s="1454" t="n"/>
      <c r="S102" s="1454" t="n"/>
      <c r="T102" s="808" t="inlineStr">
        <is>
          <t>County</t>
        </is>
      </c>
      <c r="U102" s="1468">
        <f>'Property Info'!B19</f>
        <v/>
      </c>
    </row>
    <row r="103">
      <c r="N103" s="1454" t="n"/>
      <c r="O103" s="1454" t="n"/>
      <c r="P103" s="1454" t="n"/>
      <c r="Q103" s="1454" t="n"/>
      <c r="R103" s="1454" t="n"/>
      <c r="S103" s="1454" t="n"/>
      <c r="T103" s="808" t="inlineStr">
        <is>
          <t>Account Number(s)</t>
        </is>
      </c>
      <c r="U103" s="1468">
        <f>'Property Info'!B2</f>
        <v/>
      </c>
    </row>
    <row r="104" ht="49.5" customHeight="1" s="1449">
      <c r="N104" s="1454" t="n"/>
      <c r="O104" s="1454" t="n"/>
      <c r="P104" s="1454" t="n"/>
      <c r="Q104" s="1454" t="n"/>
      <c r="R104" s="1479" t="n"/>
      <c r="S104" s="1479" t="n"/>
      <c r="T104" s="1148" t="inlineStr">
        <is>
          <t>Note:</t>
        </is>
      </c>
      <c r="U104" s="1478" t="n"/>
    </row>
    <row r="105" hidden="1" ht="15" customHeight="1" s="1449">
      <c r="N105" s="1454" t="n"/>
      <c r="O105" s="1454" t="n"/>
      <c r="P105" s="1454" t="n"/>
      <c r="Q105" s="1454" t="n"/>
      <c r="R105" s="1454" t="n"/>
      <c r="S105" s="1454" t="n"/>
      <c r="T105" s="826" t="inlineStr">
        <is>
          <t>Census Tract No.</t>
        </is>
      </c>
      <c r="U105" s="1452">
        <f>pdCensusTract</f>
        <v/>
      </c>
    </row>
    <row r="106">
      <c r="N106" s="1454" t="n"/>
      <c r="O106" s="1454" t="n"/>
      <c r="P106" s="1454" t="n"/>
      <c r="Q106" s="1454" t="n"/>
      <c r="R106" s="1454" t="n"/>
      <c r="S106" s="1454" t="n"/>
      <c r="T106" s="808" t="inlineStr">
        <is>
          <t>Legal Description</t>
        </is>
      </c>
      <c r="U106" s="1455" t="n"/>
    </row>
    <row r="107">
      <c r="N107" s="1454" t="n"/>
      <c r="O107" s="1454" t="n"/>
      <c r="P107" s="1454" t="n"/>
      <c r="Q107" s="1454" t="n"/>
      <c r="R107" s="1454" t="n"/>
      <c r="S107" s="1454" t="n"/>
      <c r="T107" s="808" t="inlineStr">
        <is>
          <t>Site Area</t>
        </is>
      </c>
      <c r="U107" s="1468" t="n"/>
      <c r="V107" s="1148" t="n"/>
      <c r="W107" s="1148" t="n"/>
      <c r="X107" s="1148" t="n"/>
    </row>
    <row r="108">
      <c r="N108" s="1454" t="n"/>
      <c r="O108" s="1454" t="n"/>
      <c r="P108" s="1454" t="n"/>
      <c r="Q108" s="1454" t="n"/>
      <c r="R108" s="1454" t="n"/>
      <c r="S108" s="1454" t="n"/>
      <c r="T108" s="1209" t="inlineStr">
        <is>
          <t>Primary Site</t>
        </is>
      </c>
      <c r="U108" s="1768">
        <f>'Property Info'!B12</f>
        <v/>
      </c>
      <c r="V108" s="1769">
        <f>U108/43560</f>
        <v/>
      </c>
      <c r="W108" s="1148" t="n"/>
      <c r="X108" s="1148" t="n"/>
    </row>
    <row r="109">
      <c r="N109" s="1454" t="n"/>
      <c r="O109" s="1454" t="n"/>
      <c r="P109" s="1454" t="n"/>
      <c r="Q109" s="1454" t="n"/>
      <c r="R109" s="1454" t="n"/>
      <c r="S109" s="1454" t="n"/>
      <c r="T109" s="1209" t="inlineStr">
        <is>
          <t>Excess Land</t>
        </is>
      </c>
      <c r="U109" s="1768" t="n"/>
      <c r="V109" s="1769">
        <f>U109/43560</f>
        <v/>
      </c>
      <c r="W109" s="1148" t="n"/>
      <c r="X109" s="1148" t="n"/>
    </row>
    <row r="110">
      <c r="N110" s="1454" t="n"/>
      <c r="O110" s="1454" t="n"/>
      <c r="P110" s="1454" t="n"/>
      <c r="Q110" s="1454" t="n"/>
      <c r="R110" s="1454" t="n"/>
      <c r="S110" s="1454" t="n"/>
      <c r="T110" s="1209" t="inlineStr">
        <is>
          <t>Surplus Land</t>
        </is>
      </c>
      <c r="U110" s="1768" t="n"/>
      <c r="V110" s="1769">
        <f>U110/43560</f>
        <v/>
      </c>
      <c r="W110" s="1148" t="n"/>
      <c r="X110" s="1148" t="n"/>
    </row>
    <row r="111">
      <c r="N111" s="1454" t="n"/>
      <c r="O111" s="1454" t="n"/>
      <c r="P111" s="1454" t="n"/>
      <c r="Q111" s="1454" t="n"/>
      <c r="R111" s="1454" t="n"/>
      <c r="S111" s="1454" t="n"/>
      <c r="T111" s="826" t="inlineStr">
        <is>
          <t>Total</t>
        </is>
      </c>
      <c r="U111" s="1770">
        <f>SUM(U108:U110)</f>
        <v/>
      </c>
      <c r="V111" s="1771">
        <f>U111/43560</f>
        <v/>
      </c>
      <c r="W111" s="1148" t="n"/>
      <c r="X111" s="1148" t="n"/>
    </row>
    <row r="112">
      <c r="N112" s="1454" t="n"/>
      <c r="O112" s="1454" t="n"/>
      <c r="P112" s="1454" t="n"/>
      <c r="Q112" s="1454" t="n"/>
      <c r="R112" s="1454" t="n"/>
      <c r="S112" s="1454" t="n"/>
      <c r="T112" s="826" t="inlineStr">
        <is>
          <t>Zoning</t>
        </is>
      </c>
      <c r="U112" s="1452">
        <f>'Property Info'!B30</f>
        <v/>
      </c>
    </row>
    <row r="113">
      <c r="N113" s="1454" t="n"/>
      <c r="O113" s="1454" t="n"/>
      <c r="P113" s="1454" t="n"/>
      <c r="Q113" s="1454" t="n"/>
      <c r="R113" s="1454" t="n"/>
      <c r="S113" s="1454" t="n"/>
      <c r="T113" s="826" t="inlineStr">
        <is>
          <t>Flood Status</t>
        </is>
      </c>
      <c r="U113" s="1452">
        <f>'Site Information'!C17</f>
        <v/>
      </c>
    </row>
    <row r="114">
      <c r="N114" s="1454" t="n"/>
      <c r="O114" s="1454" t="n"/>
      <c r="P114" s="1454" t="n"/>
      <c r="Q114" s="1454" t="n"/>
      <c r="R114" s="1454" t="n"/>
      <c r="S114" s="1454" t="n"/>
      <c r="T114" s="826" t="inlineStr">
        <is>
          <t>Year Built</t>
        </is>
      </c>
      <c r="U114" s="1452">
        <f>'Property Info'!B9</f>
        <v/>
      </c>
    </row>
    <row r="115" hidden="1" s="1449">
      <c r="N115" s="1454" t="n"/>
      <c r="O115" s="1454" t="n"/>
      <c r="P115" s="1454" t="n"/>
      <c r="Q115" s="1454" t="n"/>
      <c r="R115" s="1454" t="n"/>
      <c r="S115" s="1454" t="n"/>
      <c r="T115" s="1147" t="inlineStr">
        <is>
          <t>and</t>
        </is>
      </c>
      <c r="U115" s="1455">
        <f>'[7]Improvement Description_2'!C34</f>
        <v/>
      </c>
    </row>
    <row r="116">
      <c r="N116" s="1454" t="n"/>
      <c r="O116" s="1454" t="n"/>
      <c r="P116" s="1454" t="n"/>
      <c r="Q116" s="1454" t="n"/>
      <c r="R116" s="1454" t="n"/>
      <c r="S116" s="1454" t="n"/>
      <c r="T116" s="826" t="inlineStr">
        <is>
          <t>Year Renovated</t>
        </is>
      </c>
      <c r="U116" s="1455" t="n"/>
    </row>
    <row r="117" hidden="1" s="1449">
      <c r="N117" s="1454" t="n"/>
      <c r="O117" s="1454" t="n"/>
      <c r="P117" s="1454" t="n"/>
      <c r="Q117" s="1454" t="n"/>
      <c r="R117" s="1454" t="n"/>
      <c r="S117" s="1454" t="n"/>
      <c r="T117" s="1147" t="inlineStr">
        <is>
          <t>and</t>
        </is>
      </c>
      <c r="U117" s="1452">
        <f>IF(OR('[7]Improvement Description_2'!C35=0,'[7]Improvement Description_2'!C35=""),"N/A",'[7]Improvement Description_2'!C35)</f>
        <v/>
      </c>
    </row>
    <row r="118">
      <c r="N118" s="1454" t="n"/>
      <c r="O118" s="1454" t="n"/>
      <c r="P118" s="1454" t="n"/>
      <c r="Q118" s="1454" t="n"/>
      <c r="R118" s="1454" t="n"/>
      <c r="S118" s="1454" t="n"/>
      <c r="T118" s="826" t="inlineStr">
        <is>
          <t>Type of Construction</t>
        </is>
      </c>
      <c r="U118" s="1455" t="n"/>
    </row>
    <row r="119" hidden="1" s="1449">
      <c r="N119" s="1454" t="n"/>
      <c r="O119" s="1454" t="n"/>
      <c r="P119" s="1454" t="n"/>
      <c r="Q119" s="1454" t="n"/>
      <c r="R119" s="1454" t="n"/>
      <c r="S119" s="1454" t="n"/>
      <c r="T119" s="1147" t="inlineStr">
        <is>
          <t>and</t>
        </is>
      </c>
      <c r="U119" s="1452">
        <f>'[7]Improvement Description_2'!C85</f>
        <v/>
      </c>
    </row>
    <row r="120">
      <c r="N120" s="1454" t="n"/>
      <c r="O120" s="1454" t="n"/>
      <c r="P120" s="1454" t="n"/>
      <c r="Q120" s="1454" t="n"/>
      <c r="R120" s="1454" t="n"/>
      <c r="S120" s="1454" t="n"/>
      <c r="T120" s="826" t="inlineStr">
        <is>
          <t>Number of Buildings</t>
        </is>
      </c>
      <c r="U120" s="1467">
        <f>'Property Info'!B4</f>
        <v/>
      </c>
    </row>
    <row r="121" hidden="1" s="1449">
      <c r="N121" s="1454" t="n"/>
      <c r="O121" s="1454" t="n"/>
      <c r="P121" s="1454" t="n"/>
      <c r="Q121" s="1454" t="n"/>
      <c r="R121" s="1454" t="n"/>
      <c r="S121" s="1454" t="n"/>
      <c r="T121" s="1147" t="inlineStr">
        <is>
          <t>and</t>
        </is>
      </c>
      <c r="U121" s="1452">
        <f>'[7]Improvement Description_2'!C36</f>
        <v/>
      </c>
    </row>
    <row r="122">
      <c r="N122" s="1454" t="n"/>
      <c r="O122" s="1454" t="n"/>
      <c r="P122" s="1454" t="n"/>
      <c r="Q122" s="1454" t="n"/>
      <c r="R122" s="1454" t="n"/>
      <c r="S122" s="1454" t="n"/>
      <c r="T122" s="826" t="inlineStr">
        <is>
          <t>Gross Leasable Area (SF)</t>
        </is>
      </c>
      <c r="U122" s="1772">
        <f>'Property Info'!B5</f>
        <v/>
      </c>
    </row>
    <row r="123" hidden="1" s="1449">
      <c r="N123" s="1454" t="n"/>
      <c r="O123" s="1454" t="n"/>
      <c r="P123" s="1454" t="n"/>
      <c r="Q123" s="1454" t="n"/>
      <c r="R123" s="1454" t="n"/>
      <c r="S123" s="1454" t="n"/>
      <c r="T123" s="1147" t="inlineStr">
        <is>
          <t>and</t>
        </is>
      </c>
      <c r="U123" s="1772">
        <f>'[7]Improvement Description_2'!C39</f>
        <v/>
      </c>
    </row>
    <row r="124" hidden="1" s="1449">
      <c r="N124" s="1454" t="n"/>
      <c r="O124" s="1454" t="n"/>
      <c r="P124" s="1454" t="n"/>
      <c r="Q124" s="1454" t="n"/>
      <c r="R124" s="1454" t="n"/>
      <c r="S124" s="1454" t="n"/>
      <c r="T124" s="826" t="inlineStr">
        <is>
          <t>Net Rentable Area (SF)</t>
        </is>
      </c>
      <c r="U124" s="1772">
        <f>'Property Info'!B7</f>
        <v/>
      </c>
    </row>
    <row r="125" hidden="1" ht="14.25" customHeight="1" s="1449">
      <c r="N125" s="1454" t="n"/>
      <c r="O125" s="1454" t="n"/>
      <c r="P125" s="1454" t="n"/>
      <c r="Q125" s="1454" t="n"/>
      <c r="R125" s="1454" t="n"/>
      <c r="S125" s="1454" t="n"/>
      <c r="T125" s="1147" t="inlineStr">
        <is>
          <t>and</t>
        </is>
      </c>
      <c r="U125" s="1772">
        <f>'[7]Improvement Description_2'!C40</f>
        <v/>
      </c>
    </row>
    <row r="126">
      <c r="N126" s="1454" t="n"/>
      <c r="O126" s="1454" t="n"/>
      <c r="P126" s="1454" t="n"/>
      <c r="Q126" s="1454" t="n"/>
      <c r="R126" s="1479" t="n"/>
      <c r="S126" s="1479" t="n"/>
      <c r="T126" s="826" t="inlineStr">
        <is>
          <t>Total Number of Units</t>
        </is>
      </c>
      <c r="U126" s="1455" t="n"/>
    </row>
    <row r="127">
      <c r="N127" s="1454" t="n"/>
      <c r="O127" s="1454" t="n"/>
      <c r="P127" s="1454" t="n"/>
      <c r="Q127" s="1454" t="n"/>
      <c r="R127" s="1479" t="n"/>
      <c r="S127" s="1479" t="n"/>
      <c r="T127" s="826" t="inlineStr">
        <is>
          <t>Total Number of Tenants</t>
        </is>
      </c>
      <c r="U127" s="1455" t="n"/>
    </row>
    <row r="128">
      <c r="N128" s="1454" t="n"/>
      <c r="O128" s="1454" t="n"/>
      <c r="P128" s="1454" t="n"/>
      <c r="Q128" s="1454" t="n"/>
      <c r="R128" s="1454" t="n"/>
      <c r="S128" s="1454" t="n"/>
      <c r="T128" s="826" t="inlineStr">
        <is>
          <t>Assumed Occupancy</t>
        </is>
      </c>
      <c r="U128" s="1491">
        <f>'Property Info'!B20</f>
        <v/>
      </c>
    </row>
    <row r="129">
      <c r="N129" s="1454" t="n"/>
      <c r="O129" s="1454" t="n"/>
      <c r="P129" s="1454" t="n"/>
      <c r="Q129" s="1454" t="n"/>
      <c r="R129" s="1454" t="n"/>
      <c r="S129" s="1454" t="n"/>
      <c r="T129" s="826" t="inlineStr">
        <is>
          <t>Overall Condition</t>
        </is>
      </c>
      <c r="U129" s="1452">
        <f>'Property Info'!B10</f>
        <v/>
      </c>
    </row>
    <row r="130">
      <c r="N130" s="1454" t="n"/>
      <c r="O130" s="1454" t="n"/>
      <c r="P130" s="1454" t="n"/>
      <c r="Q130" s="1454" t="n"/>
      <c r="R130" s="1454" t="n"/>
      <c r="S130" s="1454" t="n"/>
      <c r="T130" s="826" t="inlineStr">
        <is>
          <t>Overall Quality</t>
        </is>
      </c>
      <c r="U130" s="1467">
        <f>Export030823!U2</f>
        <v/>
      </c>
    </row>
    <row r="131">
      <c r="T131" s="886" t="inlineStr">
        <is>
          <t>Overall Design/Functionality</t>
        </is>
      </c>
      <c r="U131" s="1485">
        <f>Export030823!X2</f>
        <v/>
      </c>
      <c r="V131" s="1464" t="n"/>
      <c r="W131" s="1464" t="n"/>
      <c r="X131" s="1464" t="n"/>
    </row>
    <row r="132" customFormat="1" s="1454">
      <c r="Y132" s="1463" t="inlineStr">
        <is>
          <t>FILL IN ENTIRE TABLE HERE</t>
        </is>
      </c>
      <c r="Z132" s="1464" t="n"/>
      <c r="AA132" s="1464" t="n"/>
      <c r="AB132" s="1464" t="n"/>
    </row>
    <row r="133">
      <c r="Y133" s="1476" t="inlineStr">
        <is>
          <t>APPEAL HISTORY</t>
        </is>
      </c>
      <c r="Z133" s="1477" t="n"/>
      <c r="AA133" s="1477" t="n"/>
      <c r="AB133" s="1477" t="n"/>
    </row>
    <row r="134">
      <c r="Y134" s="417" t="inlineStr">
        <is>
          <t>Docket #:</t>
        </is>
      </c>
      <c r="Z134" s="1486" t="n"/>
    </row>
    <row r="135">
      <c r="Y135" s="1190" t="n"/>
      <c r="Z135" s="1191" t="inlineStr">
        <is>
          <t>Land</t>
        </is>
      </c>
      <c r="AA135" s="1191" t="inlineStr">
        <is>
          <t>Improvements</t>
        </is>
      </c>
      <c r="AB135" s="1191" t="inlineStr">
        <is>
          <t>Total</t>
        </is>
      </c>
    </row>
    <row r="136">
      <c r="Y136" s="824" t="inlineStr">
        <is>
          <t>Assessor's Assigned Value</t>
        </is>
      </c>
      <c r="Z136" s="1773" t="n"/>
      <c r="AA136" s="1774" t="n"/>
      <c r="AB136" s="1774">
        <f>SUM(Z136:AA136)</f>
        <v/>
      </c>
    </row>
    <row r="137">
      <c r="Y137" s="824" t="inlineStr">
        <is>
          <t>Petitioners Estimated Value</t>
        </is>
      </c>
      <c r="Z137" s="1773" t="n"/>
      <c r="AA137" s="1774" t="n"/>
      <c r="AB137" s="1774">
        <f>SUM(Z137:AA137)</f>
        <v/>
      </c>
    </row>
    <row r="138" ht="13.5" customHeight="1" s="1449">
      <c r="Y138" s="417" t="inlineStr">
        <is>
          <t>Adjustment by Assessor</t>
        </is>
      </c>
      <c r="Z138" s="1773" t="n">
        <v>0</v>
      </c>
      <c r="AA138" s="1774" t="n">
        <v>0</v>
      </c>
      <c r="AB138" s="1774">
        <f>SUM(Z138:AA138)</f>
        <v/>
      </c>
    </row>
    <row r="139" ht="6.75" customHeight="1" s="1449">
      <c r="Y139" s="417" t="n"/>
      <c r="Z139" s="1773" t="n"/>
      <c r="AA139" s="1774" t="n"/>
      <c r="AB139" s="1774" t="n"/>
    </row>
    <row r="140" ht="15" customHeight="1" s="1449">
      <c r="Y140" s="417" t="inlineStr">
        <is>
          <t>BOE Assigned Value</t>
        </is>
      </c>
      <c r="Z140" s="1773">
        <f>Z136</f>
        <v/>
      </c>
      <c r="AA140" s="1774">
        <f>AA136</f>
        <v/>
      </c>
      <c r="AB140" s="1774">
        <f>SUM(Z140:AA140)</f>
        <v/>
      </c>
    </row>
    <row r="141" ht="15" customHeight="1" s="1449">
      <c r="Y141" s="1194" t="inlineStr">
        <is>
          <t>BOE #</t>
        </is>
      </c>
      <c r="Z141" s="1457" t="n"/>
      <c r="AB141" s="1775" t="n"/>
    </row>
    <row r="142" ht="15" customHeight="1" s="1449">
      <c r="Y142" s="1196" t="inlineStr">
        <is>
          <t>Adjustment by BOE</t>
        </is>
      </c>
      <c r="Z142" s="1773" t="n">
        <v>0</v>
      </c>
      <c r="AA142" s="1774" t="n">
        <v>0</v>
      </c>
      <c r="AB142" s="1774">
        <f>SUM(Z142:AA142)</f>
        <v/>
      </c>
    </row>
    <row r="143">
      <c r="Y143" s="1197" t="inlineStr">
        <is>
          <t>Current Actual Value</t>
        </is>
      </c>
      <c r="Z143" s="1776">
        <f>Z136</f>
        <v/>
      </c>
      <c r="AA143" s="1777">
        <f>AA136</f>
        <v/>
      </c>
      <c r="AB143" s="1777">
        <f>SUM(Z143:AA143)</f>
        <v/>
      </c>
      <c r="AC143" s="1463" t="inlineStr">
        <is>
          <t>FILL IN ENTIRE TABLE HERE</t>
        </is>
      </c>
      <c r="AD143" s="1464" t="n"/>
      <c r="AE143" s="1464" t="n"/>
      <c r="AF143" s="1464" t="n"/>
    </row>
    <row r="144" hidden="1" s="1449">
      <c r="Y144" s="417" t="inlineStr">
        <is>
          <t>Current Assessed Value</t>
        </is>
      </c>
      <c r="Z144" s="1778" t="n"/>
      <c r="AA144" s="1779" t="n"/>
      <c r="AB144" s="1774">
        <f>SUM(Z144:AA144)</f>
        <v/>
      </c>
    </row>
    <row r="145" hidden="1" s="1449">
      <c r="Y145" s="1189" t="inlineStr">
        <is>
          <t>Current Assessed Value</t>
        </is>
      </c>
      <c r="Z145" s="1780" t="n"/>
      <c r="AA145" s="1781" t="n"/>
      <c r="AB145" s="1777">
        <f>SUM(Z145:AA145)</f>
        <v/>
      </c>
    </row>
    <row r="146" hidden="1" s="1449">
      <c r="Y146" s="417" t="n"/>
      <c r="Z146" s="1465" t="n"/>
    </row>
    <row r="147">
      <c r="Y147" s="417" t="n"/>
      <c r="Z147" s="1124" t="n"/>
      <c r="AA147" s="1184" t="n"/>
      <c r="AB147" s="1184" t="n"/>
      <c r="AC147" s="1482" t="inlineStr">
        <is>
          <t>SUBJECT SALE HISTORY</t>
        </is>
      </c>
    </row>
    <row r="148">
      <c r="Y148" s="824" t="n"/>
      <c r="Z148" s="1782" t="n"/>
      <c r="AA148" s="1783" t="n"/>
      <c r="AB148" s="1184" t="n"/>
      <c r="AC148" s="1065" t="n"/>
      <c r="AD148" s="1204" t="inlineStr">
        <is>
          <t>Status</t>
        </is>
      </c>
      <c r="AE148" s="1204" t="inlineStr">
        <is>
          <t>Price</t>
        </is>
      </c>
      <c r="AF148" s="1204" t="inlineStr">
        <is>
          <t>Price PSF</t>
        </is>
      </c>
    </row>
    <row r="149">
      <c r="Y149" s="824" t="n"/>
      <c r="Z149" s="1782" t="n"/>
      <c r="AA149" s="1783" t="n"/>
      <c r="AB149" s="1184" t="n"/>
      <c r="AC149" s="889" t="inlineStr">
        <is>
          <t>Subject Listed for Sale/Price</t>
        </is>
      </c>
      <c r="AD149" s="1784">
        <f>IF(AE149="N/A","N/A","Currently Listed")</f>
        <v/>
      </c>
      <c r="AE149" s="1785">
        <f>IF('[7]Property History'!T115&gt;0,'[7]Property History'!T115,"N/A")</f>
        <v/>
      </c>
      <c r="AF149" s="1786">
        <f>IFERROR(AE149/GBA,0)</f>
        <v/>
      </c>
    </row>
    <row r="150">
      <c r="Y150" s="824" t="n"/>
      <c r="Z150" s="1782" t="n"/>
      <c r="AA150" s="1783" t="n"/>
      <c r="AB150" s="1184" t="n"/>
      <c r="AC150" s="889" t="inlineStr">
        <is>
          <t>Subject Under Contract/Price</t>
        </is>
      </c>
      <c r="AD150" s="1784">
        <f>IF('[7]Property History'!T122="","N/A",'[7]Property History'!T122)</f>
        <v/>
      </c>
      <c r="AE150" s="1785">
        <f>IF('[7]Property History'!T123&gt;0,'[7]Property History'!T123,"N/A")</f>
        <v/>
      </c>
      <c r="AF150" s="1786">
        <f>IFERROR(AE150/GBA,0)</f>
        <v/>
      </c>
    </row>
    <row r="151">
      <c r="Y151" s="824" t="n"/>
      <c r="Z151" s="1787" t="n"/>
      <c r="AA151" s="1788" t="n"/>
      <c r="AB151" s="1184" t="n"/>
      <c r="AC151" s="889" t="inlineStr">
        <is>
          <t>Recent Sale</t>
        </is>
      </c>
      <c r="AD151" s="1784">
        <f>IF('[7]Property History'!T132="","N/A",'[7]Property History'!T132)</f>
        <v/>
      </c>
      <c r="AE151" s="1785">
        <f>IF('[7]Property History'!T134&gt;0,'[7]Property History'!T134,"N/A")</f>
        <v/>
      </c>
      <c r="AF151" s="1786">
        <f>IFERROR(AE151/GBA,0)</f>
        <v/>
      </c>
    </row>
    <row r="152">
      <c r="Y152" s="824" t="n"/>
      <c r="Z152" s="1448" t="n"/>
      <c r="AC152" s="1205" t="inlineStr">
        <is>
          <t>Recent Sale</t>
        </is>
      </c>
      <c r="AD152" s="1789">
        <f>IF('[7]Property History'!T132="","N/A",'[7]Property History'!T132)</f>
        <v/>
      </c>
      <c r="AE152" s="1790">
        <f>IF('[7]Property History'!T134&gt;0,'[7]Property History'!T134,"N/A")</f>
        <v/>
      </c>
      <c r="AF152" s="1791">
        <f>IFERROR(AE152/GBA,0)</f>
        <v/>
      </c>
    </row>
    <row r="153">
      <c r="Y153" s="824" t="n"/>
      <c r="Z153" s="1448" t="n"/>
    </row>
    <row r="154">
      <c r="Y154" s="1183" t="n"/>
      <c r="Z154" s="1448" t="n"/>
    </row>
    <row r="155">
      <c r="Y155" s="824" t="n"/>
      <c r="Z155" s="1792" t="n"/>
    </row>
    <row r="156">
      <c r="Y156" s="1183" t="n"/>
      <c r="Z156" s="1792" t="n"/>
    </row>
    <row r="157">
      <c r="Y157" s="824" t="n"/>
      <c r="Z157" s="1792" t="n"/>
    </row>
    <row r="158">
      <c r="Y158" s="1183" t="n"/>
      <c r="Z158" s="1792" t="n"/>
    </row>
    <row r="159">
      <c r="Y159" s="824" t="n"/>
      <c r="Z159" s="1448" t="n"/>
    </row>
    <row r="160">
      <c r="Y160" s="824" t="n"/>
      <c r="Z160" s="1448" t="n"/>
    </row>
    <row r="161">
      <c r="Y161" s="824" t="n"/>
      <c r="Z161" s="1793" t="n"/>
    </row>
    <row r="162">
      <c r="Y162" s="824" t="n"/>
      <c r="Z162" s="1448" t="n"/>
    </row>
    <row r="163">
      <c r="Y163" s="824" t="n"/>
      <c r="Z163" s="1448" t="n"/>
    </row>
    <row r="164">
      <c r="Y164" s="1189" t="n"/>
      <c r="Z164" s="1472" t="n"/>
      <c r="AA164" s="1464" t="n"/>
      <c r="AB164" s="1464" t="n"/>
    </row>
  </sheetData>
  <mergeCells count="115">
    <mergeCell ref="Z156:AB156"/>
    <mergeCell ref="R92:S92"/>
    <mergeCell ref="U118:X118"/>
    <mergeCell ref="G28:L28"/>
    <mergeCell ref="H43:L43"/>
    <mergeCell ref="M49:Q49"/>
    <mergeCell ref="H41:L41"/>
    <mergeCell ref="R94:S94"/>
    <mergeCell ref="R84:S84"/>
    <mergeCell ref="U128:X128"/>
    <mergeCell ref="H95:J95"/>
    <mergeCell ref="Z152:AB152"/>
    <mergeCell ref="N75:Q75"/>
    <mergeCell ref="U96:X96"/>
    <mergeCell ref="N53:Q53"/>
    <mergeCell ref="D23:F23"/>
    <mergeCell ref="U105:X105"/>
    <mergeCell ref="Z158:AB158"/>
    <mergeCell ref="U120:X120"/>
    <mergeCell ref="AC147:AF147"/>
    <mergeCell ref="M70:M74"/>
    <mergeCell ref="N61:Q61"/>
    <mergeCell ref="Z160:AB160"/>
    <mergeCell ref="U122:X122"/>
    <mergeCell ref="U131:X131"/>
    <mergeCell ref="U100:X100"/>
    <mergeCell ref="T95:X95"/>
    <mergeCell ref="Z159:AB159"/>
    <mergeCell ref="U106:X106"/>
    <mergeCell ref="U115:X115"/>
    <mergeCell ref="Z134:AB134"/>
    <mergeCell ref="U102:X102"/>
    <mergeCell ref="Z164:AB164"/>
    <mergeCell ref="H29:L29"/>
    <mergeCell ref="R82:S82"/>
    <mergeCell ref="B3:C3"/>
    <mergeCell ref="H38:L38"/>
    <mergeCell ref="H40:L40"/>
    <mergeCell ref="N65:Q65"/>
    <mergeCell ref="N74:Q74"/>
    <mergeCell ref="U119:X119"/>
    <mergeCell ref="N50:Q50"/>
    <mergeCell ref="N51:Q51"/>
    <mergeCell ref="Y133:AB133"/>
    <mergeCell ref="R86:S86"/>
    <mergeCell ref="N66:Q66"/>
    <mergeCell ref="U104:X104"/>
    <mergeCell ref="M50:M58"/>
    <mergeCell ref="N68:Q68"/>
    <mergeCell ref="U97:X97"/>
    <mergeCell ref="N52:Q52"/>
    <mergeCell ref="R81:S81"/>
    <mergeCell ref="H42:L42"/>
    <mergeCell ref="N67:Q67"/>
    <mergeCell ref="N69:Q69"/>
    <mergeCell ref="N78:Q78"/>
    <mergeCell ref="U121:X121"/>
    <mergeCell ref="Z161:AB161"/>
    <mergeCell ref="U114:X114"/>
    <mergeCell ref="U129:X129"/>
    <mergeCell ref="U123:X123"/>
    <mergeCell ref="R90:S90"/>
    <mergeCell ref="N70:Q70"/>
    <mergeCell ref="N79:Q79"/>
    <mergeCell ref="H46:L46"/>
    <mergeCell ref="N54:Q54"/>
    <mergeCell ref="Z162:AB162"/>
    <mergeCell ref="Z153:AB153"/>
    <mergeCell ref="N63:Q63"/>
    <mergeCell ref="U124:X124"/>
    <mergeCell ref="H45:L45"/>
    <mergeCell ref="Z146:AB146"/>
    <mergeCell ref="N56:Q56"/>
    <mergeCell ref="R91:S91"/>
    <mergeCell ref="R85:S85"/>
    <mergeCell ref="Z163:AB163"/>
    <mergeCell ref="U125:X125"/>
    <mergeCell ref="H33:L33"/>
    <mergeCell ref="U112:X112"/>
    <mergeCell ref="N59:Q59"/>
    <mergeCell ref="U127:X127"/>
    <mergeCell ref="H35:L35"/>
    <mergeCell ref="Z155:AB155"/>
    <mergeCell ref="N60:Q60"/>
    <mergeCell ref="U98:X98"/>
    <mergeCell ref="Z141:AA141"/>
    <mergeCell ref="U113:X113"/>
    <mergeCell ref="Z157:AB157"/>
    <mergeCell ref="R87:S87"/>
    <mergeCell ref="H34:L34"/>
    <mergeCell ref="H39:L39"/>
    <mergeCell ref="H30:K30"/>
    <mergeCell ref="N55:Q55"/>
    <mergeCell ref="H36:L36"/>
    <mergeCell ref="U99:X99"/>
    <mergeCell ref="H31:K31"/>
    <mergeCell ref="N72:Q72"/>
    <mergeCell ref="U101:X101"/>
    <mergeCell ref="H37:L37"/>
    <mergeCell ref="N62:Q62"/>
    <mergeCell ref="Y132:AB132"/>
    <mergeCell ref="N71:Q71"/>
    <mergeCell ref="N58:Q58"/>
    <mergeCell ref="U126:X126"/>
    <mergeCell ref="Z154:AB154"/>
    <mergeCell ref="N64:Q64"/>
    <mergeCell ref="R93:S93"/>
    <mergeCell ref="N73:Q73"/>
    <mergeCell ref="U116:X116"/>
    <mergeCell ref="H32:K32"/>
    <mergeCell ref="U130:X130"/>
    <mergeCell ref="AC143:AF143"/>
    <mergeCell ref="U103:X103"/>
    <mergeCell ref="U117:X117"/>
    <mergeCell ref="N57:Q5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B2:P37"/>
  <sheetViews>
    <sheetView zoomScale="175" zoomScaleNormal="175" workbookViewId="0">
      <selection activeCell="F32" sqref="F32"/>
    </sheetView>
  </sheetViews>
  <sheetFormatPr baseColWidth="8" defaultRowHeight="15"/>
  <cols>
    <col width="32.42578125" customWidth="1" style="1449" min="2" max="2"/>
    <col width="14.85546875" customWidth="1" style="1449" min="3" max="3"/>
    <col width="21.85546875" bestFit="1" customWidth="1" style="1449" min="4" max="4"/>
    <col width="14" bestFit="1" customWidth="1" style="1449" min="5" max="5"/>
    <col width="23.28515625" customWidth="1" style="1449" min="6" max="6"/>
    <col width="19.42578125" customWidth="1" style="1449" min="7" max="9"/>
    <col width="13.5703125" customWidth="1" style="1449" min="13" max="13"/>
  </cols>
  <sheetData>
    <row r="2">
      <c r="B2" s="1493" t="inlineStr">
        <is>
          <t>MARKET DATA</t>
        </is>
      </c>
    </row>
    <row r="3">
      <c r="B3" s="889" t="inlineStr">
        <is>
          <t>Surrounding Area</t>
        </is>
      </c>
      <c r="C3" s="1212" t="inlineStr">
        <is>
          <t xml:space="preserve">Industrial </t>
        </is>
      </c>
      <c r="D3" s="889" t="inlineStr">
        <is>
          <t>Market Trend</t>
        </is>
      </c>
      <c r="E3" s="1496" t="inlineStr">
        <is>
          <t>Growth</t>
        </is>
      </c>
    </row>
    <row r="4">
      <c r="B4" s="889" t="inlineStr">
        <is>
          <t>Overall Real Estate Values</t>
        </is>
      </c>
      <c r="C4" s="1212" t="inlineStr">
        <is>
          <t xml:space="preserve">Increasing </t>
        </is>
      </c>
      <c r="D4" s="889" t="inlineStr">
        <is>
          <t>Neighborhood Vacancy</t>
        </is>
      </c>
      <c r="E4" s="1214" t="n"/>
    </row>
    <row r="5" ht="15" customHeight="1" s="1449">
      <c r="B5" s="889" t="inlineStr">
        <is>
          <t>Predominant Property Use(s)</t>
        </is>
      </c>
      <c r="C5" s="1458" t="inlineStr">
        <is>
          <t>Industrial
Neighborhood Retail
Lodging</t>
        </is>
      </c>
      <c r="D5" s="889" t="inlineStr">
        <is>
          <t>Estimated Marketing</t>
        </is>
      </c>
      <c r="E5" s="1496" t="inlineStr">
        <is>
          <t>12 months</t>
        </is>
      </c>
    </row>
    <row r="6" ht="30.75" customHeight="1" s="1449">
      <c r="D6" s="889" t="inlineStr">
        <is>
          <t>Estimated Exposure</t>
        </is>
      </c>
      <c r="E6" s="1496" t="inlineStr">
        <is>
          <t>12 months</t>
        </is>
      </c>
    </row>
    <row r="7">
      <c r="B7" s="889" t="inlineStr">
        <is>
          <t>Market Subsector(s)</t>
        </is>
      </c>
      <c r="C7" s="1073" t="n"/>
      <c r="D7" s="1494" t="n"/>
      <c r="E7" s="1495" t="n"/>
      <c r="F7" t="inlineStr">
        <is>
          <t>←Change this</t>
        </is>
      </c>
    </row>
    <row r="8">
      <c r="B8" s="1496" t="inlineStr">
        <is>
          <t>Vacancy - CoStar - Industrial 20,000 SF-50,000 SF</t>
        </is>
      </c>
      <c r="D8" s="1500" t="n"/>
      <c r="E8" s="1501" t="n"/>
      <c r="F8" t="inlineStr">
        <is>
          <t>←From Income</t>
        </is>
      </c>
    </row>
    <row r="9">
      <c r="B9" s="889" t="n"/>
      <c r="C9" s="1073" t="n"/>
      <c r="D9" s="1494">
        <f>D7</f>
        <v/>
      </c>
      <c r="E9" s="1495" t="n"/>
      <c r="F9" t="inlineStr">
        <is>
          <t>←Change This</t>
        </is>
      </c>
    </row>
    <row r="10">
      <c r="B10" s="1498" t="inlineStr">
        <is>
          <t>Vacancy - CoStar - Industrial 20,000 SF-50,000 SF</t>
        </is>
      </c>
      <c r="C10" s="1464" t="n"/>
      <c r="D10" s="1503" t="n"/>
      <c r="E10" s="1504" t="n"/>
      <c r="F10" t="inlineStr">
        <is>
          <t>←From Income</t>
        </is>
      </c>
    </row>
    <row r="11">
      <c r="F11" s="1493" t="inlineStr">
        <is>
          <t>NEIGHBORHOOD DATA</t>
        </is>
      </c>
    </row>
    <row r="12" ht="173.25" customHeight="1" s="1449">
      <c r="F12" s="896" t="inlineStr">
        <is>
          <t>Market Area Comments</t>
        </is>
      </c>
      <c r="G12" s="1458" t="n"/>
    </row>
    <row r="13">
      <c r="F13" s="1502" t="inlineStr">
        <is>
          <t>Surrounding Uses</t>
        </is>
      </c>
      <c r="G13" s="1051" t="n"/>
      <c r="H13" s="1496" t="inlineStr">
        <is>
          <t>Industrial Lots</t>
        </is>
      </c>
    </row>
    <row r="14">
      <c r="G14" s="1051" t="n"/>
      <c r="H14" s="1496" t="inlineStr">
        <is>
          <t>Light Industrial</t>
        </is>
      </c>
    </row>
    <row r="15">
      <c r="G15" s="1051" t="n"/>
      <c r="H15" s="1496" t="inlineStr">
        <is>
          <t xml:space="preserve">Industrial Storage Lot </t>
        </is>
      </c>
    </row>
    <row r="16">
      <c r="F16" s="1464" t="n"/>
      <c r="G16" s="1052" t="n"/>
      <c r="H16" s="1498" t="inlineStr">
        <is>
          <t>Light Industrial</t>
        </is>
      </c>
      <c r="I16" s="1464" t="n"/>
    </row>
    <row r="17" hidden="1" ht="15" customHeight="1" s="1449">
      <c r="F17" s="897" t="inlineStr">
        <is>
          <t>Property Contact Interview</t>
        </is>
      </c>
      <c r="G17" s="1499">
        <f>clInspectionContactName</f>
        <v/>
      </c>
      <c r="H17" s="1464" t="n"/>
      <c r="I17" s="1464" t="n"/>
    </row>
    <row r="18" ht="51.75" customHeight="1" s="1449">
      <c r="I18" s="1343" t="inlineStr">
        <is>
          <t>CHANGE →</t>
        </is>
      </c>
      <c r="J18" s="1497" t="inlineStr">
        <is>
          <t>Average Sale Price - Denver Market Industrial - 10,000 SF-50,000 SF</t>
        </is>
      </c>
      <c r="N18" s="1497" t="inlineStr">
        <is>
          <t>Average Sale Price - Adams County Industrial - 10,000 SF-50,000 SF</t>
        </is>
      </c>
    </row>
    <row r="19" ht="25.5" customHeight="1" s="1449">
      <c r="J19" s="1340" t="inlineStr">
        <is>
          <t>Period</t>
        </is>
      </c>
      <c r="K19" s="1341" t="inlineStr">
        <is>
          <t>Avg. Price ($/SF)</t>
        </is>
      </c>
      <c r="L19" s="1341" t="inlineStr">
        <is>
          <t>% Change - Q2 2020</t>
        </is>
      </c>
      <c r="M19" s="1342" t="inlineStr">
        <is>
          <t>←CHANGE →</t>
        </is>
      </c>
      <c r="N19" s="1340" t="inlineStr">
        <is>
          <t>Period</t>
        </is>
      </c>
      <c r="O19" s="1341" t="inlineStr">
        <is>
          <t>Avg. Price ($/SF)</t>
        </is>
      </c>
      <c r="P19" s="1341" t="inlineStr">
        <is>
          <t>% Change - Q2 2020</t>
        </is>
      </c>
    </row>
    <row r="20" ht="15" customHeight="1" s="1449">
      <c r="J20" s="601" t="n"/>
      <c r="K20" s="1794" t="n"/>
      <c r="L20" s="603" t="n"/>
      <c r="N20" s="601" t="n"/>
      <c r="O20" s="1794" t="n"/>
      <c r="P20" s="603" t="n"/>
    </row>
    <row r="21">
      <c r="J21" s="601" t="n"/>
      <c r="K21" s="1794" t="n"/>
      <c r="L21" s="1795" t="n"/>
      <c r="N21" s="601" t="n"/>
      <c r="O21" s="1794" t="n"/>
      <c r="P21" s="1795" t="n"/>
    </row>
    <row r="22">
      <c r="J22" s="601" t="n"/>
      <c r="K22" s="1794" t="n"/>
      <c r="L22" s="1795" t="n"/>
      <c r="N22" s="601" t="n"/>
      <c r="O22" s="1794" t="n"/>
      <c r="P22" s="1795" t="n"/>
    </row>
    <row r="23">
      <c r="J23" s="601" t="n"/>
      <c r="K23" s="1794" t="n"/>
      <c r="L23" s="1795" t="n"/>
      <c r="N23" s="601" t="n"/>
      <c r="O23" s="1794" t="n"/>
      <c r="P23" s="1795" t="n"/>
    </row>
    <row r="24">
      <c r="J24" s="601" t="n"/>
      <c r="K24" s="1794" t="n"/>
      <c r="L24" s="1795" t="n"/>
      <c r="N24" s="601" t="n"/>
      <c r="O24" s="1794" t="n"/>
      <c r="P24" s="1795" t="n"/>
    </row>
    <row r="25">
      <c r="J25" s="601" t="n"/>
      <c r="K25" s="1794" t="n"/>
      <c r="L25" s="1795" t="n"/>
      <c r="N25" s="601" t="n"/>
      <c r="O25" s="1794" t="n"/>
      <c r="P25" s="1795" t="n"/>
    </row>
    <row r="26">
      <c r="J26" s="601" t="n"/>
      <c r="K26" s="1794" t="n"/>
      <c r="L26" s="1795" t="n"/>
      <c r="N26" s="601" t="n"/>
      <c r="O26" s="1794" t="n"/>
      <c r="P26" s="1795" t="n"/>
    </row>
    <row r="27">
      <c r="J27" s="601" t="n"/>
      <c r="K27" s="1794" t="n"/>
      <c r="L27" s="1795" t="n"/>
      <c r="N27" s="601" t="n"/>
      <c r="O27" s="1794" t="n"/>
      <c r="P27" s="1795" t="n"/>
    </row>
    <row r="28">
      <c r="J28" s="601" t="n"/>
      <c r="K28" s="1794" t="n"/>
      <c r="L28" s="1795" t="n"/>
      <c r="N28" s="601" t="n"/>
      <c r="O28" s="1794" t="n"/>
      <c r="P28" s="1795" t="n"/>
    </row>
    <row r="29">
      <c r="J29" s="601" t="n"/>
      <c r="K29" s="1794" t="n"/>
      <c r="L29" s="1795" t="n"/>
      <c r="N29" s="601" t="n"/>
      <c r="O29" s="1794" t="n"/>
      <c r="P29" s="1795" t="n"/>
    </row>
    <row r="30">
      <c r="J30" s="601" t="n"/>
      <c r="K30" s="1794" t="n"/>
      <c r="L30" s="1795" t="n"/>
      <c r="N30" s="601" t="n"/>
      <c r="O30" s="1794" t="n"/>
      <c r="P30" s="1795" t="n"/>
    </row>
    <row r="31">
      <c r="J31" s="601" t="n"/>
      <c r="K31" s="1794" t="n"/>
      <c r="L31" s="1795" t="n"/>
      <c r="N31" s="601" t="n"/>
      <c r="O31" s="1794" t="n"/>
      <c r="P31" s="1795" t="n"/>
    </row>
    <row r="32">
      <c r="J32" s="601" t="n"/>
      <c r="K32" s="1794" t="n"/>
      <c r="L32" s="1795" t="n"/>
      <c r="N32" s="601" t="n"/>
      <c r="O32" s="1794" t="n"/>
      <c r="P32" s="1795" t="n"/>
    </row>
    <row r="33">
      <c r="J33" s="601" t="n"/>
      <c r="K33" s="1794" t="n"/>
      <c r="L33" s="1795" t="n"/>
      <c r="N33" s="601" t="n"/>
      <c r="O33" s="1794" t="n"/>
      <c r="P33" s="1795" t="n"/>
    </row>
    <row r="34">
      <c r="J34" s="601" t="n"/>
      <c r="K34" s="1794" t="n"/>
      <c r="L34" s="1795" t="n"/>
      <c r="N34" s="601" t="n"/>
      <c r="O34" s="1794" t="n"/>
      <c r="P34" s="1795" t="n"/>
    </row>
    <row r="35">
      <c r="J35" s="601" t="n"/>
      <c r="K35" s="1794" t="n"/>
      <c r="L35" s="1795" t="n"/>
      <c r="N35" s="601" t="n"/>
      <c r="O35" s="1794" t="n"/>
      <c r="P35" s="1795" t="n"/>
    </row>
    <row r="36">
      <c r="J36" s="832" t="n"/>
      <c r="K36" s="1796" t="n"/>
      <c r="L36" s="1797" t="n"/>
      <c r="N36" s="601" t="n"/>
      <c r="O36" s="1794" t="n"/>
      <c r="P36" s="1795" t="n"/>
    </row>
    <row r="37">
      <c r="J37" s="605" t="n"/>
      <c r="K37" s="1798" t="n"/>
      <c r="L37" s="1799" t="n"/>
      <c r="N37" s="605" t="n"/>
      <c r="O37" s="1798" t="n"/>
      <c r="P37" s="1799" t="n"/>
    </row>
  </sheetData>
  <mergeCells count="18">
    <mergeCell ref="D8:E8"/>
    <mergeCell ref="H13:I13"/>
    <mergeCell ref="D10:E10"/>
    <mergeCell ref="F13:F16"/>
    <mergeCell ref="H16:I16"/>
    <mergeCell ref="D7:E7"/>
    <mergeCell ref="J18:L18"/>
    <mergeCell ref="N18:P18"/>
    <mergeCell ref="F11:I11"/>
    <mergeCell ref="H15:I15"/>
    <mergeCell ref="B10:C10"/>
    <mergeCell ref="G17:I17"/>
    <mergeCell ref="G12:I12"/>
    <mergeCell ref="B2:E2"/>
    <mergeCell ref="D9:E9"/>
    <mergeCell ref="B8:C8"/>
    <mergeCell ref="H14:I14"/>
    <mergeCell ref="C5:C6"/>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B2:J47"/>
  <sheetViews>
    <sheetView zoomScale="145" zoomScaleNormal="145" workbookViewId="0">
      <selection activeCell="I48" sqref="I48"/>
    </sheetView>
  </sheetViews>
  <sheetFormatPr baseColWidth="8" defaultRowHeight="15"/>
  <cols>
    <col width="3.140625" customWidth="1" style="1449" min="1" max="1"/>
    <col width="30" customWidth="1" style="1449" min="2" max="2"/>
    <col width="18.42578125" bestFit="1" customWidth="1" style="1449" min="3" max="3"/>
    <col width="16.28515625" bestFit="1" customWidth="1" style="1449" min="4" max="4"/>
    <col width="13.140625" bestFit="1" customWidth="1" style="1449" min="5" max="5"/>
    <col width="21.42578125" customWidth="1" style="1449" min="6" max="6"/>
    <col width="17.7109375" customWidth="1" style="1449" min="8" max="8"/>
    <col width="61.7109375" customWidth="1" style="1449" min="9" max="9"/>
    <col width="31.85546875" customWidth="1" style="1449" min="10" max="11"/>
  </cols>
  <sheetData>
    <row r="1" ht="8.25" customHeight="1" s="1449"/>
    <row r="2">
      <c r="B2" s="1506" t="inlineStr">
        <is>
          <t>SITE DESCRIPTION OVERVIEW</t>
        </is>
      </c>
    </row>
    <row r="3" ht="7.5" customHeight="1" s="1449">
      <c r="B3" s="811" t="n"/>
      <c r="C3" s="1508" t="n"/>
    </row>
    <row r="4" ht="36" customHeight="1" s="1449">
      <c r="B4" s="807" t="inlineStr">
        <is>
          <t>Location</t>
        </is>
      </c>
      <c r="C4" s="1509">
        <f>FE!U99</f>
        <v/>
      </c>
    </row>
    <row r="5">
      <c r="B5" s="807" t="inlineStr">
        <is>
          <t>Account Number</t>
        </is>
      </c>
      <c r="C5" s="1508">
        <f>FE!U103</f>
        <v/>
      </c>
    </row>
    <row r="6">
      <c r="B6" s="807" t="inlineStr">
        <is>
          <t>Legal Description</t>
        </is>
      </c>
      <c r="C6" s="1509">
        <f>FE!U106</f>
        <v/>
      </c>
    </row>
    <row r="7">
      <c r="B7" s="807" t="inlineStr">
        <is>
          <t>Site Area</t>
        </is>
      </c>
      <c r="C7" s="1508" t="n"/>
      <c r="D7" s="835" t="n"/>
      <c r="E7" s="835" t="n"/>
      <c r="F7" s="835" t="n"/>
    </row>
    <row r="8">
      <c r="B8" s="812" t="inlineStr">
        <is>
          <t>Primary Site</t>
        </is>
      </c>
      <c r="C8" s="1800">
        <f>FE!U108</f>
        <v/>
      </c>
      <c r="D8" s="1801">
        <f>FE!V108</f>
        <v/>
      </c>
      <c r="E8" s="835" t="n"/>
      <c r="F8" s="835" t="n"/>
    </row>
    <row r="9">
      <c r="B9" s="812" t="inlineStr">
        <is>
          <t>Excess Land</t>
        </is>
      </c>
      <c r="C9" s="1800">
        <f>FE!U109</f>
        <v/>
      </c>
      <c r="D9" s="1801">
        <f>FE!V109</f>
        <v/>
      </c>
      <c r="E9" s="835" t="n"/>
      <c r="F9" s="835" t="n"/>
    </row>
    <row r="10">
      <c r="B10" s="812" t="inlineStr">
        <is>
          <t>Surplus Land</t>
        </is>
      </c>
      <c r="C10" s="1800">
        <f>FE!U110</f>
        <v/>
      </c>
      <c r="D10" s="1801">
        <f>FE!V110</f>
        <v/>
      </c>
      <c r="E10" s="835" t="n"/>
      <c r="F10" s="835" t="n"/>
    </row>
    <row r="11">
      <c r="B11" s="812" t="inlineStr">
        <is>
          <t>Total</t>
        </is>
      </c>
      <c r="C11" s="1802">
        <f>FE!U111</f>
        <v/>
      </c>
      <c r="D11" s="1803">
        <f>FE!V111</f>
        <v/>
      </c>
      <c r="E11" s="835" t="n"/>
      <c r="F11" s="835" t="n"/>
    </row>
    <row r="12" ht="48" customHeight="1" s="1449">
      <c r="B12" s="809" t="inlineStr">
        <is>
          <t>Configuration</t>
        </is>
      </c>
      <c r="C12" s="1505" t="n"/>
    </row>
    <row r="13">
      <c r="B13" s="809" t="inlineStr">
        <is>
          <t>Topography</t>
        </is>
      </c>
      <c r="C13" s="1505" t="inlineStr">
        <is>
          <t>Generally Level</t>
        </is>
      </c>
    </row>
    <row r="14">
      <c r="B14" s="809" t="inlineStr">
        <is>
          <t>Drainage</t>
        </is>
      </c>
      <c r="C14" s="1505" t="inlineStr">
        <is>
          <t>Appears adequate</t>
        </is>
      </c>
    </row>
    <row r="15">
      <c r="B15" s="809" t="inlineStr">
        <is>
          <t>Utilities/Municipal Services</t>
        </is>
      </c>
      <c r="C15" s="1505" t="inlineStr">
        <is>
          <t>Typical utilities and municipal services available to site.</t>
        </is>
      </c>
    </row>
    <row r="16">
      <c r="B16" s="826" t="inlineStr">
        <is>
          <t>Floodplain</t>
        </is>
      </c>
      <c r="C16" s="827" t="inlineStr">
        <is>
          <t>Zone</t>
        </is>
      </c>
      <c r="D16" s="828" t="inlineStr">
        <is>
          <t>Map</t>
        </is>
      </c>
      <c r="E16" s="828" t="inlineStr">
        <is>
          <t>Date</t>
        </is>
      </c>
      <c r="F16" s="825" t="n"/>
    </row>
    <row r="17">
      <c r="B17" s="809" t="n"/>
      <c r="C17" s="1215" t="inlineStr">
        <is>
          <t>Zone X (Unshaded)</t>
        </is>
      </c>
      <c r="D17" s="1216" t="n"/>
      <c r="E17" s="1804" t="n"/>
      <c r="F17" s="825" t="n"/>
      <c r="I17" t="inlineStr">
        <is>
          <t>Zone A</t>
        </is>
      </c>
      <c r="J17" t="inlineStr">
        <is>
          <t>Zone X (Shaded)</t>
        </is>
      </c>
    </row>
    <row r="18" ht="111.75" customHeight="1" s="1449">
      <c r="B18" s="886" t="n"/>
      <c r="C18" s="1507" t="inlineStr">
        <is>
          <t>Zone X (unshaded) is a Non-Special Flood Hazard Area (NSFHA) of minimal flood hazard, usually depicted on Flood Insurance Rate Maps (FIRM) as above the 500-year flood level. This is an area in a low to moderate risk flood zone that is not in any immediate danger from flooding caused by overflowing rivers or hard rains. In communities that participate in the National Flood Insurance Program (NFIP), flood insurance is available to all property owners and renters in this zone.</t>
        </is>
      </c>
      <c r="D18" s="1464" t="n"/>
      <c r="E18" s="1464" t="n"/>
      <c r="F18" s="1464" t="n"/>
    </row>
    <row r="19" hidden="1" s="1449">
      <c r="B19" s="810" t="inlineStr">
        <is>
          <t>Census Tract No.</t>
        </is>
      </c>
      <c r="C19" s="1511">
        <f>pdCensusTract</f>
        <v/>
      </c>
      <c r="D19" s="1464" t="n"/>
      <c r="E19" s="1464" t="n"/>
      <c r="F19" s="1464" t="n"/>
    </row>
    <row r="20">
      <c r="B20" s="809" t="n"/>
      <c r="C20" s="1518" t="n"/>
      <c r="D20" s="871" t="n"/>
      <c r="E20" s="871" t="n"/>
      <c r="F20" s="871" t="n"/>
    </row>
    <row r="21">
      <c r="B21" s="1506" t="inlineStr">
        <is>
          <t>SITE DESCRIPTION OVERVIEW - CONTINUED</t>
        </is>
      </c>
    </row>
    <row r="22" ht="68.25" customHeight="1" s="1449">
      <c r="B22" s="809" t="inlineStr">
        <is>
          <t>Soil/Subsoil Conditions</t>
        </is>
      </c>
      <c r="C22" s="1505" t="inlineStr">
        <is>
          <t>We did not receive nor review a soil report.  However, we assume that the soil's load-bearing capacity is sufficient to support existing structure(s).  We did not observe any evidence to the contrary during our physical inspection of the property.</t>
        </is>
      </c>
    </row>
    <row r="23" ht="33" customHeight="1" s="1449">
      <c r="B23" s="809" t="inlineStr">
        <is>
          <t>Environmental Concerns</t>
        </is>
      </c>
      <c r="C23" s="1505" t="inlineStr">
        <is>
          <t>No unusual conditions observed.  No studies provided.  Site is assumed to be free of any environmental concerns.</t>
        </is>
      </c>
    </row>
    <row r="24" ht="60" customHeight="1" s="1449">
      <c r="B24" s="809" t="inlineStr">
        <is>
          <t>Land Use Restrictions</t>
        </is>
      </c>
      <c r="C24" s="1505" t="n"/>
    </row>
    <row r="25">
      <c r="B25" s="809" t="inlineStr">
        <is>
          <t>Hazards Nuisances</t>
        </is>
      </c>
      <c r="C25" s="1505" t="inlineStr">
        <is>
          <t>None noted</t>
        </is>
      </c>
    </row>
    <row r="26">
      <c r="B26" s="809" t="inlineStr">
        <is>
          <t>Frontage</t>
        </is>
      </c>
      <c r="C26" s="1505" t="n"/>
    </row>
    <row r="27" ht="31.5" customHeight="1" s="1449">
      <c r="B27" s="809" t="inlineStr">
        <is>
          <t>Access</t>
        </is>
      </c>
      <c r="C27" s="1505" t="n"/>
    </row>
    <row r="28" ht="33" customHeight="1" s="1449">
      <c r="B28" s="809" t="inlineStr">
        <is>
          <t>Visibility</t>
        </is>
      </c>
      <c r="C28" s="1505" t="n"/>
    </row>
    <row r="29">
      <c r="B29" s="809" t="inlineStr">
        <is>
          <t>Surrounding Land Uses</t>
        </is>
      </c>
      <c r="C29" s="1505" t="inlineStr">
        <is>
          <t>Light to medium-intensity industrial</t>
        </is>
      </c>
    </row>
    <row r="30">
      <c r="B30" s="809" t="inlineStr">
        <is>
          <t>Enterprise Zone</t>
        </is>
      </c>
      <c r="C30" s="1505" t="inlineStr">
        <is>
          <t>None noted</t>
        </is>
      </c>
    </row>
    <row r="31" ht="37.5" customHeight="1" s="1449">
      <c r="B31" s="809" t="inlineStr">
        <is>
          <t>Traffic Counts</t>
        </is>
      </c>
      <c r="C31" s="1505" t="n"/>
    </row>
    <row r="32" ht="36" customHeight="1" s="1449">
      <c r="B32" s="809" t="inlineStr">
        <is>
          <t>Transportation Facilities</t>
        </is>
      </c>
      <c r="C32" s="1505" t="n"/>
    </row>
    <row r="33" ht="103.5" customHeight="1" s="1449">
      <c r="B33" s="810" t="inlineStr">
        <is>
          <t>Comments</t>
        </is>
      </c>
      <c r="C33" s="1513" t="n"/>
      <c r="D33" s="1464" t="n"/>
      <c r="E33" s="1464" t="n"/>
      <c r="F33" s="1464" t="n"/>
    </row>
    <row r="35">
      <c r="H35" s="1510" t="inlineStr">
        <is>
          <t>ZONING</t>
        </is>
      </c>
    </row>
    <row r="36">
      <c r="H36" s="1053" t="inlineStr">
        <is>
          <t>Designation</t>
        </is>
      </c>
      <c r="I36" s="1218" t="n"/>
    </row>
    <row r="37">
      <c r="H37" s="1054" t="inlineStr">
        <is>
          <t>Description</t>
        </is>
      </c>
      <c r="I37" s="1218" t="inlineStr">
        <is>
          <t>Industrial-1 (Light Industrial)</t>
        </is>
      </c>
    </row>
    <row r="38" ht="140.25" customHeight="1" s="1449">
      <c r="H38" s="1053" t="inlineStr">
        <is>
          <t>Zoning Intent</t>
        </is>
      </c>
      <c r="I38" s="1218" t="inlineStr">
        <is>
          <t>The purpose of the Industrial‐1 District is to provide a general commercial and limited industrial district designed to provide for a variety of compatible business, warehouse, wholesale, offices and very limited industrial uses. Special uses are permitted in an Industrial‐1 District, subject to the issuance of a Special Use Permit from the Board of Adjustment. Temporary uses are permitted in the Industrial‐1 District, subject to the issuance of a Temporary Use Permit from the Director of Community and Economic Development.</t>
        </is>
      </c>
    </row>
    <row r="39">
      <c r="H39" s="1054" t="inlineStr">
        <is>
          <t>Compliance</t>
        </is>
      </c>
      <c r="I39" s="1219" t="inlineStr">
        <is>
          <t>The subject is a legal confirming use in the I-1 zoning designation.</t>
        </is>
      </c>
    </row>
    <row r="40">
      <c r="H40" s="1512" t="inlineStr">
        <is>
          <t>ZONING REQUIREMENTS</t>
        </is>
      </c>
    </row>
    <row r="41">
      <c r="H41" s="1055" t="inlineStr">
        <is>
          <t>Min. Lot Size:</t>
        </is>
      </c>
      <c r="I41" s="1220" t="inlineStr">
        <is>
          <t>1 Acre</t>
        </is>
      </c>
    </row>
    <row r="42">
      <c r="H42" s="1055" t="inlineStr">
        <is>
          <t>Min. Lot Width:</t>
        </is>
      </c>
      <c r="I42" s="1221" t="inlineStr">
        <is>
          <t>100 Feet</t>
        </is>
      </c>
    </row>
    <row r="43">
      <c r="H43" s="1454" t="inlineStr">
        <is>
          <t>Setbacks:</t>
        </is>
      </c>
      <c r="I43" s="1222" t="n"/>
    </row>
    <row r="44">
      <c r="H44" s="1056" t="inlineStr">
        <is>
          <t>Front</t>
        </is>
      </c>
      <c r="I44" s="1140" t="inlineStr">
        <is>
          <t>25 Feet</t>
        </is>
      </c>
    </row>
    <row r="45" ht="30" customHeight="1" s="1449">
      <c r="H45" s="1056" t="inlineStr">
        <is>
          <t>Side</t>
        </is>
      </c>
      <c r="I45" s="1223" t="inlineStr">
        <is>
          <t xml:space="preserve">15 feet on one side and five 5 feet on the other side; 0 foot setbacks may be approved for fireproof structures. </t>
        </is>
      </c>
    </row>
    <row r="46">
      <c r="H46" s="1056" t="inlineStr">
        <is>
          <t>Rear</t>
        </is>
      </c>
      <c r="I46" s="1140" t="inlineStr">
        <is>
          <t>15 Feet</t>
        </is>
      </c>
    </row>
    <row r="47">
      <c r="H47" s="1057" t="inlineStr">
        <is>
          <t>Maximum Height:</t>
        </is>
      </c>
      <c r="I47" s="1224" t="inlineStr">
        <is>
          <t>60 Feet</t>
        </is>
      </c>
    </row>
  </sheetData>
  <mergeCells count="26">
    <mergeCell ref="H35:I35"/>
    <mergeCell ref="C23:F23"/>
    <mergeCell ref="C32:F32"/>
    <mergeCell ref="C19:F19"/>
    <mergeCell ref="H40:I40"/>
    <mergeCell ref="C28:F28"/>
    <mergeCell ref="C13:F13"/>
    <mergeCell ref="B21:F21"/>
    <mergeCell ref="C18:F18"/>
    <mergeCell ref="C3:F3"/>
    <mergeCell ref="B2:F2"/>
    <mergeCell ref="C6:F6"/>
    <mergeCell ref="C30:F30"/>
    <mergeCell ref="C15:F15"/>
    <mergeCell ref="C33:F33"/>
    <mergeCell ref="C24:F24"/>
    <mergeCell ref="C5:F5"/>
    <mergeCell ref="C14:F14"/>
    <mergeCell ref="C4:F4"/>
    <mergeCell ref="C26:F26"/>
    <mergeCell ref="C29:F29"/>
    <mergeCell ref="C25:F25"/>
    <mergeCell ref="C22:F22"/>
    <mergeCell ref="C31:F31"/>
    <mergeCell ref="C12:F12"/>
    <mergeCell ref="C27:F2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B2:F99"/>
  <sheetViews>
    <sheetView zoomScale="130" zoomScaleNormal="130" workbookViewId="0">
      <selection activeCell="C98" sqref="C97:F98"/>
    </sheetView>
  </sheetViews>
  <sheetFormatPr baseColWidth="8" defaultRowHeight="15"/>
  <cols>
    <col width="3.85546875" customWidth="1" style="1449" min="1" max="1"/>
    <col width="30.140625" customWidth="1" style="1449" min="2" max="2"/>
    <col width="14.85546875" customWidth="1" style="1449" min="3" max="3"/>
    <col width="18.42578125" customWidth="1" style="1449" min="4" max="5"/>
    <col width="20.42578125" customWidth="1" style="1449" min="6" max="6"/>
    <col width="22.42578125" customWidth="1" style="1449" min="7" max="7"/>
  </cols>
  <sheetData>
    <row r="2">
      <c r="B2" s="1506">
        <f>IF(OR(pdGenPropUse2="",pdGenPropUse2=0),"GENERAL DESCRIPTION OVERVIEW", "GENERAL DESCRIPTION OVERVIEW - "&amp;UPPER(pdGenPropUse))</f>
        <v/>
      </c>
    </row>
    <row r="3">
      <c r="B3" s="417" t="inlineStr">
        <is>
          <t>Address</t>
        </is>
      </c>
      <c r="C3" s="1532">
        <f>'Property Info'!B17</f>
        <v/>
      </c>
    </row>
    <row r="4">
      <c r="B4" s="808" t="n"/>
      <c r="C4" s="1518">
        <f>'Property Info'!B18</f>
        <v/>
      </c>
    </row>
    <row r="5">
      <c r="B5" s="807" t="inlineStr">
        <is>
          <t>Property Description</t>
        </is>
      </c>
      <c r="C5" s="1518">
        <f>FE!U100</f>
        <v/>
      </c>
    </row>
    <row r="6">
      <c r="B6" s="807" t="inlineStr">
        <is>
          <t>Year Built</t>
        </is>
      </c>
      <c r="C6" s="1518">
        <f>'Property Info'!B9</f>
        <v/>
      </c>
    </row>
    <row r="7">
      <c r="B7" s="809" t="inlineStr">
        <is>
          <t>Year Renovated</t>
        </is>
      </c>
      <c r="C7" s="1518">
        <f>FE!U116</f>
        <v/>
      </c>
    </row>
    <row r="8">
      <c r="B8" s="809" t="inlineStr">
        <is>
          <t>Number of Buildings</t>
        </is>
      </c>
      <c r="C8" s="1518">
        <f>FE!U120</f>
        <v/>
      </c>
    </row>
    <row r="9">
      <c r="B9" s="809" t="inlineStr">
        <is>
          <t>Number of Stories</t>
        </is>
      </c>
      <c r="C9" s="1505" t="n"/>
    </row>
    <row r="10">
      <c r="B10" s="809" t="inlineStr">
        <is>
          <t>Total Number of Units</t>
        </is>
      </c>
      <c r="C10" s="1518">
        <f>FE!U126</f>
        <v/>
      </c>
    </row>
    <row r="11">
      <c r="B11" s="809" t="inlineStr">
        <is>
          <t>Building Construction Class</t>
        </is>
      </c>
      <c r="C11" s="1505" t="n"/>
    </row>
    <row r="12" hidden="1" s="1449">
      <c r="B12" s="809" t="inlineStr">
        <is>
          <t>Net Rentable Area</t>
        </is>
      </c>
      <c r="C12" s="1805">
        <f>FE!U124</f>
        <v/>
      </c>
    </row>
    <row r="13">
      <c r="B13" s="809" t="inlineStr">
        <is>
          <t>Gross Leasable Area</t>
        </is>
      </c>
      <c r="C13" s="1805">
        <f>FE!U122</f>
        <v/>
      </c>
    </row>
    <row r="14" hidden="1" s="1449">
      <c r="B14" s="812" t="inlineStr">
        <is>
          <t>+ Clubhouse</t>
        </is>
      </c>
      <c r="C14" s="1805">
        <f>pdBldgAreaClubhouse</f>
        <v/>
      </c>
    </row>
    <row r="15" hidden="1" s="1449">
      <c r="B15" s="812" t="inlineStr">
        <is>
          <t>+ Others(s)</t>
        </is>
      </c>
      <c r="C15" s="1805">
        <f>pdBldgAreaOther</f>
        <v/>
      </c>
    </row>
    <row r="16" ht="32.25" customHeight="1" s="1449">
      <c r="B16" s="1059" t="inlineStr">
        <is>
          <t xml:space="preserve">Mezzanine Area </t>
        </is>
      </c>
      <c r="C16" s="1806" t="n"/>
    </row>
    <row r="17">
      <c r="B17" s="809" t="inlineStr">
        <is>
          <t>Building Footprint</t>
        </is>
      </c>
      <c r="C17" s="1805">
        <f>'Property Info'!B6</f>
        <v/>
      </c>
    </row>
    <row r="18" hidden="1" s="1449">
      <c r="B18" s="809" t="inlineStr">
        <is>
          <t>Bay Depth</t>
        </is>
      </c>
      <c r="C18" s="1807">
        <f>pdBayDepth</f>
        <v/>
      </c>
    </row>
    <row r="19" hidden="1" s="1449">
      <c r="B19" s="809" t="inlineStr">
        <is>
          <t>LEED Ratio</t>
        </is>
      </c>
      <c r="C19" s="1805">
        <f>pdLEEDRating</f>
        <v/>
      </c>
      <c r="D19" s="871" t="n"/>
      <c r="E19" s="871" t="n"/>
      <c r="F19" s="871" t="n"/>
    </row>
    <row r="20" hidden="1" s="1449">
      <c r="B20" s="809" t="inlineStr">
        <is>
          <t>Floor-Area Ratio</t>
        </is>
      </c>
      <c r="C20" s="875">
        <f>pdFAR</f>
        <v/>
      </c>
      <c r="D20" s="871" t="n"/>
      <c r="E20" s="871" t="n"/>
      <c r="F20" s="871" t="n"/>
    </row>
    <row r="21">
      <c r="B21" s="809" t="inlineStr">
        <is>
          <t>Elevator(s)</t>
        </is>
      </c>
      <c r="C21" s="1505" t="inlineStr">
        <is>
          <t>None</t>
        </is>
      </c>
    </row>
    <row r="22">
      <c r="B22" s="809" t="inlineStr">
        <is>
          <t>Ceiling Heights</t>
        </is>
      </c>
      <c r="C22" s="1505" t="n"/>
    </row>
    <row r="23">
      <c r="B23" s="809" t="inlineStr">
        <is>
          <t>Utility Metering</t>
        </is>
      </c>
      <c r="C23" s="1505" t="inlineStr">
        <is>
          <t>Master metered</t>
        </is>
      </c>
    </row>
    <row r="24" hidden="1" s="1449">
      <c r="B24" s="809" t="inlineStr">
        <is>
          <t>Density (Units/Acre)</t>
        </is>
      </c>
      <c r="C24" s="1808">
        <f>C10/'Site Information'!C11</f>
        <v/>
      </c>
    </row>
    <row r="25">
      <c r="B25" s="809" t="inlineStr">
        <is>
          <t>Coverage Ratio</t>
        </is>
      </c>
      <c r="C25" s="1809">
        <f>C17/'Site Information'!C11</f>
        <v/>
      </c>
    </row>
    <row r="26">
      <c r="B26" s="809" t="inlineStr">
        <is>
          <t>Land-to-Building Ratio</t>
        </is>
      </c>
      <c r="C26" s="1810">
        <f>'Site Information'!C11/Improvements!C13</f>
        <v/>
      </c>
    </row>
    <row r="27">
      <c r="B27" s="809" t="inlineStr">
        <is>
          <t>Ingress/Egress</t>
        </is>
      </c>
      <c r="C27" s="1505" t="n"/>
    </row>
    <row r="28">
      <c r="B28" s="809" t="inlineStr">
        <is>
          <t>Percentage Office Build-Out</t>
        </is>
      </c>
      <c r="C28" s="1528">
        <f>'Property Info'!B15</f>
        <v/>
      </c>
    </row>
    <row r="29">
      <c r="B29" s="809" t="inlineStr">
        <is>
          <t>Clear Height</t>
        </is>
      </c>
      <c r="C29" s="1505" t="n"/>
    </row>
    <row r="30">
      <c r="B30" s="809" t="inlineStr">
        <is>
          <t>Power</t>
        </is>
      </c>
      <c r="C30" s="1526" t="inlineStr">
        <is>
          <t xml:space="preserve">Assumed adequate for industrial use. </t>
        </is>
      </c>
    </row>
    <row r="31">
      <c r="B31" s="809" t="inlineStr">
        <is>
          <t>Loading Doors</t>
        </is>
      </c>
      <c r="C31" s="1518" t="n"/>
    </row>
    <row r="32">
      <c r="B32" s="812" t="inlineStr">
        <is>
          <t>Dock High</t>
        </is>
      </c>
      <c r="C32" s="1505" t="n"/>
    </row>
    <row r="33">
      <c r="B33" s="812" t="inlineStr">
        <is>
          <t>Roll-Up</t>
        </is>
      </c>
      <c r="C33" s="1505" t="n"/>
    </row>
    <row r="34">
      <c r="B34" s="809" t="inlineStr">
        <is>
          <t>Rail Access</t>
        </is>
      </c>
      <c r="C34" s="1505" t="inlineStr">
        <is>
          <t>None</t>
        </is>
      </c>
    </row>
    <row r="35">
      <c r="B35" s="809" t="inlineStr">
        <is>
          <t>Storage Yard</t>
        </is>
      </c>
      <c r="C35" s="1505" t="n"/>
    </row>
    <row r="36">
      <c r="B36" s="809" t="inlineStr">
        <is>
          <t>Truck Court</t>
        </is>
      </c>
      <c r="C36" s="1505" t="n"/>
    </row>
    <row r="37">
      <c r="B37" s="809" t="inlineStr">
        <is>
          <t>Parking</t>
        </is>
      </c>
      <c r="C37" s="1518" t="n"/>
      <c r="D37" s="871" t="n"/>
      <c r="E37" s="871" t="n"/>
      <c r="F37" s="871" t="n"/>
    </row>
    <row r="38">
      <c r="B38" s="812" t="inlineStr">
        <is>
          <t>Surface Parking Spaces</t>
        </is>
      </c>
      <c r="C38" s="1226" t="n"/>
      <c r="D38" s="814" t="n"/>
      <c r="E38" s="814" t="n"/>
      <c r="F38" s="814" t="n"/>
    </row>
    <row r="39">
      <c r="B39" s="812" t="inlineStr">
        <is>
          <t>Other</t>
        </is>
      </c>
      <c r="C39" s="1225" t="n">
        <v>0</v>
      </c>
      <c r="D39" s="814" t="n"/>
      <c r="E39" s="814" t="n"/>
      <c r="F39" s="814" t="n"/>
    </row>
    <row r="40">
      <c r="B40" s="812" t="inlineStr">
        <is>
          <t>Garages</t>
        </is>
      </c>
      <c r="C40" s="1225" t="n">
        <v>0</v>
      </c>
      <c r="D40" s="814" t="n"/>
      <c r="E40" s="814" t="n"/>
      <c r="F40" s="814" t="n"/>
    </row>
    <row r="41">
      <c r="B41" s="809" t="inlineStr">
        <is>
          <t>Total Parking Spaces</t>
        </is>
      </c>
      <c r="C41" s="813">
        <f>SUM(C38:C40)</f>
        <v/>
      </c>
      <c r="D41" s="814" t="n"/>
      <c r="E41" s="814" t="n"/>
      <c r="F41" s="814" t="n"/>
    </row>
    <row r="42" ht="30" customHeight="1" s="1449">
      <c r="B42" s="1058" t="inlineStr">
        <is>
          <t>Parking Ratio 
(Spaces/1,000 SF GBA)</t>
        </is>
      </c>
      <c r="C42" s="1519">
        <f>(C41/C13)*1000</f>
        <v/>
      </c>
      <c r="D42" s="1464" t="n"/>
      <c r="E42" s="1464" t="n"/>
      <c r="F42" s="1464" t="n"/>
    </row>
    <row r="43" hidden="1" ht="39" customHeight="1" s="1449">
      <c r="B43" s="809" t="inlineStr">
        <is>
          <t>ADA Compliance</t>
        </is>
      </c>
      <c r="C43" s="1527">
        <f>pdADA</f>
        <v/>
      </c>
      <c r="D43" s="1517" t="n"/>
      <c r="E43" s="1517" t="n"/>
      <c r="F43" s="1517" t="n"/>
    </row>
    <row r="44">
      <c r="B44" s="1560" t="n"/>
      <c r="C44" s="815" t="n"/>
      <c r="D44" s="1560" t="n"/>
      <c r="E44" s="1560" t="n"/>
      <c r="F44" s="1560" t="n"/>
    </row>
    <row r="45">
      <c r="B45" s="1506" t="inlineStr">
        <is>
          <t>CONSTRUCTION DETAIL</t>
        </is>
      </c>
    </row>
    <row r="46">
      <c r="B46" s="811" t="n"/>
      <c r="C46" s="1508" t="n"/>
    </row>
    <row r="47" ht="135" customHeight="1" s="1449">
      <c r="B47" s="807" t="inlineStr">
        <is>
          <t>General Layout</t>
        </is>
      </c>
      <c r="C47" s="1505" t="n"/>
    </row>
    <row r="48">
      <c r="B48" s="809" t="inlineStr">
        <is>
          <t>Foundation</t>
        </is>
      </c>
      <c r="C48" s="1505" t="n"/>
    </row>
    <row r="49">
      <c r="B49" s="807" t="inlineStr">
        <is>
          <t>Construction</t>
        </is>
      </c>
      <c r="C49" s="1505" t="n"/>
    </row>
    <row r="50">
      <c r="B50" s="809" t="inlineStr">
        <is>
          <t>Floor Structure</t>
        </is>
      </c>
      <c r="C50" s="1505" t="n"/>
    </row>
    <row r="51">
      <c r="B51" s="807" t="inlineStr">
        <is>
          <t>Exterior Walls</t>
        </is>
      </c>
      <c r="C51" s="1505" t="n"/>
    </row>
    <row r="52">
      <c r="B52" s="809" t="inlineStr">
        <is>
          <t>Roof Type</t>
        </is>
      </c>
      <c r="C52" s="1505" t="n"/>
    </row>
    <row r="53">
      <c r="B53" s="807" t="inlineStr">
        <is>
          <t>Roof Cover</t>
        </is>
      </c>
      <c r="C53" s="1505" t="n"/>
    </row>
    <row r="54">
      <c r="B54" s="809" t="inlineStr">
        <is>
          <t>Windows</t>
        </is>
      </c>
      <c r="C54" s="1505" t="n"/>
    </row>
    <row r="55">
      <c r="B55" s="810" t="inlineStr">
        <is>
          <t>Balcony/Patios:</t>
        </is>
      </c>
      <c r="C55" s="1515" t="inlineStr">
        <is>
          <t>None</t>
        </is>
      </c>
      <c r="D55" s="1464" t="n"/>
      <c r="E55" s="1464" t="n"/>
      <c r="F55" s="1464" t="n"/>
    </row>
    <row r="56" hidden="1" s="1449">
      <c r="B56" s="1560" t="n"/>
      <c r="C56" s="815" t="n"/>
      <c r="D56" s="1560" t="n"/>
      <c r="E56" s="1560" t="n"/>
      <c r="F56" s="1560" t="n"/>
    </row>
    <row r="57">
      <c r="B57" s="1506" t="inlineStr">
        <is>
          <t>INTERIOR DETAIL</t>
        </is>
      </c>
    </row>
    <row r="58">
      <c r="B58" s="811" t="n"/>
      <c r="C58" s="1508" t="n"/>
    </row>
    <row r="59" ht="30.75" customHeight="1" s="1449">
      <c r="B59" s="807" t="inlineStr">
        <is>
          <t>Interior Walls</t>
        </is>
      </c>
      <c r="C59" s="1505" t="n"/>
    </row>
    <row r="60">
      <c r="B60" s="809" t="inlineStr">
        <is>
          <t>Ceilings</t>
        </is>
      </c>
      <c r="C60" s="1505" t="n"/>
    </row>
    <row r="61">
      <c r="B61" s="807" t="inlineStr">
        <is>
          <t>Floor Coverings</t>
        </is>
      </c>
      <c r="C61" s="1505" t="n"/>
    </row>
    <row r="62">
      <c r="B62" s="809" t="inlineStr">
        <is>
          <t>Doors</t>
        </is>
      </c>
      <c r="C62" s="1505" t="n"/>
    </row>
    <row r="63" ht="36" customHeight="1" s="1449">
      <c r="B63" s="807" t="inlineStr">
        <is>
          <t>Lighting</t>
        </is>
      </c>
      <c r="C63" s="1505" t="n"/>
    </row>
    <row r="64">
      <c r="B64" s="809" t="inlineStr">
        <is>
          <t>Ceiling Heights</t>
        </is>
      </c>
      <c r="C64" s="1505" t="n"/>
    </row>
    <row r="65">
      <c r="B65" s="809" t="inlineStr">
        <is>
          <t>Restrooms</t>
        </is>
      </c>
      <c r="C65" s="1505" t="n"/>
    </row>
    <row r="66" hidden="1" s="1449">
      <c r="B66" s="807" t="inlineStr">
        <is>
          <t>Kitchen Finish</t>
        </is>
      </c>
      <c r="C66" s="1509" t="n"/>
    </row>
    <row r="67" hidden="1" s="1449">
      <c r="B67" s="807" t="inlineStr">
        <is>
          <t>Bathroom Finish</t>
        </is>
      </c>
      <c r="C67" s="1509" t="n"/>
    </row>
    <row r="68" ht="30.75" customHeight="1" s="1449">
      <c r="B68" s="810" t="inlineStr">
        <is>
          <t>Amenities (Unit)</t>
        </is>
      </c>
      <c r="C68" s="1524" t="inlineStr">
        <is>
          <t>Small structural mezzanine above temporary structure in warehouse (not part of GBA)</t>
        </is>
      </c>
      <c r="D68" s="1517" t="n"/>
      <c r="E68" s="1517" t="n"/>
      <c r="F68" s="1517" t="n"/>
    </row>
    <row r="69">
      <c r="B69" s="1560" t="n"/>
      <c r="C69" s="815" t="n"/>
      <c r="D69" s="1560" t="n"/>
      <c r="E69" s="1560" t="n"/>
      <c r="F69" s="1560" t="n"/>
    </row>
    <row r="70">
      <c r="B70" s="1506" t="inlineStr">
        <is>
          <t>MECHANICAL DETAIL</t>
        </is>
      </c>
    </row>
    <row r="71">
      <c r="B71" s="807" t="inlineStr">
        <is>
          <t>Heating</t>
        </is>
      </c>
      <c r="C71" s="1505" t="n"/>
    </row>
    <row r="72">
      <c r="B72" s="809" t="inlineStr">
        <is>
          <t>Cooling</t>
        </is>
      </c>
      <c r="C72" s="1505" t="n"/>
    </row>
    <row r="73">
      <c r="B73" s="807" t="inlineStr">
        <is>
          <t>Plumbing</t>
        </is>
      </c>
      <c r="C73" s="1505" t="n"/>
    </row>
    <row r="74">
      <c r="B74" s="809" t="inlineStr">
        <is>
          <t>Electrical</t>
        </is>
      </c>
      <c r="C74" s="1518" t="n"/>
    </row>
    <row r="75">
      <c r="B75" s="810" t="inlineStr">
        <is>
          <t>Fire Protection</t>
        </is>
      </c>
      <c r="C75" s="1516" t="n"/>
      <c r="D75" s="1517" t="n"/>
      <c r="E75" s="1517" t="n"/>
      <c r="F75" s="1517" t="n"/>
    </row>
    <row r="76">
      <c r="B76" s="1560" t="n"/>
      <c r="C76" s="815" t="n"/>
      <c r="D76" s="1560" t="n"/>
      <c r="E76" s="1560" t="n"/>
      <c r="F76" s="1560" t="n"/>
    </row>
    <row r="77">
      <c r="B77" s="1506" t="inlineStr">
        <is>
          <t>SITE IMPROVEMENTS</t>
        </is>
      </c>
    </row>
    <row r="78">
      <c r="B78" s="807" t="inlineStr">
        <is>
          <t>Parking Type</t>
        </is>
      </c>
      <c r="C78" s="1505" t="n"/>
    </row>
    <row r="79">
      <c r="B79" s="809" t="inlineStr">
        <is>
          <t>Landscaping</t>
        </is>
      </c>
      <c r="C79" s="1505" t="n"/>
    </row>
    <row r="80">
      <c r="B80" s="807" t="inlineStr">
        <is>
          <t>Signage</t>
        </is>
      </c>
      <c r="C80" s="1505" t="n"/>
    </row>
    <row r="81" ht="30.75" customHeight="1" s="1449">
      <c r="B81" s="810" t="inlineStr">
        <is>
          <t>Fencing</t>
        </is>
      </c>
      <c r="C81" s="1513" t="n"/>
      <c r="D81" s="1464" t="n"/>
      <c r="E81" s="1464" t="n"/>
      <c r="F81" s="1464" t="n"/>
    </row>
    <row r="82" hidden="1" s="1449">
      <c r="B82" s="809" t="inlineStr">
        <is>
          <t>Other</t>
        </is>
      </c>
      <c r="C82" s="1505" t="n"/>
    </row>
    <row r="83" hidden="1" s="1449">
      <c r="B83" s="810" t="inlineStr">
        <is>
          <t>Amenities (Project)</t>
        </is>
      </c>
      <c r="C83" s="1524" t="n"/>
      <c r="D83" s="1517" t="n"/>
      <c r="E83" s="1517" t="n"/>
      <c r="F83" s="1517" t="n"/>
    </row>
    <row r="84">
      <c r="B84" s="1560" t="n"/>
      <c r="C84" s="815" t="n"/>
      <c r="D84" s="1560" t="n"/>
      <c r="E84" s="1560" t="n"/>
      <c r="F84" s="1560" t="n"/>
    </row>
    <row r="85">
      <c r="B85" s="1506" t="inlineStr">
        <is>
          <t>RENOVATION/DEFERRED MAINTENANCE</t>
        </is>
      </c>
    </row>
    <row r="86" ht="30" customHeight="1" s="1449">
      <c r="B86" s="1074" t="inlineStr">
        <is>
          <t>Recent Renovations or
 Replacements</t>
        </is>
      </c>
      <c r="C86" s="1505" t="n"/>
    </row>
    <row r="87">
      <c r="B87" s="809" t="inlineStr">
        <is>
          <t>Deferred Maintenance</t>
        </is>
      </c>
      <c r="C87" s="1505" t="n"/>
    </row>
    <row r="88">
      <c r="B88" s="809" t="inlineStr">
        <is>
          <t>Cost to Cure</t>
        </is>
      </c>
      <c r="C88" s="1527">
        <f>pdCosttoCure</f>
        <v/>
      </c>
      <c r="D88" s="1517" t="n"/>
      <c r="E88" s="1517" t="n"/>
      <c r="F88" s="1517" t="n"/>
    </row>
    <row r="89">
      <c r="B89" s="816" t="n"/>
      <c r="C89" s="817" t="n"/>
      <c r="D89" s="816" t="n"/>
      <c r="E89" s="816" t="n"/>
      <c r="F89" s="816" t="n"/>
    </row>
    <row r="90">
      <c r="B90" s="1560" t="n"/>
      <c r="C90" s="815" t="n"/>
      <c r="D90" s="1560" t="n"/>
      <c r="E90" s="1560" t="n"/>
      <c r="F90" s="1560" t="n"/>
    </row>
    <row r="91">
      <c r="B91" s="1506" t="inlineStr">
        <is>
          <t>SUMMARY</t>
        </is>
      </c>
    </row>
    <row r="92">
      <c r="B92" s="807" t="inlineStr">
        <is>
          <t>Building Condition</t>
        </is>
      </c>
      <c r="C92" s="1518">
        <f>FE!U129</f>
        <v/>
      </c>
    </row>
    <row r="93" ht="83.25" customHeight="1" s="1449">
      <c r="B93" s="809" t="n"/>
      <c r="C93" s="1518" t="inlineStr">
        <is>
          <t>We did not inspect the roof of the building(s) nor make a detailed inspection of the mechanical systems. We are not qualified to render an opinion as to the adequacy or condition of these components. Interested parties are urged to retain an expert in this field if detailed information is needed about the adequacy and condition of mechanical systems.</t>
        </is>
      </c>
    </row>
    <row r="94">
      <c r="B94" s="809" t="inlineStr">
        <is>
          <t>Building Quality</t>
        </is>
      </c>
      <c r="C94" s="1518">
        <f>FE!U130</f>
        <v/>
      </c>
    </row>
    <row r="95">
      <c r="B95" s="807" t="inlineStr">
        <is>
          <t>Design and Functionality</t>
        </is>
      </c>
      <c r="C95" s="1518">
        <f>FE!U131</f>
        <v/>
      </c>
    </row>
    <row r="96">
      <c r="B96" s="809" t="inlineStr">
        <is>
          <t>Actual Age</t>
        </is>
      </c>
      <c r="C96" s="1811">
        <f>YEAR('Cost Approach'!C17)-'Property Info'!B9</f>
        <v/>
      </c>
    </row>
    <row r="97">
      <c r="B97" s="807" t="inlineStr">
        <is>
          <t>Expected Economic Life</t>
        </is>
      </c>
      <c r="C97" s="1812">
        <f>'Cost Approach'!C59</f>
        <v/>
      </c>
    </row>
    <row r="98">
      <c r="B98" s="809" t="inlineStr">
        <is>
          <t>Effective Age</t>
        </is>
      </c>
      <c r="C98" s="1811">
        <f>'Cost Approach'!C58</f>
        <v/>
      </c>
    </row>
    <row r="99">
      <c r="B99" s="810" t="inlineStr">
        <is>
          <t>Remaining Economic Life</t>
        </is>
      </c>
      <c r="C99" s="1813">
        <f>C97-C98</f>
        <v/>
      </c>
      <c r="D99" s="1464" t="n"/>
      <c r="E99" s="1464" t="n"/>
      <c r="F99" s="1464" t="n"/>
    </row>
  </sheetData>
  <mergeCells count="84">
    <mergeCell ref="C52:F52"/>
    <mergeCell ref="C61:F61"/>
    <mergeCell ref="C72:F72"/>
    <mergeCell ref="C81:F81"/>
    <mergeCell ref="C32:F32"/>
    <mergeCell ref="C13:F13"/>
    <mergeCell ref="C78:F78"/>
    <mergeCell ref="B2:F2"/>
    <mergeCell ref="C87:F87"/>
    <mergeCell ref="C6:F6"/>
    <mergeCell ref="C62:F62"/>
    <mergeCell ref="C15:F15"/>
    <mergeCell ref="C24:F24"/>
    <mergeCell ref="C64:F64"/>
    <mergeCell ref="C79:F79"/>
    <mergeCell ref="C73:F73"/>
    <mergeCell ref="C88:F88"/>
    <mergeCell ref="C26:F26"/>
    <mergeCell ref="C54:F54"/>
    <mergeCell ref="C63:F63"/>
    <mergeCell ref="C10:F10"/>
    <mergeCell ref="C93:F93"/>
    <mergeCell ref="C50:F50"/>
    <mergeCell ref="C43:F43"/>
    <mergeCell ref="C27:F27"/>
    <mergeCell ref="C36:F36"/>
    <mergeCell ref="C17:F17"/>
    <mergeCell ref="C67:F67"/>
    <mergeCell ref="C28:F28"/>
    <mergeCell ref="B70:F70"/>
    <mergeCell ref="C3:F3"/>
    <mergeCell ref="C96:F96"/>
    <mergeCell ref="C83:F83"/>
    <mergeCell ref="C92:F92"/>
    <mergeCell ref="C30:F30"/>
    <mergeCell ref="C5:F5"/>
    <mergeCell ref="B57:F57"/>
    <mergeCell ref="C98:F98"/>
    <mergeCell ref="C14:F14"/>
    <mergeCell ref="C4:F4"/>
    <mergeCell ref="B45:F45"/>
    <mergeCell ref="B85:F85"/>
    <mergeCell ref="C71:F71"/>
    <mergeCell ref="C8:F8"/>
    <mergeCell ref="C82:F82"/>
    <mergeCell ref="C66:F66"/>
    <mergeCell ref="C18:F18"/>
    <mergeCell ref="C53:F53"/>
    <mergeCell ref="C34:F34"/>
    <mergeCell ref="C86:F86"/>
    <mergeCell ref="C68:F68"/>
    <mergeCell ref="C58:F58"/>
    <mergeCell ref="C97:F97"/>
    <mergeCell ref="C29:F29"/>
    <mergeCell ref="C94:F94"/>
    <mergeCell ref="C65:F65"/>
    <mergeCell ref="C47:F47"/>
    <mergeCell ref="C22:F22"/>
    <mergeCell ref="C80:F80"/>
    <mergeCell ref="C31:F31"/>
    <mergeCell ref="C12:F12"/>
    <mergeCell ref="C46:F46"/>
    <mergeCell ref="C21:F21"/>
    <mergeCell ref="C95:F95"/>
    <mergeCell ref="C51:F51"/>
    <mergeCell ref="C60:F60"/>
    <mergeCell ref="B91:F91"/>
    <mergeCell ref="C23:F23"/>
    <mergeCell ref="C48:F48"/>
    <mergeCell ref="C7:F7"/>
    <mergeCell ref="B77:F77"/>
    <mergeCell ref="C49:F49"/>
    <mergeCell ref="C33:F33"/>
    <mergeCell ref="C42:F42"/>
    <mergeCell ref="C74:F74"/>
    <mergeCell ref="C35:F35"/>
    <mergeCell ref="C16:F16"/>
    <mergeCell ref="C25:F25"/>
    <mergeCell ref="C99:F99"/>
    <mergeCell ref="C55:F55"/>
    <mergeCell ref="C9:F9"/>
    <mergeCell ref="C75:F75"/>
    <mergeCell ref="C59:F59"/>
    <mergeCell ref="C11:F11"/>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B1:C15"/>
  <sheetViews>
    <sheetView zoomScale="115" zoomScaleNormal="115" workbookViewId="0">
      <selection activeCell="H5" sqref="H5"/>
    </sheetView>
  </sheetViews>
  <sheetFormatPr baseColWidth="8" defaultRowHeight="15"/>
  <cols>
    <col width="14.140625" bestFit="1" customWidth="1" style="1449" min="2" max="2"/>
    <col width="112.7109375" customWidth="1" style="1449" min="3" max="3"/>
  </cols>
  <sheetData>
    <row r="1" ht="30" customHeight="1" s="1449">
      <c r="C1" s="1208" t="inlineStr">
        <is>
          <t xml:space="preserve">NOTE: Most of the below text is standard boilerplate and should remain the same. Read through and change only the descriptions as they pertain to your property. </t>
        </is>
      </c>
    </row>
    <row r="3">
      <c r="B3" s="821" t="inlineStr">
        <is>
          <t>AS IF VACANT</t>
        </is>
      </c>
      <c r="C3" s="822" t="n"/>
    </row>
    <row r="4" ht="124.5" customHeight="1" s="1449">
      <c r="B4" s="818" t="inlineStr">
        <is>
          <t>Legally</t>
        </is>
      </c>
      <c r="C4" s="1227" t="inlineStr">
        <is>
          <t xml:space="preserve">Legal restrictions include deed restrictions, CC&amp;R’s, lease encumbrances, zoning requirements, building codes, historic district controls and environmental regulations, and were previously analyzed to determine legally permitted uses.  Legally, the subject is zoned I-1 (Light Industrial). The purpose of the Industrial‐1 District is to provide a general commercial and limited industrial district designed to provide for a variety of compatible business, warehouse, wholesale, offices and very limited industrial uses. Special uses are permitted in an Industrial‐1 District, subject to the issuance of a Special Use Permit from the Board of Adjustment. Temporary uses are permitted in the Industrial‐1 District, subject to the issuance of a Temporary Use Permit from the Director of Community and Economic Development. Allowable uses include but are not limited to storage, distribution, wholesale, office/flex, warehousing, maintenance, and light manufacturing. </t>
        </is>
      </c>
    </row>
    <row r="5" ht="81.75" customHeight="1" s="1449">
      <c r="B5" s="819" t="inlineStr">
        <is>
          <t>Physically</t>
        </is>
      </c>
      <c r="C5" s="1228" t="inlineStr">
        <is>
          <t>Size, shape, topography, soil condition, availability of utilities, transportation access, surrounding uses, and locational characteristics were previously analyzed to determine which legal land uses are physically possible and which are best to conform to the physical and locational aspects of the site and its setting with respect to the neighborhood and community.  Overall, the physical site attributes result in adequate utility, and the property could be developed with a variety of legally-conforming uses.  Given the surrounding uses and location, the site is best suited for light industrial use.</t>
        </is>
      </c>
    </row>
    <row r="6" ht="113.25" customHeight="1" s="1449">
      <c r="B6" s="819" t="inlineStr">
        <is>
          <t>Financially</t>
        </is>
      </c>
      <c r="C6" s="1229" t="inlineStr">
        <is>
          <t>Financial feasibility is determined by the relationship of supply and demand for the legally probable land uses versus the cost to create them.  The market analysis section reveals that retail uses in the subject's market are generally stabilized.  Ongoing industrial development during the period in question throughout the market area serve as direct evidence that new industrial development was financially feasible at this time.  Comparisons of rental rates, operating expenses and construction costs indicate the subject property would have been capable of providing an adequate return on investment to warrant new industrial development in the market.  This assertion is supported by the fact that the property has the potential to generate rental income as shown in the income approach.  Therefore, retail use is considered financially feasible.</t>
        </is>
      </c>
    </row>
    <row r="7" ht="75" customHeight="1" s="1449">
      <c r="B7" s="820" t="inlineStr">
        <is>
          <t>Maximally</t>
        </is>
      </c>
      <c r="C7" s="1230" t="inlineStr">
        <is>
          <t>The final test of highest and best use of the site as vacant is that the use be maximally productive, yielding the highest return to the land.  In order to determine the maximally productive use, a comparison of rental rates, occupancy, operating expenses, and rates of return for the financially feasible uses have been made.  Based on this analysis, light industrial use renders the highest residual land value; therefore, light industrial development on the subject's site is the maximally productive use of the subject as vacant.</t>
        </is>
      </c>
    </row>
    <row r="8" hidden="1" s="1449">
      <c r="C8" s="1075" t="n"/>
    </row>
    <row r="9" hidden="1" s="1449">
      <c r="C9" s="1075" t="n"/>
    </row>
    <row r="10" ht="6" customHeight="1" s="1449">
      <c r="B10" s="887" t="n"/>
      <c r="C10" s="1075" t="n"/>
    </row>
    <row r="11">
      <c r="B11" s="821" t="inlineStr">
        <is>
          <t>AS IMPROVED</t>
        </is>
      </c>
      <c r="C11" s="822" t="n"/>
    </row>
    <row r="12" ht="30" customHeight="1" s="1449">
      <c r="B12" s="818" t="inlineStr">
        <is>
          <t>Legally</t>
        </is>
      </c>
      <c r="C12" s="1227" t="inlineStr">
        <is>
          <t xml:space="preserve">The subject is a legal conforming use in the I-1 zoning district. No other known legal encumbrances exists that limit use or function on the improved property. </t>
        </is>
      </c>
    </row>
    <row r="13" ht="30" customHeight="1" s="1449">
      <c r="B13" s="819" t="inlineStr">
        <is>
          <t>Physically</t>
        </is>
      </c>
      <c r="C13" s="1229" t="n"/>
    </row>
    <row r="14" ht="75" customHeight="1" s="1449">
      <c r="B14" s="819" t="inlineStr">
        <is>
          <t>Financially</t>
        </is>
      </c>
      <c r="C14" s="1229" t="inlineStr">
        <is>
          <t>Financial feasibility as an income-producing investment is based on the amount of rental income it can generate net of the required operating expenses.  If the resulting net operating income motivates continued operation, then the land is being put to a productive and financially feasible use.  The subject is capable of producing positive net cash flow to an investor.  The existing improvements provide contributory value to the site, and there is no alternate use that would result in a greater value.  Therefore, utilization of the existing improvements is financially feasible.</t>
        </is>
      </c>
    </row>
    <row r="15" ht="75" customHeight="1" s="1449">
      <c r="B15" s="820" t="inlineStr">
        <is>
          <t>Maximally</t>
        </is>
      </c>
      <c r="C15" s="1230" t="inlineStr">
        <is>
          <t>The maximally productive use should conform to neighborhood trends and be consistent with existing nearby land uses.  The single use that produces the greatest return on investment and usually the highest price and value is typically the highest and best use.  As shown in the applicable valuation sections, properties like the subject have been acquired and continue to be used for retail use.  None of the comparable properties were acquired for conversion to an alternative use.  This provides evidence suggesting that the current retail use is maximally productive.</t>
        </is>
      </c>
    </row>
  </sheetData>
  <dataValidations xWindow="615" yWindow="1174" count="2">
    <dataValidation sqref="C12" showDropDown="0" showInputMessage="1" showErrorMessage="1" allowBlank="1" promptTitle="Legal, As Improved" prompt="The Legal Default option = the Zoning Compliance paragraph (found on Zoning tab).  If left blank there, it will be blank here._x000a__x000a_Review autopopulated paragraphs.  This is what will link to your Word doc."/>
    <dataValidation sqref="C4:C7 C13:C15" showDropDown="0" showInputMessage="1" showErrorMessage="1" allowBlank="1" prompt="Review autopopulated paragraphs.  This is what will link to your Word doc."/>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fitToPage="1"/>
  </sheetPr>
  <dimension ref="C2:J37"/>
  <sheetViews>
    <sheetView showGridLines="0" zoomScale="130" zoomScaleNormal="130" workbookViewId="0">
      <selection activeCell="D7" sqref="D7"/>
    </sheetView>
  </sheetViews>
  <sheetFormatPr baseColWidth="8" defaultRowHeight="15"/>
  <cols>
    <col width="31.85546875" customWidth="1" style="1449" min="3" max="3"/>
    <col width="12.85546875" customWidth="1" style="1449" min="4" max="4"/>
    <col width="19.42578125" bestFit="1" customWidth="1" style="1449" min="5" max="5"/>
    <col width="4.140625" customWidth="1" style="1449" min="6" max="6"/>
    <col width="26.140625" bestFit="1" customWidth="1" style="1449" min="7" max="7"/>
    <col width="17.7109375" bestFit="1" customWidth="1" style="1449" min="8" max="8"/>
    <col width="20.7109375" customWidth="1" style="1449" min="9" max="10"/>
  </cols>
  <sheetData>
    <row r="2">
      <c r="C2" s="1533" t="inlineStr">
        <is>
          <t>VALUE INDICATIONS</t>
        </is>
      </c>
    </row>
    <row r="3" ht="15" customHeight="1" s="1449">
      <c r="C3" s="240" t="inlineStr">
        <is>
          <t>As Is - Land Value Only</t>
        </is>
      </c>
      <c r="D3" s="240" t="n"/>
      <c r="E3" s="240" t="n"/>
      <c r="F3" s="240" t="n"/>
    </row>
    <row r="4" ht="15" customHeight="1" s="1449">
      <c r="C4" s="170" t="inlineStr">
        <is>
          <t>Sales Comparison Approach</t>
        </is>
      </c>
      <c r="D4" s="1814">
        <f>'Land Sales'!#REF!</f>
        <v/>
      </c>
      <c r="E4" s="1815">
        <f>D4/'Property Info'!B12</f>
        <v/>
      </c>
      <c r="F4" s="186" t="inlineStr">
        <is>
          <t>Per Square Foot (LA)</t>
        </is>
      </c>
    </row>
    <row r="5" ht="15" customHeight="1" s="1449">
      <c r="C5" s="188" t="inlineStr">
        <is>
          <t>Value Conclusion - As Is</t>
        </is>
      </c>
      <c r="D5" s="1816">
        <f>D4</f>
        <v/>
      </c>
      <c r="E5" s="1817">
        <f>E4</f>
        <v/>
      </c>
      <c r="F5" s="188">
        <f>F4</f>
        <v/>
      </c>
    </row>
    <row r="6" ht="15" customHeight="1" s="1449">
      <c r="C6" s="1535" t="inlineStr">
        <is>
          <t>As Is - Retrospective Market Value - Fee Simple Estate</t>
        </is>
      </c>
      <c r="D6" s="1477" t="n"/>
      <c r="E6" s="1477" t="n"/>
      <c r="F6" s="1477" t="n"/>
    </row>
    <row r="7" ht="15" customHeight="1" s="1449">
      <c r="C7" s="170" t="inlineStr">
        <is>
          <t>Cost Approach</t>
        </is>
      </c>
      <c r="D7" s="1814" t="inlineStr">
        <is>
          <t>Not Developed</t>
        </is>
      </c>
      <c r="E7" s="1818" t="n"/>
      <c r="F7" s="186" t="n"/>
    </row>
    <row r="8" ht="15" customHeight="1" s="1449">
      <c r="C8" s="170" t="inlineStr">
        <is>
          <t>Sales Comparison Approach</t>
        </is>
      </c>
      <c r="D8" s="1814">
        <f>'Basic Sales Grid'!D46</f>
        <v/>
      </c>
      <c r="E8" s="1819">
        <f>D8/FE!$C$14</f>
        <v/>
      </c>
      <c r="F8" s="1248">
        <f>FE!B14</f>
        <v/>
      </c>
    </row>
    <row r="9" ht="15" customHeight="1" s="1449">
      <c r="C9" s="170" t="inlineStr">
        <is>
          <t>Income Capitalization Approach</t>
        </is>
      </c>
      <c r="D9" s="1814" t="n"/>
      <c r="E9" s="1818" t="n"/>
      <c r="F9" s="186" t="n"/>
    </row>
    <row r="10" ht="15" customHeight="1" s="1449">
      <c r="C10" s="170" t="inlineStr">
        <is>
          <t xml:space="preserve">     Direct Capitalization</t>
        </is>
      </c>
      <c r="D10" s="1814">
        <f>'Income Approach'!C65</f>
        <v/>
      </c>
      <c r="E10" s="1819">
        <f>D10/FE!$C$14</f>
        <v/>
      </c>
      <c r="F10" s="186">
        <f>F8</f>
        <v/>
      </c>
    </row>
    <row r="11" ht="15" customHeight="1" s="1449">
      <c r="C11" s="153" t="inlineStr">
        <is>
          <t>Approach Reliance</t>
        </is>
      </c>
      <c r="D11" s="339">
        <f>IF(FE!B14="GBA",'Final Value'!C8,'Final Value'!C9)</f>
        <v/>
      </c>
      <c r="E11" s="1820" t="n"/>
      <c r="F11" s="339" t="n"/>
    </row>
    <row r="12" ht="15" customHeight="1" s="1449">
      <c r="C12" s="158" t="inlineStr">
        <is>
          <t>Value Conclusion</t>
        </is>
      </c>
      <c r="D12" s="1821">
        <f>D10</f>
        <v/>
      </c>
      <c r="E12" s="1822">
        <f>D12/FE!$C$14</f>
        <v/>
      </c>
      <c r="F12" s="158">
        <f>F8</f>
        <v/>
      </c>
    </row>
    <row r="13" hidden="1" ht="15" customHeight="1" s="1449">
      <c r="C13" s="240" t="inlineStr">
        <is>
          <t>As Is</t>
        </is>
      </c>
      <c r="D13" s="240" t="n"/>
      <c r="E13" s="240" t="n"/>
      <c r="F13" s="240" t="n"/>
    </row>
    <row r="14" hidden="1" ht="15" customHeight="1" s="1449">
      <c r="C14" s="170" t="inlineStr">
        <is>
          <t>Sales Comparison Approach</t>
        </is>
      </c>
      <c r="D14" s="1814">
        <f>#REF!</f>
        <v/>
      </c>
      <c r="E14" s="1823">
        <f>#REF!</f>
        <v/>
      </c>
      <c r="F14" s="186" t="inlineStr">
        <is>
          <t>Per Square Foot (GBA)</t>
        </is>
      </c>
    </row>
    <row r="15" hidden="1" ht="15" customHeight="1" s="1449">
      <c r="C15" s="170" t="inlineStr">
        <is>
          <t>Income Capitalization Approach</t>
        </is>
      </c>
      <c r="D15" s="1814" t="n"/>
      <c r="E15" s="1815" t="n"/>
      <c r="F15" s="186" t="n"/>
    </row>
    <row r="16" hidden="1" ht="15" customHeight="1" s="1449">
      <c r="C16" s="170" t="inlineStr">
        <is>
          <t xml:space="preserve">     Direct Capitalization</t>
        </is>
      </c>
      <c r="D16" s="1814" t="n"/>
      <c r="E16" s="1815" t="n"/>
      <c r="F16" s="186">
        <f>F14</f>
        <v/>
      </c>
    </row>
    <row r="17" hidden="1" ht="15" customHeight="1" s="1449">
      <c r="C17" s="153" t="inlineStr">
        <is>
          <t>Approach Reliance</t>
        </is>
      </c>
      <c r="D17" s="339" t="inlineStr">
        <is>
          <t>Sales Comparison Approach</t>
        </is>
      </c>
      <c r="E17" s="339" t="n"/>
      <c r="F17" s="339" t="n"/>
    </row>
    <row r="18" hidden="1" ht="15" customHeight="1" s="1449">
      <c r="C18" s="158">
        <f>"Value Conclusion - "&amp;PROPER(bbValueConditionScen1)&amp;""</f>
        <v/>
      </c>
      <c r="D18" s="1821">
        <f>D14</f>
        <v/>
      </c>
      <c r="E18" s="1824">
        <f>E14</f>
        <v/>
      </c>
      <c r="F18" s="158">
        <f>F14</f>
        <v/>
      </c>
    </row>
    <row r="19" hidden="1" ht="15" customHeight="1" s="1449">
      <c r="C19" s="170" t="inlineStr">
        <is>
          <t>Exposure Time</t>
        </is>
      </c>
      <c r="D19" s="243" t="inlineStr">
        <is>
          <t>12 months</t>
        </is>
      </c>
      <c r="E19" s="13" t="n"/>
      <c r="F19" s="186" t="n"/>
    </row>
    <row r="20" hidden="1" ht="15" customHeight="1" s="1449">
      <c r="C20" s="104" t="inlineStr">
        <is>
          <t>Marketing Time</t>
        </is>
      </c>
      <c r="D20" s="244" t="inlineStr">
        <is>
          <t>12 months</t>
        </is>
      </c>
      <c r="E20" s="245" t="n"/>
      <c r="F20" s="14" t="n"/>
    </row>
    <row r="21">
      <c r="G21" s="1536" t="inlineStr">
        <is>
          <t>MARKET VALUE CONCLUSION</t>
        </is>
      </c>
    </row>
    <row r="22">
      <c r="G22" s="1065" t="inlineStr">
        <is>
          <t>Appraisal Premise</t>
        </is>
      </c>
      <c r="H22" s="1065" t="inlineStr">
        <is>
          <t>Interest Appraised</t>
        </is>
      </c>
      <c r="I22" s="1065" t="inlineStr">
        <is>
          <t>Date of Value</t>
        </is>
      </c>
      <c r="J22" s="1065" t="inlineStr">
        <is>
          <t>Value Conclusion</t>
        </is>
      </c>
    </row>
    <row r="23">
      <c r="G23" s="1825" t="inlineStr">
        <is>
          <t>Retrospective Market Value</t>
        </is>
      </c>
      <c r="H23" s="1067" t="inlineStr">
        <is>
          <t xml:space="preserve">Fee Simple </t>
        </is>
      </c>
      <c r="I23" s="1826">
        <f>'Property Info'!B27</f>
        <v/>
      </c>
      <c r="J23" s="1827">
        <f>D12</f>
        <v/>
      </c>
    </row>
    <row r="26" hidden="1" s="1449">
      <c r="G26" s="1534" t="inlineStr">
        <is>
          <t>6 MONTH LIQUIDATION VALUE CONCLUSION</t>
        </is>
      </c>
    </row>
    <row r="27" hidden="1" s="1449">
      <c r="G27" s="1650" t="inlineStr">
        <is>
          <t>Appraisal Premise</t>
        </is>
      </c>
      <c r="H27" s="1650" t="inlineStr">
        <is>
          <t>Interest Appraised</t>
        </is>
      </c>
      <c r="I27" s="1650" t="inlineStr">
        <is>
          <t>Date of Value</t>
        </is>
      </c>
      <c r="J27" s="1650" t="inlineStr">
        <is>
          <t>Value Conclusion</t>
        </is>
      </c>
    </row>
    <row r="28" hidden="1" s="1449">
      <c r="G28" s="1828">
        <f>bbValueNameScen1</f>
        <v/>
      </c>
      <c r="H28" s="247" t="inlineStr">
        <is>
          <t xml:space="preserve">Fee Simple </t>
        </is>
      </c>
      <c r="I28" s="1829" t="n"/>
      <c r="J28" s="1830" t="n"/>
    </row>
    <row r="29" hidden="1" s="1449"/>
    <row r="30" hidden="1" s="1449">
      <c r="G30" s="1534" t="inlineStr">
        <is>
          <t>HYPOTHETICAL MARKET VALUE CONCLUSION (UNDERLYING LAND ONLY)</t>
        </is>
      </c>
    </row>
    <row r="31" hidden="1" s="1449">
      <c r="G31" s="1650" t="inlineStr">
        <is>
          <t>Appraisal Premise</t>
        </is>
      </c>
      <c r="H31" s="1650" t="inlineStr">
        <is>
          <t>Interest Appraised</t>
        </is>
      </c>
      <c r="I31" s="1650" t="inlineStr">
        <is>
          <t>Date of Value</t>
        </is>
      </c>
      <c r="J31" s="1650" t="inlineStr">
        <is>
          <t>Value Conclusion</t>
        </is>
      </c>
    </row>
    <row r="32" hidden="1" s="1449">
      <c r="G32" s="1828" t="inlineStr">
        <is>
          <t>As If Vacant</t>
        </is>
      </c>
      <c r="H32" s="247" t="inlineStr">
        <is>
          <t xml:space="preserve">Fee Simple </t>
        </is>
      </c>
      <c r="I32" s="1829" t="n"/>
      <c r="J32" s="1830" t="n"/>
    </row>
    <row r="33" hidden="1" s="1449"/>
    <row r="34" hidden="1" s="1449">
      <c r="G34" s="1534" t="inlineStr">
        <is>
          <t>PROSPECTIVE MARKET VALUE CONCLUSION</t>
        </is>
      </c>
    </row>
    <row r="35" hidden="1" s="1449">
      <c r="G35" s="1650" t="inlineStr">
        <is>
          <t>Appraisal Premise</t>
        </is>
      </c>
      <c r="H35" s="1650" t="inlineStr">
        <is>
          <t>Interest Appraised</t>
        </is>
      </c>
      <c r="I35" s="1650" t="inlineStr">
        <is>
          <t>Date of Value</t>
        </is>
      </c>
      <c r="J35" s="1650" t="inlineStr">
        <is>
          <t>Value Conclusion</t>
        </is>
      </c>
    </row>
    <row r="36" hidden="1" s="1449">
      <c r="G36" s="1828" t="inlineStr">
        <is>
          <t>Upon Completion</t>
        </is>
      </c>
      <c r="H36" s="247" t="inlineStr">
        <is>
          <t xml:space="preserve">Fee Simple </t>
        </is>
      </c>
      <c r="I36" s="1829" t="n"/>
      <c r="J36" s="1830">
        <f>D12</f>
        <v/>
      </c>
    </row>
    <row r="37">
      <c r="E37" s="1758" t="n"/>
    </row>
  </sheetData>
  <mergeCells count="6">
    <mergeCell ref="G26:J26"/>
    <mergeCell ref="G34:J34"/>
    <mergeCell ref="C6:F6"/>
    <mergeCell ref="G30:J30"/>
    <mergeCell ref="G21:J21"/>
    <mergeCell ref="C2:F2"/>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B1:R67"/>
  <sheetViews>
    <sheetView zoomScale="85" zoomScaleNormal="85" workbookViewId="0">
      <selection activeCell="O10" sqref="O10"/>
    </sheetView>
  </sheetViews>
  <sheetFormatPr baseColWidth="8" defaultColWidth="9.140625" defaultRowHeight="15"/>
  <cols>
    <col width="9.140625" customWidth="1" style="1454" min="1" max="1"/>
    <col width="33.85546875" customWidth="1" style="1449" min="2" max="2"/>
    <col width="25.7109375" customWidth="1" style="1449" min="3" max="3"/>
    <col hidden="1" width="21.85546875" customWidth="1" style="1449" min="4" max="4"/>
    <col width="27.28515625" customWidth="1" style="1538" min="5" max="5"/>
    <col hidden="1" width="21.85546875" customWidth="1" style="1449" min="6" max="6"/>
    <col width="27.28515625" customWidth="1" style="1538" min="7" max="7"/>
    <col hidden="1" width="22" customWidth="1" style="1449" min="8" max="8"/>
    <col width="27.28515625" customWidth="1" style="1538" min="9" max="9"/>
    <col hidden="1" width="21.85546875" customWidth="1" style="1449" min="10" max="10"/>
    <col width="27.28515625" customWidth="1" style="1538" min="11" max="11"/>
    <col hidden="1" width="21.85546875" customWidth="1" style="1449" min="12" max="12"/>
    <col hidden="1" width="8.7109375" customWidth="1" style="1449" min="13" max="13"/>
    <col width="9.140625" customWidth="1" style="1454" min="14" max="14"/>
    <col width="31.85546875" customWidth="1" style="1454" min="15" max="15"/>
    <col width="9.140625" customWidth="1" style="1454" min="16" max="16"/>
  </cols>
  <sheetData>
    <row r="1">
      <c r="B1" s="1275" t="inlineStr">
        <is>
          <t xml:space="preserve">NOTES: </t>
        </is>
      </c>
      <c r="C1" s="1276" t="n"/>
      <c r="D1" s="1276" t="n"/>
      <c r="E1" s="1277" t="n"/>
    </row>
    <row r="2">
      <c r="B2" s="1278" t="inlineStr">
        <is>
          <t>Change Highlighted fields only</t>
        </is>
      </c>
      <c r="C2" s="1145" t="n"/>
      <c r="D2" s="1145" t="n"/>
      <c r="E2" s="1279" t="n"/>
    </row>
    <row r="3">
      <c r="B3" s="1278" t="inlineStr">
        <is>
          <t>Change highlighted areas to WHITE when complete</t>
        </is>
      </c>
      <c r="C3" s="1145" t="n"/>
      <c r="D3" s="1145" t="n"/>
      <c r="E3" s="1279" t="n"/>
    </row>
    <row r="4">
      <c r="B4" s="1278" t="inlineStr">
        <is>
          <t>Check all cells for accuracy after completing</t>
        </is>
      </c>
      <c r="C4" s="1145" t="n"/>
      <c r="D4" s="1145" t="n"/>
      <c r="E4" s="1279" t="n"/>
    </row>
    <row r="5" ht="15.75" customHeight="1" s="1449" thickBot="1">
      <c r="B5" s="1280" t="inlineStr">
        <is>
          <t>Remember to spell check every worksheet as you go.</t>
        </is>
      </c>
      <c r="C5" s="1281" t="n"/>
      <c r="D5" s="1281" t="n"/>
      <c r="E5" s="1282" t="n"/>
    </row>
    <row r="7">
      <c r="B7" s="1539" t="inlineStr">
        <is>
          <t>COMPARABLE SALE ADJUSTMENT GRID</t>
        </is>
      </c>
    </row>
    <row r="8">
      <c r="B8" s="801" t="n"/>
      <c r="C8" s="801" t="inlineStr">
        <is>
          <t>Subject</t>
        </is>
      </c>
      <c r="D8" s="1537" t="inlineStr">
        <is>
          <t>Sale 1</t>
        </is>
      </c>
      <c r="F8" s="1537" t="inlineStr">
        <is>
          <t>Sale 2</t>
        </is>
      </c>
      <c r="H8" s="1537" t="inlineStr">
        <is>
          <t>Sale 3</t>
        </is>
      </c>
      <c r="J8" s="1537" t="inlineStr">
        <is>
          <t>Sale 4</t>
        </is>
      </c>
      <c r="L8" s="1548" t="inlineStr">
        <is>
          <t>Sale 5</t>
        </is>
      </c>
    </row>
    <row r="9">
      <c r="B9" s="840" t="inlineStr">
        <is>
          <t>Address</t>
        </is>
      </c>
      <c r="C9" s="841">
        <f>'Property Info'!B17</f>
        <v/>
      </c>
      <c r="D9" s="1077" t="n"/>
      <c r="E9" s="1254" t="n"/>
      <c r="F9" s="1077" t="n"/>
      <c r="G9" s="1254" t="n"/>
      <c r="H9" s="1077" t="n"/>
      <c r="I9" s="1254" t="n"/>
      <c r="J9" s="1076" t="n"/>
      <c r="K9" s="1255" t="n"/>
      <c r="L9" s="1543" t="n"/>
    </row>
    <row r="10" ht="30" customHeight="1" s="1449">
      <c r="B10" s="840" t="inlineStr">
        <is>
          <t>City, State</t>
        </is>
      </c>
      <c r="C10" s="842">
        <f>'Property Info'!B18</f>
        <v/>
      </c>
      <c r="D10" s="1076" t="n"/>
      <c r="E10" s="1255" t="n"/>
      <c r="F10" s="1076" t="n"/>
      <c r="G10" s="1255" t="n"/>
      <c r="H10" s="1076" t="n"/>
      <c r="I10" s="1255" t="n"/>
      <c r="J10" s="1076" t="n"/>
      <c r="K10" s="1255" t="n"/>
      <c r="L10" s="1543" t="n"/>
    </row>
    <row r="11" ht="27" customHeight="1" s="1449">
      <c r="B11" s="840" t="inlineStr">
        <is>
          <t>Account/Parcel Number</t>
        </is>
      </c>
      <c r="C11" s="842">
        <f>'Property Info'!B2</f>
        <v/>
      </c>
      <c r="D11" s="1076" t="n"/>
      <c r="E11" s="1255" t="n"/>
      <c r="F11" s="1076" t="n"/>
      <c r="G11" s="1255" t="n"/>
      <c r="H11" s="1076" t="n"/>
      <c r="I11" s="1255" t="n"/>
      <c r="J11" s="1077" t="n"/>
      <c r="K11" s="1254" t="n"/>
      <c r="L11" s="1542" t="n"/>
    </row>
    <row r="12">
      <c r="B12" s="840" t="inlineStr">
        <is>
          <t>Property Type</t>
        </is>
      </c>
      <c r="C12" s="1249" t="inlineStr">
        <is>
          <t>Industrial Land</t>
        </is>
      </c>
      <c r="D12" s="1076" t="n"/>
      <c r="E12" s="1255" t="inlineStr">
        <is>
          <t>Industrial Land</t>
        </is>
      </c>
      <c r="F12" s="1076" t="n"/>
      <c r="G12" s="1255" t="inlineStr">
        <is>
          <t>Industrial Land</t>
        </is>
      </c>
      <c r="H12" s="1076" t="n"/>
      <c r="I12" s="1255" t="inlineStr">
        <is>
          <t>Industrial Land</t>
        </is>
      </c>
      <c r="J12" s="1076" t="n"/>
      <c r="K12" s="1255" t="inlineStr">
        <is>
          <t>Industrial Land</t>
        </is>
      </c>
      <c r="L12" s="1543" t="inlineStr">
        <is>
          <t>Commercial Land</t>
        </is>
      </c>
    </row>
    <row r="13">
      <c r="B13" s="840" t="inlineStr">
        <is>
          <t>Sale Date</t>
        </is>
      </c>
      <c r="C13" s="1250" t="inlineStr">
        <is>
          <t>N/A</t>
        </is>
      </c>
      <c r="D13" s="1831" t="n"/>
      <c r="E13" s="1832" t="n"/>
      <c r="F13" s="1831" t="n"/>
      <c r="G13" s="1832" t="n"/>
      <c r="H13" s="1831" t="n"/>
      <c r="I13" s="1832" t="n"/>
      <c r="J13" s="1831" t="n"/>
      <c r="K13" s="1832" t="n"/>
      <c r="L13" s="1833" t="n"/>
    </row>
    <row r="14" ht="12.6" customHeight="1" s="1449">
      <c r="B14" s="840" t="inlineStr">
        <is>
          <t>Sale Price</t>
        </is>
      </c>
      <c r="C14" s="1834" t="inlineStr">
        <is>
          <t>N/A</t>
        </is>
      </c>
      <c r="D14" s="1835" t="n"/>
      <c r="E14" s="1836" t="n"/>
      <c r="F14" s="1835" t="n"/>
      <c r="G14" s="1836" t="n"/>
      <c r="H14" s="1835" t="n"/>
      <c r="I14" s="1836" t="n"/>
      <c r="J14" s="1835" t="n"/>
      <c r="K14" s="1836" t="n"/>
      <c r="L14" s="1837" t="n"/>
    </row>
    <row r="15" ht="12.6" customHeight="1" s="1449">
      <c r="B15" s="840" t="inlineStr">
        <is>
          <t>Listing Price</t>
        </is>
      </c>
      <c r="C15" s="1834" t="inlineStr">
        <is>
          <t>N/A</t>
        </is>
      </c>
      <c r="D15" s="1835" t="n"/>
      <c r="E15" s="1836" t="inlineStr">
        <is>
          <t>Not Reported</t>
        </is>
      </c>
      <c r="F15" s="1835" t="n"/>
      <c r="G15" s="1836" t="n">
        <v>1224040</v>
      </c>
      <c r="H15" s="1835" t="n"/>
      <c r="I15" s="1836" t="n">
        <v>1600000</v>
      </c>
      <c r="J15" s="1835" t="n"/>
      <c r="K15" s="1836" t="inlineStr">
        <is>
          <t>Not Reported</t>
        </is>
      </c>
      <c r="L15" s="1837" t="n">
        <v>500000</v>
      </c>
    </row>
    <row r="16" ht="12.6" customHeight="1" s="1449">
      <c r="B16" s="840" t="inlineStr">
        <is>
          <t>Days On Market</t>
        </is>
      </c>
      <c r="C16" s="1250" t="inlineStr">
        <is>
          <t>N/A</t>
        </is>
      </c>
      <c r="D16" s="1076" t="n"/>
      <c r="E16" s="1255" t="inlineStr">
        <is>
          <t>Not Reported</t>
        </is>
      </c>
      <c r="F16" s="1076" t="n"/>
      <c r="G16" s="1255" t="n">
        <v>1117</v>
      </c>
      <c r="H16" s="1076" t="n"/>
      <c r="I16" s="1255" t="n">
        <v>259</v>
      </c>
      <c r="J16" s="1076" t="n"/>
      <c r="K16" s="1255" t="inlineStr">
        <is>
          <t>Not Reported</t>
        </is>
      </c>
      <c r="L16" s="1543" t="n">
        <v>725</v>
      </c>
    </row>
    <row r="17" ht="60" customHeight="1" s="1449">
      <c r="B17" s="840" t="inlineStr">
        <is>
          <t>Data Source</t>
        </is>
      </c>
      <c r="C17" s="1252" t="inlineStr">
        <is>
          <t>Assessor, appraiser measurements</t>
        </is>
      </c>
      <c r="D17" s="1077" t="n"/>
      <c r="E17" s="1254" t="inlineStr">
        <is>
          <t>Costar, Assessor Data, Deed, Troy DeVos (Buyer Representative)</t>
        </is>
      </c>
      <c r="F17" s="1077" t="n"/>
      <c r="G17" s="1254" t="inlineStr">
        <is>
          <t>CoStar, Assessor Data, Listing Broker (Phil Foster &amp; Co.)</t>
        </is>
      </c>
      <c r="H17" s="1077" t="n"/>
      <c r="I17" s="1254" t="inlineStr">
        <is>
          <t>CoStar, Assessor Data, Listing Broker (Mark Goodman/Goodman Commercial)</t>
        </is>
      </c>
      <c r="J17" s="1077" t="n"/>
      <c r="K17" s="1254" t="inlineStr">
        <is>
          <t>CoStar, Denver Assessor, Deed, Loan</t>
        </is>
      </c>
      <c r="L17" s="1542" t="inlineStr">
        <is>
          <t>CoStar, Assessor, Listing</t>
        </is>
      </c>
    </row>
    <row r="18" hidden="1" ht="12.6" customHeight="1" s="1449">
      <c r="B18" s="840" t="inlineStr">
        <is>
          <t>Grantor</t>
        </is>
      </c>
      <c r="C18" s="843" t="inlineStr">
        <is>
          <t>TBD</t>
        </is>
      </c>
      <c r="D18" s="1079" t="n"/>
      <c r="E18" s="1258" t="n"/>
      <c r="F18" s="1079" t="n"/>
      <c r="G18" s="1258" t="n"/>
      <c r="H18" s="1079" t="n"/>
      <c r="I18" s="1258" t="n"/>
      <c r="J18" s="1079" t="n"/>
      <c r="K18" s="1258" t="n"/>
      <c r="L18" s="1547" t="n"/>
    </row>
    <row r="19" hidden="1" ht="12.6" customHeight="1" s="1449">
      <c r="B19" s="840" t="inlineStr">
        <is>
          <t>Grantee</t>
        </is>
      </c>
      <c r="C19" s="843" t="inlineStr">
        <is>
          <t>TBD</t>
        </is>
      </c>
      <c r="D19" s="1079" t="n"/>
      <c r="E19" s="1258" t="n"/>
      <c r="F19" s="1079" t="n"/>
      <c r="G19" s="1258" t="n"/>
      <c r="H19" s="1079" t="n"/>
      <c r="I19" s="1258" t="n"/>
      <c r="J19" s="1079" t="n"/>
      <c r="K19" s="1258" t="n"/>
      <c r="L19" s="1541" t="n"/>
    </row>
    <row r="20">
      <c r="B20" s="840" t="inlineStr">
        <is>
          <t>Site Size (SF)</t>
        </is>
      </c>
      <c r="C20" s="843">
        <f>'Property Info'!B12</f>
        <v/>
      </c>
      <c r="D20" s="1079" t="n"/>
      <c r="E20" s="1258" t="n"/>
      <c r="F20" s="1079" t="n"/>
      <c r="G20" s="1258" t="n"/>
      <c r="H20" s="1079" t="n"/>
      <c r="I20" s="1258" t="n"/>
      <c r="J20" s="1079" t="n"/>
      <c r="K20" s="1258" t="n"/>
      <c r="L20" s="1541" t="n"/>
    </row>
    <row r="21">
      <c r="B21" s="840" t="inlineStr">
        <is>
          <t xml:space="preserve">Zoning </t>
        </is>
      </c>
      <c r="C21" s="843">
        <f>'Property Info'!B30</f>
        <v/>
      </c>
      <c r="D21" s="1079" t="n"/>
      <c r="E21" s="1258" t="inlineStr">
        <is>
          <t>B-3 (Business/Commercial)</t>
        </is>
      </c>
      <c r="F21" s="1079" t="n"/>
      <c r="G21" s="1258" t="inlineStr">
        <is>
          <t>PUD-I (Industrial)</t>
        </is>
      </c>
      <c r="H21" s="1079" t="n"/>
      <c r="I21" s="1258" t="inlineStr">
        <is>
          <t>I-2 (General Industrial)</t>
        </is>
      </c>
      <c r="J21" s="1079" t="n"/>
      <c r="K21" s="1258" t="inlineStr">
        <is>
          <t>I-B (General Industrial)</t>
        </is>
      </c>
      <c r="L21" s="1541" t="inlineStr">
        <is>
          <t>B-2</t>
        </is>
      </c>
    </row>
    <row r="22" ht="48.75" customHeight="1" s="1449">
      <c r="B22" s="840" t="inlineStr">
        <is>
          <t>Comments</t>
        </is>
      </c>
      <c r="C22" s="1838" t="inlineStr">
        <is>
          <t>Industrial land</t>
        </is>
      </c>
      <c r="D22" s="1839" t="n"/>
      <c r="E22" s="1840" t="n"/>
      <c r="F22" s="1839" t="n"/>
      <c r="G22" s="1840" t="n"/>
      <c r="H22" s="1839" t="n"/>
      <c r="I22" s="1840" t="n"/>
      <c r="J22" s="1839" t="n"/>
      <c r="K22" s="1841" t="n"/>
      <c r="L22" s="1842" t="n"/>
      <c r="M22" s="1545" t="n"/>
    </row>
    <row r="23" ht="12.6" customHeight="1" s="1449">
      <c r="B23" s="513" t="inlineStr">
        <is>
          <t>Unadjusted Price Per SF</t>
        </is>
      </c>
      <c r="C23" s="1843" t="n"/>
      <c r="D23" s="515" t="n"/>
      <c r="E23" s="1844">
        <f>E14/E20</f>
        <v/>
      </c>
      <c r="F23" s="515" t="n"/>
      <c r="G23" s="1844">
        <f>G14/G20</f>
        <v/>
      </c>
      <c r="H23" s="515" t="n"/>
      <c r="I23" s="1844">
        <f>I14/I20</f>
        <v/>
      </c>
      <c r="J23" s="515" t="n"/>
      <c r="K23" s="1845">
        <f>K14/K20</f>
        <v/>
      </c>
      <c r="L23" s="1132" t="n"/>
      <c r="M23" s="1844">
        <f>L15/L20</f>
        <v/>
      </c>
    </row>
    <row r="24">
      <c r="B24" s="862" t="inlineStr">
        <is>
          <t>Quantified Adjustments</t>
        </is>
      </c>
      <c r="C24" s="863" t="n"/>
      <c r="D24" s="864" t="n"/>
      <c r="E24" s="865" t="n"/>
      <c r="F24" s="864" t="n"/>
      <c r="G24" s="865" t="n"/>
      <c r="H24" s="864" t="n"/>
      <c r="I24" s="865" t="n"/>
      <c r="J24" s="864" t="n"/>
      <c r="K24" s="1134" t="n"/>
      <c r="L24" s="523" t="n"/>
      <c r="M24" s="523" t="n"/>
    </row>
    <row r="25">
      <c r="B25" s="844" t="inlineStr">
        <is>
          <t>Property Rights Conveyed</t>
        </is>
      </c>
      <c r="C25" s="1091" t="inlineStr">
        <is>
          <t>Fee Simple</t>
        </is>
      </c>
      <c r="D25" s="845" t="inlineStr">
        <is>
          <t>Fee Simple</t>
        </is>
      </c>
      <c r="E25" s="1846" t="n">
        <v>0</v>
      </c>
      <c r="F25" s="1107" t="inlineStr">
        <is>
          <t>Fee Simple</t>
        </is>
      </c>
      <c r="G25" s="1846" t="n">
        <v>0</v>
      </c>
      <c r="H25" s="1107" t="inlineStr">
        <is>
          <t>Fee Simple</t>
        </is>
      </c>
      <c r="I25" s="1846" t="n">
        <v>0</v>
      </c>
      <c r="J25" s="1107" t="inlineStr">
        <is>
          <t>Fee Simple</t>
        </is>
      </c>
      <c r="K25" s="1847" t="n">
        <v>0</v>
      </c>
      <c r="L25" s="1107" t="inlineStr">
        <is>
          <t>Fee Simple</t>
        </is>
      </c>
      <c r="M25" s="1848" t="n"/>
    </row>
    <row r="26" hidden="1" s="1449">
      <c r="B26" s="847" t="inlineStr">
        <is>
          <t>Property Rights Conveyed Adjusted</t>
        </is>
      </c>
      <c r="C26" s="1092" t="n"/>
      <c r="D26" s="848" t="n"/>
      <c r="E26" s="1849">
        <f>IF(LEFT(CELL("format",E25),1)="P",E23*(1+E25),IF(LEFT(CELL("format",E25),1)="C",E23+E25))</f>
        <v/>
      </c>
      <c r="F26" s="1108" t="n"/>
      <c r="G26" s="1849">
        <f>IF(LEFT(CELL("format",G25),1)="P",G23*(1+G25),IF(LEFT(CELL("format",G25),1)="C",G23+G25))</f>
        <v/>
      </c>
      <c r="H26" s="1108" t="n"/>
      <c r="I26" s="1849">
        <f>IF(LEFT(CELL("format",I25),1)="P",I23*(1+I25),IF(LEFT(CELL("format",I25),1)="C",I23+I25))</f>
        <v/>
      </c>
      <c r="J26" s="1108" t="n"/>
      <c r="K26" s="1850">
        <f>IF(LEFT(CELL("format",K25),1)="P",K23*(1+K25),IF(LEFT(CELL("format",K25),1)="C",K23+K25))</f>
        <v/>
      </c>
      <c r="L26" s="1108" t="n"/>
      <c r="M26" s="1851">
        <f>IF(LEFT(CELL("format",M25),1)="P",M23*(1+M25),IF(LEFT(CELL("format",M25),1)="C",M23+M25))</f>
        <v/>
      </c>
    </row>
    <row r="27">
      <c r="B27" s="840" t="inlineStr">
        <is>
          <t>Financing</t>
        </is>
      </c>
      <c r="C27" s="1092" t="inlineStr">
        <is>
          <t>N/A</t>
        </is>
      </c>
      <c r="D27" s="848" t="inlineStr">
        <is>
          <t>Market-Based</t>
        </is>
      </c>
      <c r="E27" s="1852" t="n">
        <v>0</v>
      </c>
      <c r="F27" s="1108" t="inlineStr">
        <is>
          <t>Market-Based</t>
        </is>
      </c>
      <c r="G27" s="1852" t="n">
        <v>0</v>
      </c>
      <c r="H27" s="1108" t="inlineStr">
        <is>
          <t>Market-Based</t>
        </is>
      </c>
      <c r="I27" s="1852" t="n">
        <v>0</v>
      </c>
      <c r="J27" s="1108" t="inlineStr">
        <is>
          <t>Market-Based</t>
        </is>
      </c>
      <c r="K27" s="1847" t="n">
        <v>0</v>
      </c>
      <c r="L27" s="1108" t="inlineStr">
        <is>
          <t>Market-Based</t>
        </is>
      </c>
      <c r="M27" s="1853" t="n">
        <v>0</v>
      </c>
      <c r="N27" s="362" t="n"/>
    </row>
    <row r="28" hidden="1" s="1449">
      <c r="B28" s="847" t="inlineStr">
        <is>
          <t>Financing Adjusted</t>
        </is>
      </c>
      <c r="C28" s="1092" t="n"/>
      <c r="D28" s="848" t="n"/>
      <c r="E28" s="1854">
        <f>IF(LEFT(CELL("format",E27),1)="P",E26*(1+E27),IF(LEFT(CELL("format",E27),1)="C",E26+E27))</f>
        <v/>
      </c>
      <c r="F28" s="1108" t="n"/>
      <c r="G28" s="1854">
        <f>IF(LEFT(CELL("format",G27),1)="P",G26*(1+G27),IF(LEFT(CELL("format",G27),1)="C",G26+G27))</f>
        <v/>
      </c>
      <c r="H28" s="1108" t="n"/>
      <c r="I28" s="1854">
        <f>IF(LEFT(CELL("format",I27),1)="P",I26*(1+I27),IF(LEFT(CELL("format",I27),1)="C",I26+I27))</f>
        <v/>
      </c>
      <c r="J28" s="1108" t="n"/>
      <c r="K28" s="1855">
        <f>IF(LEFT(CELL("format",K27),1)="P",K26*(1+K27),IF(LEFT(CELL("format",K27),1)="C",K26+K27))</f>
        <v/>
      </c>
      <c r="L28" s="1108" t="n"/>
      <c r="M28" s="1856">
        <f>IF(LEFT(CELL("format",M27),1)="P",M26*(1+M27),IF(LEFT(CELL("format",M27),1)="C",M26+M27))</f>
        <v/>
      </c>
      <c r="N28" s="362" t="n"/>
      <c r="R28">
        <f>0.25*J20</f>
        <v/>
      </c>
    </row>
    <row r="29">
      <c r="B29" s="840" t="inlineStr">
        <is>
          <t>Terms/Conditions of Sale</t>
        </is>
      </c>
      <c r="C29" s="1092" t="inlineStr">
        <is>
          <t>N/A</t>
        </is>
      </c>
      <c r="D29" s="848" t="inlineStr">
        <is>
          <t>None</t>
        </is>
      </c>
      <c r="E29" s="1852" t="n">
        <v>0</v>
      </c>
      <c r="F29" s="1108" t="inlineStr">
        <is>
          <t>None</t>
        </is>
      </c>
      <c r="G29" s="1852" t="n">
        <v>0</v>
      </c>
      <c r="H29" s="1108" t="inlineStr">
        <is>
          <t>None</t>
        </is>
      </c>
      <c r="I29" s="1852" t="n">
        <v>0</v>
      </c>
      <c r="J29" s="1108" t="inlineStr">
        <is>
          <t>None</t>
        </is>
      </c>
      <c r="K29" s="1847" t="n">
        <v>0</v>
      </c>
      <c r="L29" s="1108" t="inlineStr">
        <is>
          <t>None</t>
        </is>
      </c>
      <c r="M29" s="1853" t="n">
        <v>0</v>
      </c>
      <c r="N29" s="362" t="n"/>
    </row>
    <row r="30" hidden="1" s="1449">
      <c r="B30" s="847" t="inlineStr">
        <is>
          <t>Terms/Conditions of Sale Adjusted</t>
        </is>
      </c>
      <c r="C30" s="1092" t="n"/>
      <c r="D30" s="848" t="n"/>
      <c r="E30" s="1854">
        <f>IF(LEFT(CELL("format",E29),1)="P",E28*(1+E29),IF(LEFT(CELL("format",E29),1)="C",E28+E29))</f>
        <v/>
      </c>
      <c r="F30" s="1108" t="n"/>
      <c r="G30" s="1854">
        <f>IF(LEFT(CELL("format",G29),1)="P",G28*(1+G29),IF(LEFT(CELL("format",G29),1)="C",G28+G29))</f>
        <v/>
      </c>
      <c r="H30" s="1108" t="n"/>
      <c r="I30" s="1854">
        <f>IF(LEFT(CELL("format",I29),1)="P",I28*(1+I29),IF(LEFT(CELL("format",I29),1)="C",I28+I29))</f>
        <v/>
      </c>
      <c r="J30" s="1108" t="n"/>
      <c r="K30" s="1855">
        <f>IF(LEFT(CELL("format",K29),1)="P",K28*(1+K29),IF(LEFT(CELL("format",K29),1)="C",K28+K29))</f>
        <v/>
      </c>
      <c r="L30" s="1108" t="n"/>
      <c r="M30" s="1856">
        <f>IF(LEFT(CELL("format",M29),1)="P",M28*(1+M29),IF(LEFT(CELL("format",M29),1)="C",M28+M29))</f>
        <v/>
      </c>
      <c r="N30" s="362" t="n"/>
    </row>
    <row r="31">
      <c r="B31" s="840" t="inlineStr">
        <is>
          <t>Expenditures After Sale</t>
        </is>
      </c>
      <c r="C31" s="1092" t="inlineStr">
        <is>
          <t>N/A</t>
        </is>
      </c>
      <c r="D31" s="848" t="inlineStr">
        <is>
          <t>None</t>
        </is>
      </c>
      <c r="E31" s="1852" t="n">
        <v>0</v>
      </c>
      <c r="F31" s="1108" t="inlineStr">
        <is>
          <t>None</t>
        </is>
      </c>
      <c r="G31" s="1852" t="n">
        <v>0</v>
      </c>
      <c r="H31" s="1108" t="inlineStr">
        <is>
          <t>None</t>
        </is>
      </c>
      <c r="I31" s="1852" t="n">
        <v>0</v>
      </c>
      <c r="J31" s="1108" t="inlineStr">
        <is>
          <t>None</t>
        </is>
      </c>
      <c r="K31" s="1847" t="n">
        <v>0</v>
      </c>
      <c r="L31" s="1108" t="inlineStr">
        <is>
          <t>None</t>
        </is>
      </c>
      <c r="M31" s="1853" t="n">
        <v>0</v>
      </c>
      <c r="N31" s="362" t="n"/>
    </row>
    <row r="32" hidden="1" s="1449">
      <c r="B32" s="847" t="inlineStr">
        <is>
          <t>Expenditures After Sale Adjusted</t>
        </is>
      </c>
      <c r="C32" s="1092" t="n"/>
      <c r="D32" s="848" t="n"/>
      <c r="E32" s="1854">
        <f>IF(LEFT(CELL("format",E31),1)="P",E30*(1+E31),IF(LEFT(CELL("format",E31),1)="C",E30+E31))</f>
        <v/>
      </c>
      <c r="F32" s="1108" t="n"/>
      <c r="G32" s="1854">
        <f>IF(LEFT(CELL("format",G31),1)="P",G30*(1+G31),IF(LEFT(CELL("format",G31),1)="C",G30+G31))</f>
        <v/>
      </c>
      <c r="H32" s="1108" t="n"/>
      <c r="I32" s="1854">
        <f>IF(LEFT(CELL("format",I31),1)="P",I30*(1+I31),IF(LEFT(CELL("format",I31),1)="C",I30+I31))</f>
        <v/>
      </c>
      <c r="J32" s="1108" t="n"/>
      <c r="K32" s="1855">
        <f>IF(LEFT(CELL("format",K31),1)="P",K30*(1+K31),IF(LEFT(CELL("format",K31),1)="C",K30+K31))</f>
        <v/>
      </c>
      <c r="L32" s="1108" t="n"/>
      <c r="M32" s="1856">
        <f>IF(LEFT(CELL("format",M31),1)="P",M30*(1+M31),IF(LEFT(CELL("format",M31),1)="C",M30+M31))</f>
        <v/>
      </c>
      <c r="N32" s="362" t="n"/>
    </row>
    <row r="33">
      <c r="B33" s="840" t="inlineStr">
        <is>
          <t>Market Conditions</t>
        </is>
      </c>
      <c r="C33" s="1092" t="inlineStr">
        <is>
          <t>N/A</t>
        </is>
      </c>
      <c r="D33" s="1857">
        <f>D13</f>
        <v/>
      </c>
      <c r="E33" s="1852" t="n">
        <v>0</v>
      </c>
      <c r="F33" s="1858">
        <f>F13</f>
        <v/>
      </c>
      <c r="G33" s="1852" t="n">
        <v>0</v>
      </c>
      <c r="H33" s="1858">
        <f>H13</f>
        <v/>
      </c>
      <c r="I33" s="1852" t="n">
        <v>0</v>
      </c>
      <c r="J33" s="1858">
        <f>J13</f>
        <v/>
      </c>
      <c r="K33" s="1847" t="n">
        <v>0</v>
      </c>
      <c r="L33" s="1108" t="inlineStr">
        <is>
          <t>TBD</t>
        </is>
      </c>
      <c r="M33" s="1853" t="n">
        <v>0</v>
      </c>
      <c r="N33" s="362" t="n"/>
    </row>
    <row r="34" hidden="1" s="1449">
      <c r="B34" s="847" t="inlineStr">
        <is>
          <t>Market Conditions Adjusted</t>
        </is>
      </c>
      <c r="C34" s="1092" t="n"/>
      <c r="D34" s="848" t="n"/>
      <c r="E34" s="1859">
        <f>IF(LEFT(CELL("format",E33),1)="P",E32*(1+E33),IF(LEFT(CELL("format",E33),1)="C",E32+E33))</f>
        <v/>
      </c>
      <c r="F34" s="1108" t="n"/>
      <c r="G34" s="1859">
        <f>IF(LEFT(CELL("format",G33),1)="P",G32*(1+G33),IF(LEFT(CELL("format",G33),1)="C",G32+G33))</f>
        <v/>
      </c>
      <c r="H34" s="1108" t="n"/>
      <c r="I34" s="1859">
        <f>IF(LEFT(CELL("format",I33),1)="P",I32*(1+I33),IF(LEFT(CELL("format",I33),1)="C",I32+I33))</f>
        <v/>
      </c>
      <c r="J34" s="1108" t="n"/>
      <c r="K34" s="1860">
        <f>IF(LEFT(CELL("format",K33),1)="P",K32*(1+K33),IF(LEFT(CELL("format",K33),1)="C",K32+K33))</f>
        <v/>
      </c>
      <c r="L34" s="1108" t="n"/>
      <c r="M34" s="1851">
        <f>IF(LEFT(CELL("format",M33),1)="P",M32*(1+M33),IF(LEFT(CELL("format",M33),1)="C",M32+M33))</f>
        <v/>
      </c>
    </row>
    <row r="35" ht="15" customHeight="1" s="1449">
      <c r="B35" s="542" t="inlineStr">
        <is>
          <t>Total Quantified Adjustment</t>
        </is>
      </c>
      <c r="C35" s="1093" t="n"/>
      <c r="D35" s="544" t="n"/>
      <c r="E35" s="547">
        <f>IFERROR(TEXT(E34-E23,"$#,##0.00")&amp;CHAR(10)&amp;" or "&amp;CHAR(10)&amp;TEXT((E34-E23)/E23,"0.00%"),0)</f>
        <v/>
      </c>
      <c r="F35" s="1110" t="n"/>
      <c r="G35" s="547">
        <f>IFERROR(TEXT(G34-G23,"$#,##0.00")&amp;CHAR(10)&amp;" or "&amp;CHAR(10)&amp;TEXT((G34-G23)/G23,"0.00%"),0)</f>
        <v/>
      </c>
      <c r="H35" s="1110" t="n"/>
      <c r="I35" s="547">
        <f>IFERROR(TEXT(I34-I23,"$#,##0.00")&amp;CHAR(10)&amp;" or "&amp;CHAR(10)&amp;TEXT((I34-I23)/I23,"0.00%"),0)</f>
        <v/>
      </c>
      <c r="J35" s="1110" t="n"/>
      <c r="K35" s="546">
        <f>IFERROR(TEXT(K34-K23,"$#,##0.00")&amp;CHAR(10)&amp;" or "&amp;CHAR(10)&amp;TEXT((K34-K23)/K23,"0.00%"),0)</f>
        <v/>
      </c>
      <c r="L35" s="1110" t="n"/>
      <c r="M35" s="545">
        <f>IFERROR(TEXT(M34-M23,"$#,##0.00")&amp;CHAR(10)&amp;" or "&amp;CHAR(10)&amp;TEXT((M34-M23)/M23,"0.00%"),0)</f>
        <v/>
      </c>
    </row>
    <row r="36">
      <c r="B36" s="548" t="inlineStr">
        <is>
          <t>Quantitatively Adjusted Price</t>
        </is>
      </c>
      <c r="C36" s="1094" t="n"/>
      <c r="D36" s="544" t="n"/>
      <c r="E36" s="1861">
        <f>E34</f>
        <v/>
      </c>
      <c r="F36" s="1110" t="n"/>
      <c r="G36" s="1861">
        <f>G34</f>
        <v/>
      </c>
      <c r="H36" s="1110" t="n"/>
      <c r="I36" s="1861">
        <f>I34</f>
        <v/>
      </c>
      <c r="J36" s="1110" t="n"/>
      <c r="K36" s="1862">
        <f>K34</f>
        <v/>
      </c>
      <c r="L36" s="1110" t="n"/>
      <c r="M36" s="1863">
        <f>M34</f>
        <v/>
      </c>
    </row>
    <row r="37">
      <c r="B37" s="1085" t="inlineStr">
        <is>
          <t>Location</t>
        </is>
      </c>
      <c r="C37" s="1095">
        <f>'Basic Sales Grid'!D28</f>
        <v/>
      </c>
      <c r="D37" s="1086" t="inlineStr">
        <is>
          <t>Average</t>
        </is>
      </c>
      <c r="E37" s="1864" t="n"/>
      <c r="F37" s="1111" t="n"/>
      <c r="G37" s="1864" t="n"/>
      <c r="H37" s="1111" t="n"/>
      <c r="I37" s="1864" t="n"/>
      <c r="J37" s="1111" t="n"/>
      <c r="K37" s="1865" t="n"/>
      <c r="L37" s="618" t="n"/>
      <c r="M37" s="1866" t="n"/>
    </row>
    <row r="38" hidden="1" ht="12.6" customHeight="1" s="1449">
      <c r="B38" s="568" t="inlineStr">
        <is>
          <t>Distance from Subject</t>
        </is>
      </c>
      <c r="C38" s="1096" t="inlineStr">
        <is>
          <t>N/A</t>
        </is>
      </c>
      <c r="D38" s="854" t="n"/>
      <c r="E38" s="1864" t="n"/>
      <c r="F38" s="1112" t="n"/>
      <c r="G38" s="1864" t="n"/>
      <c r="H38" s="1112" t="n"/>
      <c r="I38" s="1864" t="n"/>
      <c r="J38" s="1112" t="n"/>
      <c r="K38" s="1865" t="n"/>
      <c r="L38" s="1112" t="n"/>
      <c r="M38" s="1867" t="n"/>
    </row>
    <row r="39" hidden="1" ht="29.25" customHeight="1" s="1449">
      <c r="B39" s="568" t="inlineStr">
        <is>
          <t>Surrounding Land Uses</t>
        </is>
      </c>
      <c r="C39" s="1096" t="inlineStr">
        <is>
          <t>Retail, residential, developable land</t>
        </is>
      </c>
      <c r="D39" s="854" t="n"/>
      <c r="E39" s="1864" t="n"/>
      <c r="F39" s="1112" t="n"/>
      <c r="G39" s="1864" t="n"/>
      <c r="H39" s="1112" t="n"/>
      <c r="I39" s="1864" t="n"/>
      <c r="J39" s="1112" t="n"/>
      <c r="K39" s="1865" t="n"/>
      <c r="L39" s="1112" t="n"/>
      <c r="M39" s="1867" t="n"/>
    </row>
    <row r="40" hidden="1" ht="12.6" customHeight="1" s="1449">
      <c r="B40" s="568" t="inlineStr">
        <is>
          <t>Quality/Condition of Surrounding Area</t>
        </is>
      </c>
      <c r="C40" s="1097" t="inlineStr">
        <is>
          <t>Average to New</t>
        </is>
      </c>
      <c r="D40" s="856" t="n"/>
      <c r="E40" s="1864" t="n"/>
      <c r="F40" s="1113" t="n"/>
      <c r="G40" s="1864" t="n"/>
      <c r="H40" s="1113" t="n"/>
      <c r="I40" s="1864" t="n"/>
      <c r="J40" s="1113" t="n"/>
      <c r="K40" s="1865" t="n"/>
      <c r="L40" s="1113" t="n"/>
      <c r="M40" s="1867" t="n"/>
    </row>
    <row r="41" hidden="1" ht="12.6" customHeight="1" s="1449">
      <c r="B41" s="568" t="inlineStr">
        <is>
          <t>Access to Commercial Services/Amenities</t>
        </is>
      </c>
      <c r="C41" s="1097" t="inlineStr">
        <is>
          <t>Good</t>
        </is>
      </c>
      <c r="D41" s="856" t="n"/>
      <c r="E41" s="1864" t="n"/>
      <c r="F41" s="1113" t="n"/>
      <c r="G41" s="1864" t="n"/>
      <c r="H41" s="1113" t="n"/>
      <c r="I41" s="1864" t="n"/>
      <c r="J41" s="1113" t="n"/>
      <c r="K41" s="1865" t="n"/>
      <c r="L41" s="1113" t="n"/>
      <c r="M41" s="1867" t="n"/>
    </row>
    <row r="42" hidden="1" ht="75.75" customHeight="1" s="1449">
      <c r="B42" s="568" t="inlineStr">
        <is>
          <t>Visibility/Access</t>
        </is>
      </c>
      <c r="C42" s="1098" t="inlineStr">
        <is>
          <t>Average- access and visibility from two secondary thoroughfares.</t>
        </is>
      </c>
      <c r="D42" s="857" t="n"/>
      <c r="E42" s="1864" t="n"/>
      <c r="F42" s="1114" t="n"/>
      <c r="G42" s="1864" t="n"/>
      <c r="H42" s="1114" t="n"/>
      <c r="I42" s="1864" t="n"/>
      <c r="J42" s="1114" t="n"/>
      <c r="K42" s="1865" t="n"/>
      <c r="L42" s="1114" t="n"/>
      <c r="M42" s="1867" t="n"/>
    </row>
    <row r="43" hidden="1" ht="70.5" customHeight="1" s="1449">
      <c r="B43" s="568" t="inlineStr">
        <is>
          <t>Description</t>
        </is>
      </c>
      <c r="C43" s="1099" t="inlineStr">
        <is>
          <t xml:space="preserve">Developing residential/retail area. Commercial thoroughfare exposure. Adjacent to anchored retail center. </t>
        </is>
      </c>
      <c r="D43" s="569" t="n"/>
      <c r="E43" s="1864" t="n"/>
      <c r="F43" s="622" t="n"/>
      <c r="G43" s="1864" t="n"/>
      <c r="H43" s="622" t="n"/>
      <c r="I43" s="1864" t="n"/>
      <c r="J43" s="622" t="n"/>
      <c r="K43" s="1865" t="n"/>
      <c r="L43" s="622" t="n"/>
      <c r="M43" s="1867" t="n"/>
    </row>
    <row r="44">
      <c r="B44" s="806">
        <f>B20</f>
        <v/>
      </c>
      <c r="C44" s="1100">
        <f>C20</f>
        <v/>
      </c>
      <c r="D44" s="1087">
        <f>D20</f>
        <v/>
      </c>
      <c r="E44" s="1864" t="n"/>
      <c r="F44" s="1115" t="n"/>
      <c r="G44" s="1864" t="n"/>
      <c r="H44" s="1115" t="n"/>
      <c r="I44" s="1864" t="n"/>
      <c r="J44" s="1115" t="n"/>
      <c r="K44" s="1865" t="n"/>
      <c r="L44" s="623" t="n"/>
      <c r="M44" s="1866" t="n"/>
    </row>
    <row r="45">
      <c r="B45" s="1088" t="inlineStr">
        <is>
          <t xml:space="preserve">Zoning </t>
        </is>
      </c>
      <c r="C45" s="1095">
        <f>C21</f>
        <v/>
      </c>
      <c r="D45" s="1089">
        <f>D21</f>
        <v/>
      </c>
      <c r="E45" s="1864" t="n"/>
      <c r="F45" s="1116" t="n"/>
      <c r="G45" s="1864" t="n"/>
      <c r="H45" s="1116" t="n"/>
      <c r="I45" s="1864" t="n"/>
      <c r="J45" s="1116" t="n"/>
      <c r="K45" s="1865" t="n"/>
      <c r="L45" s="1125" t="n"/>
      <c r="M45" s="1866" t="n"/>
    </row>
    <row r="46" ht="16.5" customHeight="1" s="1449">
      <c r="B46" s="1085" t="inlineStr">
        <is>
          <t>Utilities / Infrastructure</t>
        </is>
      </c>
      <c r="C46" s="1261" t="inlineStr">
        <is>
          <t>Average</t>
        </is>
      </c>
      <c r="D46" s="1086" t="inlineStr">
        <is>
          <t>Average</t>
        </is>
      </c>
      <c r="E46" s="1864" t="n"/>
      <c r="F46" s="1111" t="n"/>
      <c r="G46" s="1864" t="n"/>
      <c r="H46" s="1111" t="n"/>
      <c r="I46" s="1864" t="n"/>
      <c r="J46" s="1111" t="n"/>
      <c r="K46" s="1865" t="n"/>
      <c r="L46" s="618" t="n"/>
      <c r="M46" s="1866" t="n"/>
    </row>
    <row r="47" hidden="1" ht="12.6" customHeight="1" s="1449">
      <c r="B47" s="568" t="inlineStr">
        <is>
          <t>Water/Sewer</t>
        </is>
      </c>
      <c r="C47" s="1096" t="inlineStr">
        <is>
          <t>Available - Municipal Services</t>
        </is>
      </c>
      <c r="D47" s="854" t="inlineStr">
        <is>
          <t>Available - Municipal Services</t>
        </is>
      </c>
      <c r="E47" s="1868" t="n"/>
      <c r="F47" s="1112" t="n"/>
      <c r="G47" s="1868" t="n"/>
      <c r="H47" s="1112" t="n"/>
      <c r="I47" s="1868" t="n"/>
      <c r="J47" s="1112" t="n"/>
      <c r="K47" s="1869" t="n"/>
      <c r="L47" s="1112" t="n"/>
      <c r="M47" s="1870" t="n"/>
    </row>
    <row r="48" hidden="1" ht="15" customHeight="1" s="1449">
      <c r="B48" s="568" t="inlineStr">
        <is>
          <t>Electricity/Gas</t>
        </is>
      </c>
      <c r="C48" s="1096" t="inlineStr">
        <is>
          <t>Available - Xcel Energy</t>
        </is>
      </c>
      <c r="D48" s="854" t="inlineStr">
        <is>
          <t>Available - Xcel Energy</t>
        </is>
      </c>
      <c r="E48" s="1868" t="n"/>
      <c r="F48" s="1112" t="n"/>
      <c r="G48" s="1868" t="n"/>
      <c r="H48" s="1112" t="n"/>
      <c r="I48" s="1868" t="n"/>
      <c r="J48" s="1112" t="n"/>
      <c r="K48" s="1869" t="n"/>
      <c r="L48" s="1112" t="n"/>
      <c r="M48" s="1870" t="n"/>
    </row>
    <row r="49" hidden="1" ht="11.25" customHeight="1" s="1449">
      <c r="B49" s="568" t="inlineStr">
        <is>
          <t>Other</t>
        </is>
      </c>
      <c r="C49" s="1097" t="inlineStr">
        <is>
          <t>All available</t>
        </is>
      </c>
      <c r="D49" s="856" t="inlineStr">
        <is>
          <t>Historical Design</t>
        </is>
      </c>
      <c r="E49" s="1868" t="n"/>
      <c r="F49" s="1113" t="n"/>
      <c r="G49" s="1868" t="n"/>
      <c r="H49" s="1113" t="n"/>
      <c r="I49" s="1868" t="n"/>
      <c r="J49" s="1113" t="n"/>
      <c r="K49" s="1869" t="n"/>
      <c r="L49" s="1113" t="n"/>
      <c r="M49" s="1870" t="n"/>
    </row>
    <row r="50" ht="18" customHeight="1" s="1449">
      <c r="B50" s="806" t="inlineStr">
        <is>
          <t>Site Utility</t>
        </is>
      </c>
      <c r="C50" s="1261" t="inlineStr">
        <is>
          <t>Average</t>
        </is>
      </c>
      <c r="D50" s="1090" t="inlineStr">
        <is>
          <t>Average</t>
        </is>
      </c>
      <c r="E50" s="1871" t="n"/>
      <c r="F50" s="1117" t="n"/>
      <c r="G50" s="1871" t="n"/>
      <c r="H50" s="1117" t="n"/>
      <c r="I50" s="1871" t="n"/>
      <c r="J50" s="1111" t="n"/>
      <c r="K50" s="1872" t="n"/>
      <c r="L50" s="618" t="n"/>
      <c r="M50" s="1873" t="n"/>
    </row>
    <row r="51" hidden="1" s="1449">
      <c r="B51" s="568" t="inlineStr">
        <is>
          <t>Site Shape</t>
        </is>
      </c>
      <c r="C51" s="1097" t="inlineStr">
        <is>
          <t>Rectangular</t>
        </is>
      </c>
      <c r="D51" s="856" t="inlineStr">
        <is>
          <t>Rectangular</t>
        </is>
      </c>
      <c r="E51" s="1874" t="n"/>
      <c r="F51" s="1113" t="n"/>
      <c r="G51" s="1874" t="n"/>
      <c r="H51" s="1113" t="n"/>
      <c r="I51" s="1874" t="n"/>
      <c r="J51" s="1113" t="n"/>
      <c r="K51" s="1875" t="n"/>
      <c r="L51" s="1113" t="n"/>
      <c r="M51" s="1870" t="n"/>
    </row>
    <row r="52" hidden="1" ht="12" customHeight="1" s="1449">
      <c r="B52" s="568" t="inlineStr">
        <is>
          <t>Topography</t>
        </is>
      </c>
      <c r="C52" s="1101" t="inlineStr">
        <is>
          <t>Generally Level</t>
        </is>
      </c>
      <c r="D52" s="859" t="inlineStr">
        <is>
          <t>Generally Level</t>
        </is>
      </c>
      <c r="E52" s="1874" t="n"/>
      <c r="F52" s="1118" t="n"/>
      <c r="G52" s="1874" t="n"/>
      <c r="H52" s="1118" t="n"/>
      <c r="I52" s="1874" t="n"/>
      <c r="J52" s="1118" t="n"/>
      <c r="K52" s="1875" t="n"/>
      <c r="L52" s="1113" t="n"/>
      <c r="M52" s="1870" t="n"/>
    </row>
    <row r="53" hidden="1" ht="17.25" customHeight="1" s="1449">
      <c r="B53" s="568" t="inlineStr">
        <is>
          <t>Easement/Encroachments/Obstructions</t>
        </is>
      </c>
      <c r="C53" s="1101" t="inlineStr">
        <is>
          <t>None known</t>
        </is>
      </c>
      <c r="D53" s="859" t="inlineStr">
        <is>
          <t>None known</t>
        </is>
      </c>
      <c r="E53" s="1874" t="n"/>
      <c r="F53" s="1118" t="n"/>
      <c r="G53" s="1874" t="n"/>
      <c r="H53" s="1118" t="n"/>
      <c r="I53" s="1874" t="n"/>
      <c r="J53" s="1118" t="n"/>
      <c r="K53" s="1875" t="n"/>
      <c r="L53" s="1126" t="n"/>
      <c r="M53" s="1870" t="n"/>
    </row>
    <row r="54" hidden="1" ht="12" customHeight="1" s="1449">
      <c r="B54" s="568" t="inlineStr">
        <is>
          <t>Other</t>
        </is>
      </c>
      <c r="C54" s="1102" t="inlineStr">
        <is>
          <t>None</t>
        </is>
      </c>
      <c r="D54" s="860" t="inlineStr">
        <is>
          <t>None</t>
        </is>
      </c>
      <c r="E54" s="1874" t="n"/>
      <c r="F54" s="1119" t="n"/>
      <c r="G54" s="1874" t="n"/>
      <c r="H54" s="1119" t="n"/>
      <c r="I54" s="1874" t="n"/>
      <c r="J54" s="1119" t="n"/>
      <c r="K54" s="1875" t="n"/>
      <c r="L54" s="1127" t="n"/>
      <c r="M54" s="1870" t="n"/>
    </row>
    <row r="55">
      <c r="B55" s="586" t="inlineStr">
        <is>
          <t>Total Non Quantified Adj.</t>
        </is>
      </c>
      <c r="C55" s="1103" t="n"/>
      <c r="D55" s="588" t="n"/>
      <c r="E55" s="1876" t="n"/>
      <c r="F55" s="513" t="n"/>
      <c r="G55" s="1877" t="n"/>
      <c r="H55" s="1105" t="n"/>
      <c r="I55" s="1878" t="n"/>
      <c r="J55" s="1105" t="n"/>
      <c r="K55" s="1879" t="n"/>
      <c r="L55" s="1105" t="n"/>
      <c r="M55" s="1880" t="n"/>
    </row>
    <row r="56">
      <c r="B56" s="594" t="inlineStr">
        <is>
          <t>Indication for Subject:</t>
        </is>
      </c>
      <c r="C56" s="1104" t="n"/>
      <c r="D56" s="596" t="n"/>
      <c r="E56" s="1881">
        <f>IF(LEFT(CELL("format",E55),1)="P",E36*(1+E55),IF(LEFT(CELL("format",E55),1)="C",E36+E55))</f>
        <v/>
      </c>
      <c r="F56" s="1120" t="n"/>
      <c r="G56" s="1882">
        <f>IF(LEFT(CELL("format",G55),1)="P",G36*(1+G55),IF(LEFT(CELL("format",G55),1)="C",G36+G55))</f>
        <v/>
      </c>
      <c r="H56" s="1106" t="n"/>
      <c r="I56" s="1882">
        <f>IF(LEFT(CELL("format",I55),1)="P",I36*(1+I55),IF(LEFT(CELL("format",I55),1)="C",I36+I55))</f>
        <v/>
      </c>
      <c r="J56" s="1106" t="n"/>
      <c r="K56" s="1883">
        <f>IF(LEFT(CELL("format",K55),1)="P",K36*(1+K55),IF(LEFT(CELL("format",K55),1)="C",K36+K55))</f>
        <v/>
      </c>
      <c r="L56" s="1106" t="n"/>
      <c r="M56" s="1884">
        <f>IF(LEFT(CELL("format",M55),1)="P",M36*(1+M55),IF(LEFT(CELL("format",M55),1)="C",M36+M55))</f>
        <v/>
      </c>
    </row>
    <row r="58">
      <c r="C58" s="358" t="n"/>
    </row>
    <row r="59">
      <c r="B59" s="1549" t="inlineStr">
        <is>
          <t>VALUE CONCLUSION - UNDERLYING LAND AREA</t>
        </is>
      </c>
    </row>
    <row r="60" customFormat="1" s="1454">
      <c r="B60" s="362" t="inlineStr">
        <is>
          <t>Indicated Value per SF</t>
        </is>
      </c>
      <c r="C60" s="1885" t="n"/>
      <c r="E60" s="465" t="n"/>
      <c r="G60" s="465" t="n"/>
      <c r="I60" s="465" t="n"/>
      <c r="K60" s="465" t="n"/>
    </row>
    <row r="61" customFormat="1" s="1454">
      <c r="B61" s="362" t="inlineStr">
        <is>
          <t>Land Area (SF)</t>
        </is>
      </c>
      <c r="C61" s="1886">
        <f>C44</f>
        <v/>
      </c>
      <c r="E61" s="465" t="n"/>
      <c r="G61" s="465" t="n"/>
      <c r="I61" s="465" t="n"/>
      <c r="K61" s="465" t="n"/>
    </row>
    <row r="62" hidden="1" ht="17.25" customHeight="1" s="1449">
      <c r="B62" s="1060">
        <f>IF(C63=0,"HIDE THIS ROW IF NO DEFERRED MAINTENANCE", "Indicated Value")</f>
        <v/>
      </c>
      <c r="C62" s="1887">
        <f>C60*C61</f>
        <v/>
      </c>
    </row>
    <row r="63" hidden="1" s="1449">
      <c r="B63" s="1062" t="inlineStr">
        <is>
          <t xml:space="preserve">Contract Price </t>
        </is>
      </c>
      <c r="C63" s="1888" t="n"/>
    </row>
    <row r="64" hidden="1" s="1449">
      <c r="B64" s="1889" t="n"/>
      <c r="C64" s="1464" t="n"/>
    </row>
    <row r="65" customFormat="1" s="1454">
      <c r="B65" s="1071">
        <f>IF(SUM(C63:C63)=0,"Indicated Value","Indicated Value - Adjusted")</f>
        <v/>
      </c>
      <c r="C65" s="1890">
        <f>C60*C61</f>
        <v/>
      </c>
      <c r="E65" s="465" t="n"/>
      <c r="G65" s="465" t="n"/>
      <c r="I65" s="465" t="n"/>
      <c r="K65" s="465" t="n"/>
    </row>
    <row r="66">
      <c r="B66" s="1891" t="n">
        <v>5000</v>
      </c>
      <c r="C66" s="1892">
        <f>ROUND((C65/B66),0)*B66</f>
        <v/>
      </c>
    </row>
    <row r="67">
      <c r="B67" s="1666" t="inlineStr">
        <is>
          <t>Per SF</t>
        </is>
      </c>
      <c r="C67" s="1893">
        <f>C66/C61</f>
        <v/>
      </c>
    </row>
  </sheetData>
  <mergeCells count="22">
    <mergeCell ref="L17:M17"/>
    <mergeCell ref="B59:C59"/>
    <mergeCell ref="L16:M16"/>
    <mergeCell ref="L19:M19"/>
    <mergeCell ref="L13:M13"/>
    <mergeCell ref="L12:M12"/>
    <mergeCell ref="L15:M15"/>
    <mergeCell ref="L18:M18"/>
    <mergeCell ref="L8:M8"/>
    <mergeCell ref="L14:M14"/>
    <mergeCell ref="F8:G8"/>
    <mergeCell ref="L20:M20"/>
    <mergeCell ref="L10:M10"/>
    <mergeCell ref="L22:M22"/>
    <mergeCell ref="L9:M9"/>
    <mergeCell ref="D8:E8"/>
    <mergeCell ref="B7:M7"/>
    <mergeCell ref="B64:C64"/>
    <mergeCell ref="L21:M21"/>
    <mergeCell ref="L11:M11"/>
    <mergeCell ref="H8:I8"/>
    <mergeCell ref="J8:K8"/>
  </mergeCells>
  <conditionalFormatting sqref="B62">
    <cfRule type="expression" priority="3" dxfId="0" stopIfTrue="1">
      <formula>SUM(C63:C63)=0</formula>
    </cfRule>
  </conditionalFormatting>
  <conditionalFormatting sqref="B63">
    <cfRule type="expression" priority="2" dxfId="2">
      <formula>C63=0</formula>
    </cfRule>
  </conditionalFormatting>
  <conditionalFormatting sqref="B64">
    <cfRule type="expression" priority="1" dxfId="0" stopIfTrue="1">
      <formula>SUM(C65:C65)=0</formula>
    </cfRule>
  </conditionalFormatting>
  <dataValidations count="2">
    <dataValidation sqref="D56 F56 H56 J56 L56" showDropDown="0" showInputMessage="1" showErrorMessage="1" allowBlank="1" type="list">
      <formula1>lstCondition</formula1>
    </dataValidation>
    <dataValidation sqref="C63" showDropDown="0" showInputMessage="1" showErrorMessage="1" allowBlank="1" promptTitle="Adjustment #2" prompt="Input adjustment to calculated value—default link to Deferred Maintenance entered in Cost Approach."/>
  </dataValidation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B1:M681"/>
  <sheetViews>
    <sheetView showGridLines="0" workbookViewId="0">
      <selection activeCell="A1" sqref="A1"/>
    </sheetView>
  </sheetViews>
  <sheetFormatPr baseColWidth="8" defaultRowHeight="15"/>
  <cols>
    <col width="2" customWidth="1" style="1449" min="1" max="1"/>
    <col width="34" customWidth="1" style="1449" min="2" max="2"/>
    <col width="16" customWidth="1" style="1449" min="3" max="3"/>
    <col width="10" customWidth="1" style="1449" min="4" max="4"/>
    <col width="60" customWidth="1" style="1449" min="5" max="5"/>
    <col width="16" customWidth="1" style="1449" min="6" max="6"/>
    <col width="10" customWidth="1" style="1449" min="7" max="7"/>
    <col width="10" customWidth="1" style="1449" min="8" max="8"/>
  </cols>
  <sheetData>
    <row r="1">
      <c r="B1" s="2381" t="inlineStr">
        <is>
          <t>MARSHALL AND SWIFT (MVS) REFERENCE ENGINE -- June 2024 Ed. (Section 99/98 multiplier inserts dated Jan 2025)</t>
        </is>
      </c>
    </row>
    <row r="2" ht="28" customHeight="1" s="1449">
      <c r="B2" s="2382" t="inlineStr">
        <is>
          <t>ALL WORKING INPUTS LIVE ON THE 'COST APPROACH' TAB -- this sheet is locked MVS reference/lookup data only. Go to Cost Approach to value a property.</t>
        </is>
      </c>
    </row>
    <row r="4">
      <c r="B4" s="2383" t="inlineStr">
        <is>
          <t>CURRENT RESULT  (mirrors the 'Cost Approach' tab)</t>
        </is>
      </c>
      <c r="C4" s="2383" t="n"/>
      <c r="D4" s="2383" t="n"/>
      <c r="E4" s="2383" t="n"/>
      <c r="F4" s="2383" t="n"/>
    </row>
    <row r="5">
      <c r="B5" s="2384" t="inlineStr">
        <is>
          <t>Total Replacement Cost New (RCN)</t>
        </is>
      </c>
      <c r="C5" s="2385">
        <f>'Cost Approach'!G51</f>
        <v/>
      </c>
    </row>
    <row r="6">
      <c r="B6" s="2384" t="inlineStr">
        <is>
          <t>Depreciated Value of Improvements</t>
        </is>
      </c>
      <c r="C6" s="2385">
        <f>'Cost Approach'!G64</f>
        <v/>
      </c>
    </row>
    <row r="7">
      <c r="B7" s="2384" t="inlineStr">
        <is>
          <t>Plus: Land Value</t>
        </is>
      </c>
      <c r="C7" s="2385">
        <f>'Cost Approach'!G67</f>
        <v/>
      </c>
    </row>
    <row r="8">
      <c r="B8" s="2384" t="inlineStr">
        <is>
          <t>INDICATED VALUE BY COST APPROACH</t>
        </is>
      </c>
      <c r="C8" s="2385">
        <f>'Cost Approach'!G70</f>
        <v/>
      </c>
    </row>
    <row r="11">
      <c r="B11" s="2386" t="inlineStr">
        <is>
          <t>MVS QUICK-REFERENCE TABLES -- DO NOT EDIT  (sourced &amp;amp; verified from the licensed MVS June 2024 edition; Sec.99/98 multiplier inserts dated Jan 2025)</t>
        </is>
      </c>
      <c r="C11" s="2386" t="n"/>
      <c r="D11" s="2386" t="n"/>
      <c r="E11" s="2386" t="n"/>
      <c r="F11" s="2386" t="n"/>
      <c r="G11" s="2386" t="n"/>
      <c r="H11" s="2386" t="n"/>
    </row>
    <row r="13">
      <c r="B13" s="2387" t="inlineStr">
        <is>
          <t>REFERENCE 1 -- Class of Construction Indicators (MVS Section 1, pp.4-9)</t>
        </is>
      </c>
      <c r="C13" s="2387" t="n"/>
      <c r="D13" s="2387" t="n"/>
      <c r="E13" s="2387" t="n"/>
      <c r="F13" s="2387" t="n"/>
      <c r="G13" s="2387" t="n"/>
      <c r="H13" s="2387" t="n"/>
    </row>
    <row r="14">
      <c r="B14" s="2388" t="inlineStr">
        <is>
          <t>Class</t>
        </is>
      </c>
      <c r="C14" s="2388" t="inlineStr">
        <is>
          <t>Frame</t>
        </is>
      </c>
      <c r="D14" s="2388" t="inlineStr">
        <is>
          <t>Floor</t>
        </is>
      </c>
      <c r="E14" s="2388" t="inlineStr">
        <is>
          <t>Roof</t>
        </is>
      </c>
      <c r="F14" s="2388" t="inlineStr">
        <is>
          <t>Walls</t>
        </is>
      </c>
    </row>
    <row r="15" ht="45" customHeight="1" s="1449">
      <c r="B15" s="2389" t="inlineStr">
        <is>
          <t>A</t>
        </is>
      </c>
      <c r="C15" s="2389" t="inlineStr">
        <is>
          <t>Structural steel columns and beams, fireproofed with masonry, concrete, plaster, or other noncombustible material.</t>
        </is>
      </c>
      <c r="D15" s="2389" t="inlineStr">
        <is>
          <t>Concrete or concrete on steel deck, fireproofed.</t>
        </is>
      </c>
      <c r="E15" s="2389" t="inlineStr">
        <is>
          <t>Formed concrete, precast slabs, concrete or gypsum on steel deck, fireproofed.</t>
        </is>
      </c>
      <c r="F15" s="2389" t="inlineStr">
        <is>
          <t>Nonbearing curtain walls, masonry, concrete, metal and glass panels, stone, steel studs and masonry, tile or stucco, etc.</t>
        </is>
      </c>
    </row>
    <row r="16" ht="45" customHeight="1" s="1449">
      <c r="B16" s="2389" t="inlineStr">
        <is>
          <t>B</t>
        </is>
      </c>
      <c r="C16" s="2389" t="inlineStr">
        <is>
          <t>Reinforced concrete columns and beams.</t>
        </is>
      </c>
      <c r="D16" s="2389" t="inlineStr">
        <is>
          <t>Concrete or concrete on steel deck, fireproofed.</t>
        </is>
      </c>
      <c r="E16" s="2389" t="inlineStr">
        <is>
          <t>Formed concrete, precast slabs, concrete or gypsum on steel deck, fireproofed.</t>
        </is>
      </c>
      <c r="F16" s="2389" t="inlineStr">
        <is>
          <t>Nonbearing curtain walls, masonry, concrete, metal and glass panels, stone, steel studs and masonry, tile or stucco, etc.</t>
        </is>
      </c>
    </row>
    <row r="17" ht="45" customHeight="1" s="1449">
      <c r="B17" s="2389" t="inlineStr">
        <is>
          <t>C</t>
        </is>
      </c>
      <c r="C17" s="2389" t="inlineStr">
        <is>
          <t>Masonry or concrete load-bearing walls with or without pilasters. Masonry, concrete or curtain walls with full or partial open steel, wood, or concrete frame.</t>
        </is>
      </c>
      <c r="D17" s="2389" t="inlineStr">
        <is>
          <t>Wood or concrete plank on wood or steel floor joists, or concrete slab on grade.</t>
        </is>
      </c>
      <c r="E17" s="2389" t="inlineStr">
        <is>
          <t>Wood or steel joists with wood or steel deck. Concrete plank.</t>
        </is>
      </c>
      <c r="F17" s="2389" t="inlineStr">
        <is>
          <t>Brick, concrete block, or tile masonry, tilt-up, formed concrete, nonbearing curtain walls.</t>
        </is>
      </c>
    </row>
    <row r="18" ht="45" customHeight="1" s="1449">
      <c r="B18" s="2389" t="inlineStr">
        <is>
          <t>D</t>
        </is>
      </c>
      <c r="C18" s="2389" t="inlineStr">
        <is>
          <t>Wood or steel studs in bearing wall, full or partial open wood or steel frame, primarily combustible construction.</t>
        </is>
      </c>
      <c r="D18" s="2389" t="inlineStr">
        <is>
          <t>Wood or steel floor joists or concrete slab on grade.</t>
        </is>
      </c>
      <c r="E18" s="2389" t="inlineStr">
        <is>
          <t>Wood or steel joists with wood or steel deck.</t>
        </is>
      </c>
      <c r="F18" s="2389" t="inlineStr">
        <is>
          <t>Almost any material except bearing or curtain walls of solid masonry or concrete. Generally combustible construction.</t>
        </is>
      </c>
    </row>
    <row r="19" ht="45" customHeight="1" s="1449">
      <c r="B19" s="2389" t="inlineStr">
        <is>
          <t>S</t>
        </is>
      </c>
      <c r="C19" s="2389" t="inlineStr">
        <is>
          <t>Metal bents, columns, girders, purlins and girts without fireproofing, incombustible construction.</t>
        </is>
      </c>
      <c r="D19" s="2389" t="inlineStr">
        <is>
          <t>Wood or steel deck on steel floor joists, or concrete slab on grade.</t>
        </is>
      </c>
      <c r="E19" s="2389" t="inlineStr">
        <is>
          <t>Steel or wood deck on steel joists.</t>
        </is>
      </c>
      <c r="F19" s="2389" t="inlineStr">
        <is>
          <t>Metal skin or sandwich panels. Generally incombustible.</t>
        </is>
      </c>
    </row>
    <row r="21">
      <c r="B21" s="2387" t="inlineStr">
        <is>
          <t>REFERENCE 2 -- Quality Tier Definitions (MVS Section 1, pp.10-12)</t>
        </is>
      </c>
      <c r="C21" s="2387" t="n"/>
      <c r="D21" s="2387" t="n"/>
      <c r="E21" s="2387" t="n"/>
      <c r="F21" s="2387" t="n"/>
      <c r="G21" s="2387" t="n"/>
      <c r="H21" s="2387" t="n"/>
    </row>
    <row r="22">
      <c r="B22" s="2388" t="inlineStr">
        <is>
          <t>Quality</t>
        </is>
      </c>
      <c r="C22" s="2388" t="inlineStr">
        <is>
          <t>Description</t>
        </is>
      </c>
    </row>
    <row r="23" ht="45" customHeight="1" s="1449">
      <c r="B23" t="inlineStr">
        <is>
          <t>Low Cost</t>
        </is>
      </c>
      <c r="C23" s="2389" t="inlineStr">
        <is>
          <t>Constructed to minimum code requirements, little regard for architectural appearance, minimum investment, little ornamentation, minimal/low-quality interior finish.</t>
        </is>
      </c>
    </row>
    <row r="24" ht="45" customHeight="1" s="1449">
      <c r="B24" t="inlineStr">
        <is>
          <t>Average</t>
        </is>
      </c>
      <c r="C24" s="2389" t="inlineStr">
        <is>
          <t>Largest group of buildings constructed (~50% of all buildings). Designed for maximum economic potential without pride-of-ownership amenities. Good standard code construction, simple ornamentation and finishes.</t>
        </is>
      </c>
    </row>
    <row r="25" ht="45" customHeight="1" s="1449">
      <c r="B25" t="inlineStr">
        <is>
          <t>Good</t>
        </is>
      </c>
      <c r="C25" s="2389" t="inlineStr">
        <is>
          <t>Designed for good appearance, comfort and convenience with an element of prestige. Higher-quality ornamental treatment, interiors designed for upper-class rentals, better lighting and mechanical work.</t>
        </is>
      </c>
    </row>
    <row r="26" ht="45" customHeight="1" s="1449">
      <c r="B26" t="inlineStr">
        <is>
          <t>Excellent</t>
        </is>
      </c>
      <c r="C26" s="2389" t="inlineStr">
        <is>
          <t>Prestige buildings. Part of cost is attributable to pride of ownership. Expensive finishes and fixtures; built for established professionals/institutions or high-profile tenants.</t>
        </is>
      </c>
    </row>
    <row r="28">
      <c r="B28" s="2387" t="inlineStr">
        <is>
          <t>REFERENCE 3 -- Occupancy Base Cost Tables (Calculator Method, $/SF)</t>
        </is>
      </c>
      <c r="C28" s="2387" t="n"/>
      <c r="D28" s="2387" t="n"/>
      <c r="E28" s="2387" t="n"/>
      <c r="F28" s="2387" t="n"/>
      <c r="G28" s="2387" t="n"/>
      <c r="H28" s="2387" t="n"/>
    </row>
    <row r="29">
      <c r="B29" s="2388" t="inlineStr">
        <is>
          <t>Occupancy Name</t>
        </is>
      </c>
      <c r="C29" s="2388" t="inlineStr">
        <is>
          <t>Occ. Code</t>
        </is>
      </c>
      <c r="D29" s="2388" t="inlineStr">
        <is>
          <t>Section</t>
        </is>
      </c>
      <c r="E29" s="2388" t="inlineStr">
        <is>
          <t>Page</t>
        </is>
      </c>
      <c r="F29" s="2388" t="inlineStr">
        <is>
          <t>Class</t>
        </is>
      </c>
      <c r="G29" s="2388" t="inlineStr">
        <is>
          <t>Quality</t>
        </is>
      </c>
      <c r="H29" s="2388" t="inlineStr">
        <is>
          <t>$/SF</t>
        </is>
      </c>
      <c r="I29" s="2388" t="inlineStr">
        <is>
          <t>Lookup Key</t>
        </is>
      </c>
      <c r="J29" s="2388" t="inlineStr">
        <is>
          <t>Story Tbl</t>
        </is>
      </c>
      <c r="K29" s="2388" t="inlineStr">
        <is>
          <t>Sprinkler Tbl</t>
        </is>
      </c>
      <c r="L29" s="2388" t="inlineStr">
        <is>
          <t>Elevator Tbl</t>
        </is>
      </c>
      <c r="M29" s="2388" t="inlineStr">
        <is>
          <t>Citation</t>
        </is>
      </c>
    </row>
    <row r="30">
      <c r="B30" t="inlineStr">
        <is>
          <t>Storage Warehouses</t>
        </is>
      </c>
      <c r="C30" t="inlineStr">
        <is>
          <t>406</t>
        </is>
      </c>
      <c r="D30" t="inlineStr">
        <is>
          <t>14</t>
        </is>
      </c>
      <c r="E30" t="inlineStr">
        <is>
          <t>26</t>
        </is>
      </c>
      <c r="F30" t="inlineStr">
        <is>
          <t>A</t>
        </is>
      </c>
      <c r="G30" t="inlineStr">
        <is>
          <t>Good</t>
        </is>
      </c>
      <c r="H30" s="2390" t="n">
        <v>137</v>
      </c>
      <c r="I30">
        <f>B30&amp;"~"&amp;F30&amp;"~"&amp;G30</f>
        <v/>
      </c>
      <c r="J30" t="inlineStr">
        <is>
          <t>14</t>
        </is>
      </c>
      <c r="K30" t="inlineStr">
        <is>
          <t>14</t>
        </is>
      </c>
      <c r="L30" t="inlineStr">
        <is>
          <t>14</t>
        </is>
      </c>
      <c r="M30" t="inlineStr">
        <is>
          <t>MVS Sec.14 p.26</t>
        </is>
      </c>
    </row>
    <row r="31">
      <c r="B31" t="inlineStr">
        <is>
          <t>Storage Warehouses</t>
        </is>
      </c>
      <c r="C31" t="inlineStr">
        <is>
          <t>406</t>
        </is>
      </c>
      <c r="D31" t="inlineStr">
        <is>
          <t>14</t>
        </is>
      </c>
      <c r="E31" t="inlineStr">
        <is>
          <t>26</t>
        </is>
      </c>
      <c r="F31" t="inlineStr">
        <is>
          <t>A</t>
        </is>
      </c>
      <c r="G31" t="inlineStr">
        <is>
          <t>Average</t>
        </is>
      </c>
      <c r="H31" s="2390" t="n">
        <v>101</v>
      </c>
      <c r="I31">
        <f>B31&amp;"~"&amp;F31&amp;"~"&amp;G31</f>
        <v/>
      </c>
      <c r="J31" t="inlineStr">
        <is>
          <t>14</t>
        </is>
      </c>
      <c r="K31" t="inlineStr">
        <is>
          <t>14</t>
        </is>
      </c>
      <c r="L31" t="inlineStr">
        <is>
          <t>14</t>
        </is>
      </c>
      <c r="M31" t="inlineStr">
        <is>
          <t>MVS Sec.14 p.26</t>
        </is>
      </c>
    </row>
    <row r="32">
      <c r="B32" t="inlineStr">
        <is>
          <t>Storage Warehouses</t>
        </is>
      </c>
      <c r="C32" t="inlineStr">
        <is>
          <t>406</t>
        </is>
      </c>
      <c r="D32" t="inlineStr">
        <is>
          <t>14</t>
        </is>
      </c>
      <c r="E32" t="inlineStr">
        <is>
          <t>26</t>
        </is>
      </c>
      <c r="F32" t="inlineStr">
        <is>
          <t>A</t>
        </is>
      </c>
      <c r="G32" t="inlineStr">
        <is>
          <t>Low Cost</t>
        </is>
      </c>
      <c r="H32" s="2390" t="n">
        <v>79.5</v>
      </c>
      <c r="I32">
        <f>B32&amp;"~"&amp;F32&amp;"~"&amp;G32</f>
        <v/>
      </c>
      <c r="J32" t="inlineStr">
        <is>
          <t>14</t>
        </is>
      </c>
      <c r="K32" t="inlineStr">
        <is>
          <t>14</t>
        </is>
      </c>
      <c r="L32" t="inlineStr">
        <is>
          <t>14</t>
        </is>
      </c>
      <c r="M32" t="inlineStr">
        <is>
          <t>MVS Sec.14 p.26</t>
        </is>
      </c>
    </row>
    <row r="33">
      <c r="B33" t="inlineStr">
        <is>
          <t>Storage Warehouses</t>
        </is>
      </c>
      <c r="C33" t="inlineStr">
        <is>
          <t>406</t>
        </is>
      </c>
      <c r="D33" t="inlineStr">
        <is>
          <t>14</t>
        </is>
      </c>
      <c r="E33" t="inlineStr">
        <is>
          <t>26</t>
        </is>
      </c>
      <c r="F33" t="inlineStr">
        <is>
          <t>B</t>
        </is>
      </c>
      <c r="G33" t="inlineStr">
        <is>
          <t>Good</t>
        </is>
      </c>
      <c r="H33" s="2390" t="n">
        <v>121</v>
      </c>
      <c r="I33">
        <f>B33&amp;"~"&amp;F33&amp;"~"&amp;G33</f>
        <v/>
      </c>
      <c r="J33" t="inlineStr">
        <is>
          <t>14</t>
        </is>
      </c>
      <c r="K33" t="inlineStr">
        <is>
          <t>14</t>
        </is>
      </c>
      <c r="L33" t="inlineStr">
        <is>
          <t>14</t>
        </is>
      </c>
      <c r="M33" t="inlineStr">
        <is>
          <t>MVS Sec.14 p.26</t>
        </is>
      </c>
    </row>
    <row r="34">
      <c r="B34" t="inlineStr">
        <is>
          <t>Storage Warehouses</t>
        </is>
      </c>
      <c r="C34" t="inlineStr">
        <is>
          <t>406</t>
        </is>
      </c>
      <c r="D34" t="inlineStr">
        <is>
          <t>14</t>
        </is>
      </c>
      <c r="E34" t="inlineStr">
        <is>
          <t>26</t>
        </is>
      </c>
      <c r="F34" t="inlineStr">
        <is>
          <t>B</t>
        </is>
      </c>
      <c r="G34" t="inlineStr">
        <is>
          <t>Average</t>
        </is>
      </c>
      <c r="H34" s="2390" t="n">
        <v>88</v>
      </c>
      <c r="I34">
        <f>B34&amp;"~"&amp;F34&amp;"~"&amp;G34</f>
        <v/>
      </c>
      <c r="J34" t="inlineStr">
        <is>
          <t>14</t>
        </is>
      </c>
      <c r="K34" t="inlineStr">
        <is>
          <t>14</t>
        </is>
      </c>
      <c r="L34" t="inlineStr">
        <is>
          <t>14</t>
        </is>
      </c>
      <c r="M34" t="inlineStr">
        <is>
          <t>MVS Sec.14 p.26</t>
        </is>
      </c>
    </row>
    <row r="35">
      <c r="B35" t="inlineStr">
        <is>
          <t>Storage Warehouses</t>
        </is>
      </c>
      <c r="C35" t="inlineStr">
        <is>
          <t>406</t>
        </is>
      </c>
      <c r="D35" t="inlineStr">
        <is>
          <t>14</t>
        </is>
      </c>
      <c r="E35" t="inlineStr">
        <is>
          <t>26</t>
        </is>
      </c>
      <c r="F35" t="inlineStr">
        <is>
          <t>B</t>
        </is>
      </c>
      <c r="G35" t="inlineStr">
        <is>
          <t>Low Cost</t>
        </is>
      </c>
      <c r="H35" s="2390" t="n">
        <v>69</v>
      </c>
      <c r="I35">
        <f>B35&amp;"~"&amp;F35&amp;"~"&amp;G35</f>
        <v/>
      </c>
      <c r="J35" t="inlineStr">
        <is>
          <t>14</t>
        </is>
      </c>
      <c r="K35" t="inlineStr">
        <is>
          <t>14</t>
        </is>
      </c>
      <c r="L35" t="inlineStr">
        <is>
          <t>14</t>
        </is>
      </c>
      <c r="M35" t="inlineStr">
        <is>
          <t>MVS Sec.14 p.26</t>
        </is>
      </c>
    </row>
    <row r="36">
      <c r="B36" t="inlineStr">
        <is>
          <t>Storage Warehouses</t>
        </is>
      </c>
      <c r="C36" t="inlineStr">
        <is>
          <t>406</t>
        </is>
      </c>
      <c r="D36" t="inlineStr">
        <is>
          <t>14</t>
        </is>
      </c>
      <c r="E36" t="inlineStr">
        <is>
          <t>26</t>
        </is>
      </c>
      <c r="F36" t="inlineStr">
        <is>
          <t>C</t>
        </is>
      </c>
      <c r="G36" t="inlineStr">
        <is>
          <t>Excellent</t>
        </is>
      </c>
      <c r="H36" s="2390" t="n">
        <v>134</v>
      </c>
      <c r="I36">
        <f>B36&amp;"~"&amp;F36&amp;"~"&amp;G36</f>
        <v/>
      </c>
      <c r="J36" t="inlineStr">
        <is>
          <t>14</t>
        </is>
      </c>
      <c r="K36" t="inlineStr">
        <is>
          <t>14</t>
        </is>
      </c>
      <c r="L36" t="inlineStr">
        <is>
          <t>14</t>
        </is>
      </c>
      <c r="M36" t="inlineStr">
        <is>
          <t>MVS Sec.14 p.26</t>
        </is>
      </c>
    </row>
    <row r="37">
      <c r="B37" t="inlineStr">
        <is>
          <t>Storage Warehouses</t>
        </is>
      </c>
      <c r="C37" t="inlineStr">
        <is>
          <t>406</t>
        </is>
      </c>
      <c r="D37" t="inlineStr">
        <is>
          <t>14</t>
        </is>
      </c>
      <c r="E37" t="inlineStr">
        <is>
          <t>26</t>
        </is>
      </c>
      <c r="F37" t="inlineStr">
        <is>
          <t>C</t>
        </is>
      </c>
      <c r="G37" t="inlineStr">
        <is>
          <t>Good</t>
        </is>
      </c>
      <c r="H37" s="2390" t="n">
        <v>86.5</v>
      </c>
      <c r="I37">
        <f>B37&amp;"~"&amp;F37&amp;"~"&amp;G37</f>
        <v/>
      </c>
      <c r="J37" t="inlineStr">
        <is>
          <t>14</t>
        </is>
      </c>
      <c r="K37" t="inlineStr">
        <is>
          <t>14</t>
        </is>
      </c>
      <c r="L37" t="inlineStr">
        <is>
          <t>14</t>
        </is>
      </c>
      <c r="M37" t="inlineStr">
        <is>
          <t>MVS Sec.14 p.26</t>
        </is>
      </c>
    </row>
    <row r="38">
      <c r="B38" t="inlineStr">
        <is>
          <t>Storage Warehouses</t>
        </is>
      </c>
      <c r="C38" t="inlineStr">
        <is>
          <t>406</t>
        </is>
      </c>
      <c r="D38" t="inlineStr">
        <is>
          <t>14</t>
        </is>
      </c>
      <c r="E38" t="inlineStr">
        <is>
          <t>26</t>
        </is>
      </c>
      <c r="F38" t="inlineStr">
        <is>
          <t>C</t>
        </is>
      </c>
      <c r="G38" t="inlineStr">
        <is>
          <t>Average</t>
        </is>
      </c>
      <c r="H38" s="2390" t="n">
        <v>61</v>
      </c>
      <c r="I38">
        <f>B38&amp;"~"&amp;F38&amp;"~"&amp;G38</f>
        <v/>
      </c>
      <c r="J38" t="inlineStr">
        <is>
          <t>14</t>
        </is>
      </c>
      <c r="K38" t="inlineStr">
        <is>
          <t>14</t>
        </is>
      </c>
      <c r="L38" t="inlineStr">
        <is>
          <t>14</t>
        </is>
      </c>
      <c r="M38" t="inlineStr">
        <is>
          <t>MVS Sec.14 p.26</t>
        </is>
      </c>
    </row>
    <row r="39">
      <c r="B39" t="inlineStr">
        <is>
          <t>Storage Warehouses</t>
        </is>
      </c>
      <c r="C39" t="inlineStr">
        <is>
          <t>406</t>
        </is>
      </c>
      <c r="D39" t="inlineStr">
        <is>
          <t>14</t>
        </is>
      </c>
      <c r="E39" t="inlineStr">
        <is>
          <t>26</t>
        </is>
      </c>
      <c r="F39" t="inlineStr">
        <is>
          <t>C</t>
        </is>
      </c>
      <c r="G39" t="inlineStr">
        <is>
          <t>Low Cost</t>
        </is>
      </c>
      <c r="H39" s="2390" t="n">
        <v>43</v>
      </c>
      <c r="I39">
        <f>B39&amp;"~"&amp;F39&amp;"~"&amp;G39</f>
        <v/>
      </c>
      <c r="J39" t="inlineStr">
        <is>
          <t>14</t>
        </is>
      </c>
      <c r="K39" t="inlineStr">
        <is>
          <t>14</t>
        </is>
      </c>
      <c r="L39" t="inlineStr">
        <is>
          <t>14</t>
        </is>
      </c>
      <c r="M39" t="inlineStr">
        <is>
          <t>MVS Sec.14 p.26</t>
        </is>
      </c>
    </row>
    <row r="40">
      <c r="B40" t="inlineStr">
        <is>
          <t>Storage Warehouses</t>
        </is>
      </c>
      <c r="C40" t="inlineStr">
        <is>
          <t>406</t>
        </is>
      </c>
      <c r="D40" t="inlineStr">
        <is>
          <t>14</t>
        </is>
      </c>
      <c r="E40" t="inlineStr">
        <is>
          <t>26</t>
        </is>
      </c>
      <c r="F40" t="inlineStr">
        <is>
          <t>CMILL</t>
        </is>
      </c>
      <c r="G40" t="inlineStr">
        <is>
          <t>Good</t>
        </is>
      </c>
      <c r="H40" s="2390" t="n">
        <v>119</v>
      </c>
      <c r="I40">
        <f>B40&amp;"~"&amp;F40&amp;"~"&amp;G40</f>
        <v/>
      </c>
      <c r="J40" t="inlineStr">
        <is>
          <t>14</t>
        </is>
      </c>
      <c r="K40" t="inlineStr">
        <is>
          <t>14</t>
        </is>
      </c>
      <c r="L40" t="inlineStr">
        <is>
          <t>14</t>
        </is>
      </c>
      <c r="M40" t="inlineStr">
        <is>
          <t>MVS Sec.14 p.26</t>
        </is>
      </c>
    </row>
    <row r="41">
      <c r="B41" t="inlineStr">
        <is>
          <t>Storage Warehouses</t>
        </is>
      </c>
      <c r="C41" t="inlineStr">
        <is>
          <t>406</t>
        </is>
      </c>
      <c r="D41" t="inlineStr">
        <is>
          <t>14</t>
        </is>
      </c>
      <c r="E41" t="inlineStr">
        <is>
          <t>26</t>
        </is>
      </c>
      <c r="F41" t="inlineStr">
        <is>
          <t>CMILL</t>
        </is>
      </c>
      <c r="G41" t="inlineStr">
        <is>
          <t>Average</t>
        </is>
      </c>
      <c r="H41" s="2390" t="n">
        <v>82</v>
      </c>
      <c r="I41">
        <f>B41&amp;"~"&amp;F41&amp;"~"&amp;G41</f>
        <v/>
      </c>
      <c r="J41" t="inlineStr">
        <is>
          <t>14</t>
        </is>
      </c>
      <c r="K41" t="inlineStr">
        <is>
          <t>14</t>
        </is>
      </c>
      <c r="L41" t="inlineStr">
        <is>
          <t>14</t>
        </is>
      </c>
      <c r="M41" t="inlineStr">
        <is>
          <t>MVS Sec.14 p.26</t>
        </is>
      </c>
    </row>
    <row r="42">
      <c r="B42" t="inlineStr">
        <is>
          <t>Storage Warehouses</t>
        </is>
      </c>
      <c r="C42" t="inlineStr">
        <is>
          <t>406</t>
        </is>
      </c>
      <c r="D42" t="inlineStr">
        <is>
          <t>14</t>
        </is>
      </c>
      <c r="E42" t="inlineStr">
        <is>
          <t>26</t>
        </is>
      </c>
      <c r="F42" t="inlineStr">
        <is>
          <t>D</t>
        </is>
      </c>
      <c r="G42" t="inlineStr">
        <is>
          <t>Good</t>
        </is>
      </c>
      <c r="H42" s="2390" t="n">
        <v>78</v>
      </c>
      <c r="I42">
        <f>B42&amp;"~"&amp;F42&amp;"~"&amp;G42</f>
        <v/>
      </c>
      <c r="J42" t="inlineStr">
        <is>
          <t>14</t>
        </is>
      </c>
      <c r="K42" t="inlineStr">
        <is>
          <t>14</t>
        </is>
      </c>
      <c r="L42" t="inlineStr">
        <is>
          <t>14</t>
        </is>
      </c>
      <c r="M42" t="inlineStr">
        <is>
          <t>MVS Sec.14 p.26</t>
        </is>
      </c>
    </row>
    <row r="43">
      <c r="B43" t="inlineStr">
        <is>
          <t>Storage Warehouses</t>
        </is>
      </c>
      <c r="C43" t="inlineStr">
        <is>
          <t>406</t>
        </is>
      </c>
      <c r="D43" t="inlineStr">
        <is>
          <t>14</t>
        </is>
      </c>
      <c r="E43" t="inlineStr">
        <is>
          <t>26</t>
        </is>
      </c>
      <c r="F43" t="inlineStr">
        <is>
          <t>D</t>
        </is>
      </c>
      <c r="G43" t="inlineStr">
        <is>
          <t>Average</t>
        </is>
      </c>
      <c r="H43" s="2390" t="n">
        <v>54.5</v>
      </c>
      <c r="I43">
        <f>B43&amp;"~"&amp;F43&amp;"~"&amp;G43</f>
        <v/>
      </c>
      <c r="J43" t="inlineStr">
        <is>
          <t>14</t>
        </is>
      </c>
      <c r="K43" t="inlineStr">
        <is>
          <t>14</t>
        </is>
      </c>
      <c r="L43" t="inlineStr">
        <is>
          <t>14</t>
        </is>
      </c>
      <c r="M43" t="inlineStr">
        <is>
          <t>MVS Sec.14 p.26</t>
        </is>
      </c>
    </row>
    <row r="44">
      <c r="B44" t="inlineStr">
        <is>
          <t>Storage Warehouses</t>
        </is>
      </c>
      <c r="C44" t="inlineStr">
        <is>
          <t>406</t>
        </is>
      </c>
      <c r="D44" t="inlineStr">
        <is>
          <t>14</t>
        </is>
      </c>
      <c r="E44" t="inlineStr">
        <is>
          <t>26</t>
        </is>
      </c>
      <c r="F44" t="inlineStr">
        <is>
          <t>D</t>
        </is>
      </c>
      <c r="G44" t="inlineStr">
        <is>
          <t>Low Cost</t>
        </is>
      </c>
      <c r="H44" s="2390" t="n">
        <v>38.75</v>
      </c>
      <c r="I44">
        <f>B44&amp;"~"&amp;F44&amp;"~"&amp;G44</f>
        <v/>
      </c>
      <c r="J44" t="inlineStr">
        <is>
          <t>14</t>
        </is>
      </c>
      <c r="K44" t="inlineStr">
        <is>
          <t>14</t>
        </is>
      </c>
      <c r="L44" t="inlineStr">
        <is>
          <t>14</t>
        </is>
      </c>
      <c r="M44" t="inlineStr">
        <is>
          <t>MVS Sec.14 p.26</t>
        </is>
      </c>
    </row>
    <row r="45">
      <c r="B45" t="inlineStr">
        <is>
          <t>Storage Warehouses</t>
        </is>
      </c>
      <c r="C45" t="inlineStr">
        <is>
          <t>406</t>
        </is>
      </c>
      <c r="D45" t="inlineStr">
        <is>
          <t>14</t>
        </is>
      </c>
      <c r="E45" t="inlineStr">
        <is>
          <t>26</t>
        </is>
      </c>
      <c r="F45" t="inlineStr">
        <is>
          <t>DPOLE</t>
        </is>
      </c>
      <c r="G45" t="inlineStr">
        <is>
          <t>Average</t>
        </is>
      </c>
      <c r="H45" s="2390" t="n">
        <v>48</v>
      </c>
      <c r="I45">
        <f>B45&amp;"~"&amp;F45&amp;"~"&amp;G45</f>
        <v/>
      </c>
      <c r="J45" t="inlineStr">
        <is>
          <t>14</t>
        </is>
      </c>
      <c r="K45" t="inlineStr">
        <is>
          <t>14</t>
        </is>
      </c>
      <c r="L45" t="inlineStr">
        <is>
          <t>14</t>
        </is>
      </c>
      <c r="M45" t="inlineStr">
        <is>
          <t>MVS Sec.14 p.26</t>
        </is>
      </c>
    </row>
    <row r="46">
      <c r="B46" t="inlineStr">
        <is>
          <t>Storage Warehouses</t>
        </is>
      </c>
      <c r="C46" t="inlineStr">
        <is>
          <t>406</t>
        </is>
      </c>
      <c r="D46" t="inlineStr">
        <is>
          <t>14</t>
        </is>
      </c>
      <c r="E46" t="inlineStr">
        <is>
          <t>26</t>
        </is>
      </c>
      <c r="F46" t="inlineStr">
        <is>
          <t>DPOLE</t>
        </is>
      </c>
      <c r="G46" t="inlineStr">
        <is>
          <t>Low Cost</t>
        </is>
      </c>
      <c r="H46" s="2390" t="n">
        <v>34</v>
      </c>
      <c r="I46">
        <f>B46&amp;"~"&amp;F46&amp;"~"&amp;G46</f>
        <v/>
      </c>
      <c r="J46" t="inlineStr">
        <is>
          <t>14</t>
        </is>
      </c>
      <c r="K46" t="inlineStr">
        <is>
          <t>14</t>
        </is>
      </c>
      <c r="L46" t="inlineStr">
        <is>
          <t>14</t>
        </is>
      </c>
      <c r="M46" t="inlineStr">
        <is>
          <t>MVS Sec.14 p.26</t>
        </is>
      </c>
    </row>
    <row r="47">
      <c r="B47" t="inlineStr">
        <is>
          <t>Storage Warehouses</t>
        </is>
      </c>
      <c r="C47" t="inlineStr">
        <is>
          <t>406</t>
        </is>
      </c>
      <c r="D47" t="inlineStr">
        <is>
          <t>14</t>
        </is>
      </c>
      <c r="E47" t="inlineStr">
        <is>
          <t>26</t>
        </is>
      </c>
      <c r="F47" t="inlineStr">
        <is>
          <t>S</t>
        </is>
      </c>
      <c r="G47" t="inlineStr">
        <is>
          <t>Excellent</t>
        </is>
      </c>
      <c r="H47" s="2390" t="n">
        <v>125</v>
      </c>
      <c r="I47">
        <f>B47&amp;"~"&amp;F47&amp;"~"&amp;G47</f>
        <v/>
      </c>
      <c r="J47" t="inlineStr">
        <is>
          <t>14</t>
        </is>
      </c>
      <c r="K47" t="inlineStr">
        <is>
          <t>14</t>
        </is>
      </c>
      <c r="L47" t="inlineStr">
        <is>
          <t>14</t>
        </is>
      </c>
      <c r="M47" t="inlineStr">
        <is>
          <t>MVS Sec.14 p.26</t>
        </is>
      </c>
    </row>
    <row r="48">
      <c r="B48" t="inlineStr">
        <is>
          <t>Storage Warehouses</t>
        </is>
      </c>
      <c r="C48" t="inlineStr">
        <is>
          <t>406</t>
        </is>
      </c>
      <c r="D48" t="inlineStr">
        <is>
          <t>14</t>
        </is>
      </c>
      <c r="E48" t="inlineStr">
        <is>
          <t>26</t>
        </is>
      </c>
      <c r="F48" t="inlineStr">
        <is>
          <t>S</t>
        </is>
      </c>
      <c r="G48" t="inlineStr">
        <is>
          <t>Good</t>
        </is>
      </c>
      <c r="H48" s="2390" t="n">
        <v>79.5</v>
      </c>
      <c r="I48">
        <f>B48&amp;"~"&amp;F48&amp;"~"&amp;G48</f>
        <v/>
      </c>
      <c r="J48" t="inlineStr">
        <is>
          <t>14</t>
        </is>
      </c>
      <c r="K48" t="inlineStr">
        <is>
          <t>14</t>
        </is>
      </c>
      <c r="L48" t="inlineStr">
        <is>
          <t>14</t>
        </is>
      </c>
      <c r="M48" t="inlineStr">
        <is>
          <t>MVS Sec.14 p.26</t>
        </is>
      </c>
    </row>
    <row r="49">
      <c r="B49" t="inlineStr">
        <is>
          <t>Storage Warehouses</t>
        </is>
      </c>
      <c r="C49" t="inlineStr">
        <is>
          <t>406</t>
        </is>
      </c>
      <c r="D49" t="inlineStr">
        <is>
          <t>14</t>
        </is>
      </c>
      <c r="E49" t="inlineStr">
        <is>
          <t>26</t>
        </is>
      </c>
      <c r="F49" t="inlineStr">
        <is>
          <t>S</t>
        </is>
      </c>
      <c r="G49" t="inlineStr">
        <is>
          <t>Average</t>
        </is>
      </c>
      <c r="H49" s="2390" t="n">
        <v>55.5</v>
      </c>
      <c r="I49">
        <f>B49&amp;"~"&amp;F49&amp;"~"&amp;G49</f>
        <v/>
      </c>
      <c r="J49" t="inlineStr">
        <is>
          <t>14</t>
        </is>
      </c>
      <c r="K49" t="inlineStr">
        <is>
          <t>14</t>
        </is>
      </c>
      <c r="L49" t="inlineStr">
        <is>
          <t>14</t>
        </is>
      </c>
      <c r="M49" t="inlineStr">
        <is>
          <t>MVS Sec.14 p.26</t>
        </is>
      </c>
    </row>
    <row r="50">
      <c r="B50" t="inlineStr">
        <is>
          <t>Storage Warehouses</t>
        </is>
      </c>
      <c r="C50" t="inlineStr">
        <is>
          <t>406</t>
        </is>
      </c>
      <c r="D50" t="inlineStr">
        <is>
          <t>14</t>
        </is>
      </c>
      <c r="E50" t="inlineStr">
        <is>
          <t>26</t>
        </is>
      </c>
      <c r="F50" t="inlineStr">
        <is>
          <t>S</t>
        </is>
      </c>
      <c r="G50" t="inlineStr">
        <is>
          <t>Low Cost</t>
        </is>
      </c>
      <c r="H50" s="2390" t="n">
        <v>38.75</v>
      </c>
      <c r="I50">
        <f>B50&amp;"~"&amp;F50&amp;"~"&amp;G50</f>
        <v/>
      </c>
      <c r="J50" t="inlineStr">
        <is>
          <t>14</t>
        </is>
      </c>
      <c r="K50" t="inlineStr">
        <is>
          <t>14</t>
        </is>
      </c>
      <c r="L50" t="inlineStr">
        <is>
          <t>14</t>
        </is>
      </c>
      <c r="M50" t="inlineStr">
        <is>
          <t>MVS Sec.14 p.26</t>
        </is>
      </c>
    </row>
    <row r="51">
      <c r="B51" t="inlineStr">
        <is>
          <t>Distribution Warehouses</t>
        </is>
      </c>
      <c r="C51" t="inlineStr">
        <is>
          <t>407</t>
        </is>
      </c>
      <c r="D51" t="inlineStr">
        <is>
          <t>14</t>
        </is>
      </c>
      <c r="E51" t="inlineStr">
        <is>
          <t>23</t>
        </is>
      </c>
      <c r="F51" t="inlineStr">
        <is>
          <t>A</t>
        </is>
      </c>
      <c r="G51" t="inlineStr">
        <is>
          <t>Good</t>
        </is>
      </c>
      <c r="H51" s="2390" t="n">
        <v>161</v>
      </c>
      <c r="I51">
        <f>B51&amp;"~"&amp;F51&amp;"~"&amp;G51</f>
        <v/>
      </c>
      <c r="J51" t="inlineStr">
        <is>
          <t>14</t>
        </is>
      </c>
      <c r="K51" t="inlineStr">
        <is>
          <t>14</t>
        </is>
      </c>
      <c r="L51" t="inlineStr">
        <is>
          <t>14</t>
        </is>
      </c>
      <c r="M51" t="inlineStr">
        <is>
          <t>MVS Sec.14 p.23</t>
        </is>
      </c>
    </row>
    <row r="52">
      <c r="B52" t="inlineStr">
        <is>
          <t>Distribution Warehouses</t>
        </is>
      </c>
      <c r="C52" t="inlineStr">
        <is>
          <t>407</t>
        </is>
      </c>
      <c r="D52" t="inlineStr">
        <is>
          <t>14</t>
        </is>
      </c>
      <c r="E52" t="inlineStr">
        <is>
          <t>23</t>
        </is>
      </c>
      <c r="F52" t="inlineStr">
        <is>
          <t>A</t>
        </is>
      </c>
      <c r="G52" t="inlineStr">
        <is>
          <t>Average</t>
        </is>
      </c>
      <c r="H52" s="2390" t="n">
        <v>123</v>
      </c>
      <c r="I52">
        <f>B52&amp;"~"&amp;F52&amp;"~"&amp;G52</f>
        <v/>
      </c>
      <c r="J52" t="inlineStr">
        <is>
          <t>14</t>
        </is>
      </c>
      <c r="K52" t="inlineStr">
        <is>
          <t>14</t>
        </is>
      </c>
      <c r="L52" t="inlineStr">
        <is>
          <t>14</t>
        </is>
      </c>
      <c r="M52" t="inlineStr">
        <is>
          <t>MVS Sec.14 p.23</t>
        </is>
      </c>
    </row>
    <row r="53">
      <c r="B53" t="inlineStr">
        <is>
          <t>Distribution Warehouses</t>
        </is>
      </c>
      <c r="C53" t="inlineStr">
        <is>
          <t>407</t>
        </is>
      </c>
      <c r="D53" t="inlineStr">
        <is>
          <t>14</t>
        </is>
      </c>
      <c r="E53" t="inlineStr">
        <is>
          <t>23</t>
        </is>
      </c>
      <c r="F53" t="inlineStr">
        <is>
          <t>B</t>
        </is>
      </c>
      <c r="G53" t="inlineStr">
        <is>
          <t>Good</t>
        </is>
      </c>
      <c r="H53" s="2390" t="n">
        <v>144</v>
      </c>
      <c r="I53">
        <f>B53&amp;"~"&amp;F53&amp;"~"&amp;G53</f>
        <v/>
      </c>
      <c r="J53" t="inlineStr">
        <is>
          <t>14</t>
        </is>
      </c>
      <c r="K53" t="inlineStr">
        <is>
          <t>14</t>
        </is>
      </c>
      <c r="L53" t="inlineStr">
        <is>
          <t>14</t>
        </is>
      </c>
      <c r="M53" t="inlineStr">
        <is>
          <t>MVS Sec.14 p.23</t>
        </is>
      </c>
    </row>
    <row r="54">
      <c r="B54" t="inlineStr">
        <is>
          <t>Distribution Warehouses</t>
        </is>
      </c>
      <c r="C54" t="inlineStr">
        <is>
          <t>407</t>
        </is>
      </c>
      <c r="D54" t="inlineStr">
        <is>
          <t>14</t>
        </is>
      </c>
      <c r="E54" t="inlineStr">
        <is>
          <t>23</t>
        </is>
      </c>
      <c r="F54" t="inlineStr">
        <is>
          <t>B</t>
        </is>
      </c>
      <c r="G54" t="inlineStr">
        <is>
          <t>Average</t>
        </is>
      </c>
      <c r="H54" s="2390" t="n">
        <v>108</v>
      </c>
      <c r="I54">
        <f>B54&amp;"~"&amp;F54&amp;"~"&amp;G54</f>
        <v/>
      </c>
      <c r="J54" t="inlineStr">
        <is>
          <t>14</t>
        </is>
      </c>
      <c r="K54" t="inlineStr">
        <is>
          <t>14</t>
        </is>
      </c>
      <c r="L54" t="inlineStr">
        <is>
          <t>14</t>
        </is>
      </c>
      <c r="M54" t="inlineStr">
        <is>
          <t>MVS Sec.14 p.23</t>
        </is>
      </c>
    </row>
    <row r="55">
      <c r="B55" t="inlineStr">
        <is>
          <t>Distribution Warehouses</t>
        </is>
      </c>
      <c r="C55" t="inlineStr">
        <is>
          <t>407</t>
        </is>
      </c>
      <c r="D55" t="inlineStr">
        <is>
          <t>14</t>
        </is>
      </c>
      <c r="E55" t="inlineStr">
        <is>
          <t>23</t>
        </is>
      </c>
      <c r="F55" t="inlineStr">
        <is>
          <t>C</t>
        </is>
      </c>
      <c r="G55" t="inlineStr">
        <is>
          <t>Excellent</t>
        </is>
      </c>
      <c r="H55" s="2390" t="n">
        <v>150</v>
      </c>
      <c r="I55">
        <f>B55&amp;"~"&amp;F55&amp;"~"&amp;G55</f>
        <v/>
      </c>
      <c r="J55" t="inlineStr">
        <is>
          <t>14</t>
        </is>
      </c>
      <c r="K55" t="inlineStr">
        <is>
          <t>14</t>
        </is>
      </c>
      <c r="L55" t="inlineStr">
        <is>
          <t>14</t>
        </is>
      </c>
      <c r="M55" t="inlineStr">
        <is>
          <t>MVS Sec.14 p.23</t>
        </is>
      </c>
    </row>
    <row r="56">
      <c r="B56" t="inlineStr">
        <is>
          <t>Distribution Warehouses</t>
        </is>
      </c>
      <c r="C56" t="inlineStr">
        <is>
          <t>407</t>
        </is>
      </c>
      <c r="D56" t="inlineStr">
        <is>
          <t>14</t>
        </is>
      </c>
      <c r="E56" t="inlineStr">
        <is>
          <t>23</t>
        </is>
      </c>
      <c r="F56" t="inlineStr">
        <is>
          <t>C</t>
        </is>
      </c>
      <c r="G56" t="inlineStr">
        <is>
          <t>Good</t>
        </is>
      </c>
      <c r="H56" s="2390" t="n">
        <v>103</v>
      </c>
      <c r="I56">
        <f>B56&amp;"~"&amp;F56&amp;"~"&amp;G56</f>
        <v/>
      </c>
      <c r="J56" t="inlineStr">
        <is>
          <t>14</t>
        </is>
      </c>
      <c r="K56" t="inlineStr">
        <is>
          <t>14</t>
        </is>
      </c>
      <c r="L56" t="inlineStr">
        <is>
          <t>14</t>
        </is>
      </c>
      <c r="M56" t="inlineStr">
        <is>
          <t>MVS Sec.14 p.23</t>
        </is>
      </c>
    </row>
    <row r="57">
      <c r="B57" t="inlineStr">
        <is>
          <t>Distribution Warehouses</t>
        </is>
      </c>
      <c r="C57" t="inlineStr">
        <is>
          <t>407</t>
        </is>
      </c>
      <c r="D57" t="inlineStr">
        <is>
          <t>14</t>
        </is>
      </c>
      <c r="E57" t="inlineStr">
        <is>
          <t>23</t>
        </is>
      </c>
      <c r="F57" t="inlineStr">
        <is>
          <t>C</t>
        </is>
      </c>
      <c r="G57" t="inlineStr">
        <is>
          <t>Average</t>
        </is>
      </c>
      <c r="H57" s="2390" t="n">
        <v>70.5</v>
      </c>
      <c r="I57">
        <f>B57&amp;"~"&amp;F57&amp;"~"&amp;G57</f>
        <v/>
      </c>
      <c r="J57" t="inlineStr">
        <is>
          <t>14</t>
        </is>
      </c>
      <c r="K57" t="inlineStr">
        <is>
          <t>14</t>
        </is>
      </c>
      <c r="L57" t="inlineStr">
        <is>
          <t>14</t>
        </is>
      </c>
      <c r="M57" t="inlineStr">
        <is>
          <t>MVS Sec.14 p.23</t>
        </is>
      </c>
    </row>
    <row r="58">
      <c r="B58" t="inlineStr">
        <is>
          <t>Distribution Warehouses</t>
        </is>
      </c>
      <c r="C58" t="inlineStr">
        <is>
          <t>407</t>
        </is>
      </c>
      <c r="D58" t="inlineStr">
        <is>
          <t>14</t>
        </is>
      </c>
      <c r="E58" t="inlineStr">
        <is>
          <t>23</t>
        </is>
      </c>
      <c r="F58" t="inlineStr">
        <is>
          <t>C</t>
        </is>
      </c>
      <c r="G58" t="inlineStr">
        <is>
          <t>Low Cost</t>
        </is>
      </c>
      <c r="H58" s="2390" t="n">
        <v>50.5</v>
      </c>
      <c r="I58">
        <f>B58&amp;"~"&amp;F58&amp;"~"&amp;G58</f>
        <v/>
      </c>
      <c r="J58" t="inlineStr">
        <is>
          <t>14</t>
        </is>
      </c>
      <c r="K58" t="inlineStr">
        <is>
          <t>14</t>
        </is>
      </c>
      <c r="L58" t="inlineStr">
        <is>
          <t>14</t>
        </is>
      </c>
      <c r="M58" t="inlineStr">
        <is>
          <t>MVS Sec.14 p.23</t>
        </is>
      </c>
    </row>
    <row r="59">
      <c r="B59" t="inlineStr">
        <is>
          <t>Distribution Warehouses</t>
        </is>
      </c>
      <c r="C59" t="inlineStr">
        <is>
          <t>407</t>
        </is>
      </c>
      <c r="D59" t="inlineStr">
        <is>
          <t>14</t>
        </is>
      </c>
      <c r="E59" t="inlineStr">
        <is>
          <t>23</t>
        </is>
      </c>
      <c r="F59" t="inlineStr">
        <is>
          <t>D</t>
        </is>
      </c>
      <c r="G59" t="inlineStr">
        <is>
          <t>Good</t>
        </is>
      </c>
      <c r="H59" s="2390" t="n">
        <v>92.5</v>
      </c>
      <c r="I59">
        <f>B59&amp;"~"&amp;F59&amp;"~"&amp;G59</f>
        <v/>
      </c>
      <c r="J59" t="inlineStr">
        <is>
          <t>14</t>
        </is>
      </c>
      <c r="K59" t="inlineStr">
        <is>
          <t>14</t>
        </is>
      </c>
      <c r="L59" t="inlineStr">
        <is>
          <t>14</t>
        </is>
      </c>
      <c r="M59" t="inlineStr">
        <is>
          <t>MVS Sec.14 p.23</t>
        </is>
      </c>
    </row>
    <row r="60">
      <c r="B60" t="inlineStr">
        <is>
          <t>Distribution Warehouses</t>
        </is>
      </c>
      <c r="C60" t="inlineStr">
        <is>
          <t>407</t>
        </is>
      </c>
      <c r="D60" t="inlineStr">
        <is>
          <t>14</t>
        </is>
      </c>
      <c r="E60" t="inlineStr">
        <is>
          <t>23</t>
        </is>
      </c>
      <c r="F60" t="inlineStr">
        <is>
          <t>D</t>
        </is>
      </c>
      <c r="G60" t="inlineStr">
        <is>
          <t>Average</t>
        </is>
      </c>
      <c r="H60" s="2390" t="n">
        <v>63</v>
      </c>
      <c r="I60">
        <f>B60&amp;"~"&amp;F60&amp;"~"&amp;G60</f>
        <v/>
      </c>
      <c r="J60" t="inlineStr">
        <is>
          <t>14</t>
        </is>
      </c>
      <c r="K60" t="inlineStr">
        <is>
          <t>14</t>
        </is>
      </c>
      <c r="L60" t="inlineStr">
        <is>
          <t>14</t>
        </is>
      </c>
      <c r="M60" t="inlineStr">
        <is>
          <t>MVS Sec.14 p.23</t>
        </is>
      </c>
    </row>
    <row r="61">
      <c r="B61" t="inlineStr">
        <is>
          <t>Distribution Warehouses</t>
        </is>
      </c>
      <c r="C61" t="inlineStr">
        <is>
          <t>407</t>
        </is>
      </c>
      <c r="D61" t="inlineStr">
        <is>
          <t>14</t>
        </is>
      </c>
      <c r="E61" t="inlineStr">
        <is>
          <t>23</t>
        </is>
      </c>
      <c r="F61" t="inlineStr">
        <is>
          <t>DPOLE</t>
        </is>
      </c>
      <c r="G61" t="inlineStr">
        <is>
          <t>Average</t>
        </is>
      </c>
      <c r="H61" s="2390" t="n">
        <v>57</v>
      </c>
      <c r="I61">
        <f>B61&amp;"~"&amp;F61&amp;"~"&amp;G61</f>
        <v/>
      </c>
      <c r="J61" t="inlineStr">
        <is>
          <t>14</t>
        </is>
      </c>
      <c r="K61" t="inlineStr">
        <is>
          <t>14</t>
        </is>
      </c>
      <c r="L61" t="inlineStr">
        <is>
          <t>14</t>
        </is>
      </c>
      <c r="M61" t="inlineStr">
        <is>
          <t>MVS Sec.14 p.23</t>
        </is>
      </c>
    </row>
    <row r="62">
      <c r="B62" t="inlineStr">
        <is>
          <t>Distribution Warehouses</t>
        </is>
      </c>
      <c r="C62" t="inlineStr">
        <is>
          <t>407</t>
        </is>
      </c>
      <c r="D62" t="inlineStr">
        <is>
          <t>14</t>
        </is>
      </c>
      <c r="E62" t="inlineStr">
        <is>
          <t>23</t>
        </is>
      </c>
      <c r="F62" t="inlineStr">
        <is>
          <t>DPOLE</t>
        </is>
      </c>
      <c r="G62" t="inlineStr">
        <is>
          <t>Low Cost</t>
        </is>
      </c>
      <c r="H62" s="2390" t="n">
        <v>41.25</v>
      </c>
      <c r="I62">
        <f>B62&amp;"~"&amp;F62&amp;"~"&amp;G62</f>
        <v/>
      </c>
      <c r="J62" t="inlineStr">
        <is>
          <t>14</t>
        </is>
      </c>
      <c r="K62" t="inlineStr">
        <is>
          <t>14</t>
        </is>
      </c>
      <c r="L62" t="inlineStr">
        <is>
          <t>14</t>
        </is>
      </c>
      <c r="M62" t="inlineStr">
        <is>
          <t>MVS Sec.14 p.23</t>
        </is>
      </c>
    </row>
    <row r="63">
      <c r="B63" t="inlineStr">
        <is>
          <t>Distribution Warehouses</t>
        </is>
      </c>
      <c r="C63" t="inlineStr">
        <is>
          <t>407</t>
        </is>
      </c>
      <c r="D63" t="inlineStr">
        <is>
          <t>14</t>
        </is>
      </c>
      <c r="E63" t="inlineStr">
        <is>
          <t>23</t>
        </is>
      </c>
      <c r="F63" t="inlineStr">
        <is>
          <t>S</t>
        </is>
      </c>
      <c r="G63" t="inlineStr">
        <is>
          <t>Excellent</t>
        </is>
      </c>
      <c r="H63" s="2390" t="n">
        <v>139</v>
      </c>
      <c r="I63">
        <f>B63&amp;"~"&amp;F63&amp;"~"&amp;G63</f>
        <v/>
      </c>
      <c r="J63" t="inlineStr">
        <is>
          <t>14</t>
        </is>
      </c>
      <c r="K63" t="inlineStr">
        <is>
          <t>14</t>
        </is>
      </c>
      <c r="L63" t="inlineStr">
        <is>
          <t>14</t>
        </is>
      </c>
      <c r="M63" t="inlineStr">
        <is>
          <t>MVS Sec.14 p.23</t>
        </is>
      </c>
    </row>
    <row r="64">
      <c r="B64" t="inlineStr">
        <is>
          <t>Distribution Warehouses</t>
        </is>
      </c>
      <c r="C64" t="inlineStr">
        <is>
          <t>407</t>
        </is>
      </c>
      <c r="D64" t="inlineStr">
        <is>
          <t>14</t>
        </is>
      </c>
      <c r="E64" t="inlineStr">
        <is>
          <t>23</t>
        </is>
      </c>
      <c r="F64" t="inlineStr">
        <is>
          <t>S</t>
        </is>
      </c>
      <c r="G64" t="inlineStr">
        <is>
          <t>Good</t>
        </is>
      </c>
      <c r="H64" s="2390" t="n">
        <v>94.5</v>
      </c>
      <c r="I64">
        <f>B64&amp;"~"&amp;F64&amp;"~"&amp;G64</f>
        <v/>
      </c>
      <c r="J64" t="inlineStr">
        <is>
          <t>14</t>
        </is>
      </c>
      <c r="K64" t="inlineStr">
        <is>
          <t>14</t>
        </is>
      </c>
      <c r="L64" t="inlineStr">
        <is>
          <t>14</t>
        </is>
      </c>
      <c r="M64" t="inlineStr">
        <is>
          <t>MVS Sec.14 p.23</t>
        </is>
      </c>
    </row>
    <row r="65">
      <c r="B65" t="inlineStr">
        <is>
          <t>Distribution Warehouses</t>
        </is>
      </c>
      <c r="C65" t="inlineStr">
        <is>
          <t>407</t>
        </is>
      </c>
      <c r="D65" t="inlineStr">
        <is>
          <t>14</t>
        </is>
      </c>
      <c r="E65" t="inlineStr">
        <is>
          <t>23</t>
        </is>
      </c>
      <c r="F65" t="inlineStr">
        <is>
          <t>S</t>
        </is>
      </c>
      <c r="G65" t="inlineStr">
        <is>
          <t>Average</t>
        </is>
      </c>
      <c r="H65" s="2390" t="n">
        <v>64</v>
      </c>
      <c r="I65">
        <f>B65&amp;"~"&amp;F65&amp;"~"&amp;G65</f>
        <v/>
      </c>
      <c r="J65" t="inlineStr">
        <is>
          <t>14</t>
        </is>
      </c>
      <c r="K65" t="inlineStr">
        <is>
          <t>14</t>
        </is>
      </c>
      <c r="L65" t="inlineStr">
        <is>
          <t>14</t>
        </is>
      </c>
      <c r="M65" t="inlineStr">
        <is>
          <t>MVS Sec.14 p.23</t>
        </is>
      </c>
    </row>
    <row r="66">
      <c r="B66" t="inlineStr">
        <is>
          <t>Distribution Warehouses</t>
        </is>
      </c>
      <c r="C66" t="inlineStr">
        <is>
          <t>407</t>
        </is>
      </c>
      <c r="D66" t="inlineStr">
        <is>
          <t>14</t>
        </is>
      </c>
      <c r="E66" t="inlineStr">
        <is>
          <t>23</t>
        </is>
      </c>
      <c r="F66" t="inlineStr">
        <is>
          <t>S</t>
        </is>
      </c>
      <c r="G66" t="inlineStr">
        <is>
          <t>Low Cost</t>
        </is>
      </c>
      <c r="H66" s="2390" t="n">
        <v>45.5</v>
      </c>
      <c r="I66">
        <f>B66&amp;"~"&amp;F66&amp;"~"&amp;G66</f>
        <v/>
      </c>
      <c r="J66" t="inlineStr">
        <is>
          <t>14</t>
        </is>
      </c>
      <c r="K66" t="inlineStr">
        <is>
          <t>14</t>
        </is>
      </c>
      <c r="L66" t="inlineStr">
        <is>
          <t>14</t>
        </is>
      </c>
      <c r="M66" t="inlineStr">
        <is>
          <t>MVS Sec.14 p.23</t>
        </is>
      </c>
    </row>
    <row r="67">
      <c r="B67" t="inlineStr">
        <is>
          <t>Mini-Warehouses / Self-Storage</t>
        </is>
      </c>
      <c r="C67" t="inlineStr">
        <is>
          <t>386</t>
        </is>
      </c>
      <c r="D67" t="inlineStr">
        <is>
          <t>14</t>
        </is>
      </c>
      <c r="E67" t="inlineStr">
        <is>
          <t>28</t>
        </is>
      </c>
      <c r="F67" t="inlineStr">
        <is>
          <t>C</t>
        </is>
      </c>
      <c r="G67" t="inlineStr">
        <is>
          <t>Good</t>
        </is>
      </c>
      <c r="H67" s="2390" t="n">
        <v>68.5</v>
      </c>
      <c r="I67">
        <f>B67&amp;"~"&amp;F67&amp;"~"&amp;G67</f>
        <v/>
      </c>
      <c r="J67" t="inlineStr">
        <is>
          <t>14</t>
        </is>
      </c>
      <c r="K67" t="inlineStr">
        <is>
          <t>14</t>
        </is>
      </c>
      <c r="L67" t="inlineStr">
        <is>
          <t>14</t>
        </is>
      </c>
      <c r="M67" t="inlineStr">
        <is>
          <t>MVS Sec.14 p.28</t>
        </is>
      </c>
    </row>
    <row r="68">
      <c r="B68" t="inlineStr">
        <is>
          <t>Mini-Warehouses / Self-Storage</t>
        </is>
      </c>
      <c r="C68" t="inlineStr">
        <is>
          <t>386</t>
        </is>
      </c>
      <c r="D68" t="inlineStr">
        <is>
          <t>14</t>
        </is>
      </c>
      <c r="E68" t="inlineStr">
        <is>
          <t>28</t>
        </is>
      </c>
      <c r="F68" t="inlineStr">
        <is>
          <t>C</t>
        </is>
      </c>
      <c r="G68" t="inlineStr">
        <is>
          <t>Average</t>
        </is>
      </c>
      <c r="H68" s="2390" t="n">
        <v>51</v>
      </c>
      <c r="I68">
        <f>B68&amp;"~"&amp;F68&amp;"~"&amp;G68</f>
        <v/>
      </c>
      <c r="J68" t="inlineStr">
        <is>
          <t>14</t>
        </is>
      </c>
      <c r="K68" t="inlineStr">
        <is>
          <t>14</t>
        </is>
      </c>
      <c r="L68" t="inlineStr">
        <is>
          <t>14</t>
        </is>
      </c>
      <c r="M68" t="inlineStr">
        <is>
          <t>MVS Sec.14 p.28</t>
        </is>
      </c>
    </row>
    <row r="69">
      <c r="B69" t="inlineStr">
        <is>
          <t>Mini-Warehouses / Self-Storage</t>
        </is>
      </c>
      <c r="C69" t="inlineStr">
        <is>
          <t>386</t>
        </is>
      </c>
      <c r="D69" t="inlineStr">
        <is>
          <t>14</t>
        </is>
      </c>
      <c r="E69" t="inlineStr">
        <is>
          <t>28</t>
        </is>
      </c>
      <c r="F69" t="inlineStr">
        <is>
          <t>C</t>
        </is>
      </c>
      <c r="G69" t="inlineStr">
        <is>
          <t>Low Cost</t>
        </is>
      </c>
      <c r="H69" s="2390" t="n">
        <v>38.25</v>
      </c>
      <c r="I69">
        <f>B69&amp;"~"&amp;F69&amp;"~"&amp;G69</f>
        <v/>
      </c>
      <c r="J69" t="inlineStr">
        <is>
          <t>14</t>
        </is>
      </c>
      <c r="K69" t="inlineStr">
        <is>
          <t>14</t>
        </is>
      </c>
      <c r="L69" t="inlineStr">
        <is>
          <t>14</t>
        </is>
      </c>
      <c r="M69" t="inlineStr">
        <is>
          <t>MVS Sec.14 p.28</t>
        </is>
      </c>
    </row>
    <row r="70">
      <c r="B70" t="inlineStr">
        <is>
          <t>Mini-Warehouses / Self-Storage</t>
        </is>
      </c>
      <c r="C70" t="inlineStr">
        <is>
          <t>386</t>
        </is>
      </c>
      <c r="D70" t="inlineStr">
        <is>
          <t>14</t>
        </is>
      </c>
      <c r="E70" t="inlineStr">
        <is>
          <t>28</t>
        </is>
      </c>
      <c r="F70" t="inlineStr">
        <is>
          <t>D</t>
        </is>
      </c>
      <c r="G70" t="inlineStr">
        <is>
          <t>Good</t>
        </is>
      </c>
      <c r="H70" s="2390" t="n">
        <v>63.5</v>
      </c>
      <c r="I70">
        <f>B70&amp;"~"&amp;F70&amp;"~"&amp;G70</f>
        <v/>
      </c>
      <c r="J70" t="inlineStr">
        <is>
          <t>14</t>
        </is>
      </c>
      <c r="K70" t="inlineStr">
        <is>
          <t>14</t>
        </is>
      </c>
      <c r="L70" t="inlineStr">
        <is>
          <t>14</t>
        </is>
      </c>
      <c r="M70" t="inlineStr">
        <is>
          <t>MVS Sec.14 p.28</t>
        </is>
      </c>
    </row>
    <row r="71">
      <c r="B71" t="inlineStr">
        <is>
          <t>Mini-Warehouses / Self-Storage</t>
        </is>
      </c>
      <c r="C71" t="inlineStr">
        <is>
          <t>386</t>
        </is>
      </c>
      <c r="D71" t="inlineStr">
        <is>
          <t>14</t>
        </is>
      </c>
      <c r="E71" t="inlineStr">
        <is>
          <t>28</t>
        </is>
      </c>
      <c r="F71" t="inlineStr">
        <is>
          <t>D</t>
        </is>
      </c>
      <c r="G71" t="inlineStr">
        <is>
          <t>Average</t>
        </is>
      </c>
      <c r="H71" s="2390" t="n">
        <v>47.5</v>
      </c>
      <c r="I71">
        <f>B71&amp;"~"&amp;F71&amp;"~"&amp;G71</f>
        <v/>
      </c>
      <c r="J71" t="inlineStr">
        <is>
          <t>14</t>
        </is>
      </c>
      <c r="K71" t="inlineStr">
        <is>
          <t>14</t>
        </is>
      </c>
      <c r="L71" t="inlineStr">
        <is>
          <t>14</t>
        </is>
      </c>
      <c r="M71" t="inlineStr">
        <is>
          <t>MVS Sec.14 p.28</t>
        </is>
      </c>
    </row>
    <row r="72">
      <c r="B72" t="inlineStr">
        <is>
          <t>Mini-Warehouses / Self-Storage</t>
        </is>
      </c>
      <c r="C72" t="inlineStr">
        <is>
          <t>386</t>
        </is>
      </c>
      <c r="D72" t="inlineStr">
        <is>
          <t>14</t>
        </is>
      </c>
      <c r="E72" t="inlineStr">
        <is>
          <t>28</t>
        </is>
      </c>
      <c r="F72" t="inlineStr">
        <is>
          <t>D</t>
        </is>
      </c>
      <c r="G72" t="inlineStr">
        <is>
          <t>Low Cost</t>
        </is>
      </c>
      <c r="H72" s="2390" t="n">
        <v>35.5</v>
      </c>
      <c r="I72">
        <f>B72&amp;"~"&amp;F72&amp;"~"&amp;G72</f>
        <v/>
      </c>
      <c r="J72" t="inlineStr">
        <is>
          <t>14</t>
        </is>
      </c>
      <c r="K72" t="inlineStr">
        <is>
          <t>14</t>
        </is>
      </c>
      <c r="L72" t="inlineStr">
        <is>
          <t>14</t>
        </is>
      </c>
      <c r="M72" t="inlineStr">
        <is>
          <t>MVS Sec.14 p.28</t>
        </is>
      </c>
    </row>
    <row r="73">
      <c r="B73" t="inlineStr">
        <is>
          <t>Mini-Warehouses / Self-Storage</t>
        </is>
      </c>
      <c r="C73" t="inlineStr">
        <is>
          <t>386</t>
        </is>
      </c>
      <c r="D73" t="inlineStr">
        <is>
          <t>14</t>
        </is>
      </c>
      <c r="E73" t="inlineStr">
        <is>
          <t>28</t>
        </is>
      </c>
      <c r="F73" t="inlineStr">
        <is>
          <t>DPOLE</t>
        </is>
      </c>
      <c r="G73" t="inlineStr">
        <is>
          <t>Good</t>
        </is>
      </c>
      <c r="H73" s="2390" t="n">
        <v>58.5</v>
      </c>
      <c r="I73">
        <f>B73&amp;"~"&amp;F73&amp;"~"&amp;G73</f>
        <v/>
      </c>
      <c r="J73" t="inlineStr">
        <is>
          <t>14</t>
        </is>
      </c>
      <c r="K73" t="inlineStr">
        <is>
          <t>14</t>
        </is>
      </c>
      <c r="L73" t="inlineStr">
        <is>
          <t>14</t>
        </is>
      </c>
      <c r="M73" t="inlineStr">
        <is>
          <t>MVS Sec.14 p.28</t>
        </is>
      </c>
    </row>
    <row r="74">
      <c r="B74" t="inlineStr">
        <is>
          <t>Mini-Warehouses / Self-Storage</t>
        </is>
      </c>
      <c r="C74" t="inlineStr">
        <is>
          <t>386</t>
        </is>
      </c>
      <c r="D74" t="inlineStr">
        <is>
          <t>14</t>
        </is>
      </c>
      <c r="E74" t="inlineStr">
        <is>
          <t>28</t>
        </is>
      </c>
      <c r="F74" t="inlineStr">
        <is>
          <t>DPOLE</t>
        </is>
      </c>
      <c r="G74" t="inlineStr">
        <is>
          <t>Average</t>
        </is>
      </c>
      <c r="H74" s="2390" t="n">
        <v>43.5</v>
      </c>
      <c r="I74">
        <f>B74&amp;"~"&amp;F74&amp;"~"&amp;G74</f>
        <v/>
      </c>
      <c r="J74" t="inlineStr">
        <is>
          <t>14</t>
        </is>
      </c>
      <c r="K74" t="inlineStr">
        <is>
          <t>14</t>
        </is>
      </c>
      <c r="L74" t="inlineStr">
        <is>
          <t>14</t>
        </is>
      </c>
      <c r="M74" t="inlineStr">
        <is>
          <t>MVS Sec.14 p.28</t>
        </is>
      </c>
    </row>
    <row r="75">
      <c r="B75" t="inlineStr">
        <is>
          <t>Mini-Warehouses / Self-Storage</t>
        </is>
      </c>
      <c r="C75" t="inlineStr">
        <is>
          <t>386</t>
        </is>
      </c>
      <c r="D75" t="inlineStr">
        <is>
          <t>14</t>
        </is>
      </c>
      <c r="E75" t="inlineStr">
        <is>
          <t>28</t>
        </is>
      </c>
      <c r="F75" t="inlineStr">
        <is>
          <t>DPOLE</t>
        </is>
      </c>
      <c r="G75" t="inlineStr">
        <is>
          <t>Low Cost</t>
        </is>
      </c>
      <c r="H75" s="2390" t="n">
        <v>32.5</v>
      </c>
      <c r="I75">
        <f>B75&amp;"~"&amp;F75&amp;"~"&amp;G75</f>
        <v/>
      </c>
      <c r="J75" t="inlineStr">
        <is>
          <t>14</t>
        </is>
      </c>
      <c r="K75" t="inlineStr">
        <is>
          <t>14</t>
        </is>
      </c>
      <c r="L75" t="inlineStr">
        <is>
          <t>14</t>
        </is>
      </c>
      <c r="M75" t="inlineStr">
        <is>
          <t>MVS Sec.14 p.28</t>
        </is>
      </c>
    </row>
    <row r="76">
      <c r="B76" t="inlineStr">
        <is>
          <t>Mini-Warehouses / Self-Storage</t>
        </is>
      </c>
      <c r="C76" t="inlineStr">
        <is>
          <t>386</t>
        </is>
      </c>
      <c r="D76" t="inlineStr">
        <is>
          <t>14</t>
        </is>
      </c>
      <c r="E76" t="inlineStr">
        <is>
          <t>28</t>
        </is>
      </c>
      <c r="F76" t="inlineStr">
        <is>
          <t>S</t>
        </is>
      </c>
      <c r="G76" t="inlineStr">
        <is>
          <t>Good</t>
        </is>
      </c>
      <c r="H76" s="2390" t="n">
        <v>63.5</v>
      </c>
      <c r="I76">
        <f>B76&amp;"~"&amp;F76&amp;"~"&amp;G76</f>
        <v/>
      </c>
      <c r="J76" t="inlineStr">
        <is>
          <t>14</t>
        </is>
      </c>
      <c r="K76" t="inlineStr">
        <is>
          <t>14</t>
        </is>
      </c>
      <c r="L76" t="inlineStr">
        <is>
          <t>14</t>
        </is>
      </c>
      <c r="M76" t="inlineStr">
        <is>
          <t>MVS Sec.14 p.28</t>
        </is>
      </c>
    </row>
    <row r="77">
      <c r="B77" t="inlineStr">
        <is>
          <t>Mini-Warehouses / Self-Storage</t>
        </is>
      </c>
      <c r="C77" t="inlineStr">
        <is>
          <t>386</t>
        </is>
      </c>
      <c r="D77" t="inlineStr">
        <is>
          <t>14</t>
        </is>
      </c>
      <c r="E77" t="inlineStr">
        <is>
          <t>28</t>
        </is>
      </c>
      <c r="F77" t="inlineStr">
        <is>
          <t>S</t>
        </is>
      </c>
      <c r="G77" t="inlineStr">
        <is>
          <t>Average</t>
        </is>
      </c>
      <c r="H77" s="2390" t="n">
        <v>47.5</v>
      </c>
      <c r="I77">
        <f>B77&amp;"~"&amp;F77&amp;"~"&amp;G77</f>
        <v/>
      </c>
      <c r="J77" t="inlineStr">
        <is>
          <t>14</t>
        </is>
      </c>
      <c r="K77" t="inlineStr">
        <is>
          <t>14</t>
        </is>
      </c>
      <c r="L77" t="inlineStr">
        <is>
          <t>14</t>
        </is>
      </c>
      <c r="M77" t="inlineStr">
        <is>
          <t>MVS Sec.14 p.28</t>
        </is>
      </c>
    </row>
    <row r="78">
      <c r="B78" t="inlineStr">
        <is>
          <t>Mini-Warehouses / Self-Storage</t>
        </is>
      </c>
      <c r="C78" t="inlineStr">
        <is>
          <t>386</t>
        </is>
      </c>
      <c r="D78" t="inlineStr">
        <is>
          <t>14</t>
        </is>
      </c>
      <c r="E78" t="inlineStr">
        <is>
          <t>28</t>
        </is>
      </c>
      <c r="F78" t="inlineStr">
        <is>
          <t>S</t>
        </is>
      </c>
      <c r="G78" t="inlineStr">
        <is>
          <t>Low Cost</t>
        </is>
      </c>
      <c r="H78" s="2390" t="n">
        <v>35.5</v>
      </c>
      <c r="I78">
        <f>B78&amp;"~"&amp;F78&amp;"~"&amp;G78</f>
        <v/>
      </c>
      <c r="J78" t="inlineStr">
        <is>
          <t>14</t>
        </is>
      </c>
      <c r="K78" t="inlineStr">
        <is>
          <t>14</t>
        </is>
      </c>
      <c r="L78" t="inlineStr">
        <is>
          <t>14</t>
        </is>
      </c>
      <c r="M78" t="inlineStr">
        <is>
          <t>MVS Sec.14 p.28</t>
        </is>
      </c>
    </row>
    <row r="79">
      <c r="B79" t="inlineStr">
        <is>
          <t>Mini-Warehouses / Self-Storage</t>
        </is>
      </c>
      <c r="C79" t="inlineStr">
        <is>
          <t>386</t>
        </is>
      </c>
      <c r="D79" t="inlineStr">
        <is>
          <t>14</t>
        </is>
      </c>
      <c r="E79" t="inlineStr">
        <is>
          <t>28</t>
        </is>
      </c>
      <c r="F79" t="inlineStr">
        <is>
          <t>S</t>
        </is>
      </c>
      <c r="G79" t="inlineStr">
        <is>
          <t>Cheap</t>
        </is>
      </c>
      <c r="H79" s="2390" t="n">
        <v>26.25</v>
      </c>
      <c r="I79">
        <f>B79&amp;"~"&amp;F79&amp;"~"&amp;G79</f>
        <v/>
      </c>
      <c r="J79" t="inlineStr">
        <is>
          <t>14</t>
        </is>
      </c>
      <c r="K79" t="inlineStr">
        <is>
          <t>14</t>
        </is>
      </c>
      <c r="L79" t="inlineStr">
        <is>
          <t>14</t>
        </is>
      </c>
      <c r="M79" t="inlineStr">
        <is>
          <t>MVS Sec.14 p.28</t>
        </is>
      </c>
    </row>
    <row r="80">
      <c r="B80" t="inlineStr">
        <is>
          <t>Mini-Warehouses, High-Rise</t>
        </is>
      </c>
      <c r="C80" t="inlineStr">
        <is>
          <t>525</t>
        </is>
      </c>
      <c r="D80" t="inlineStr">
        <is>
          <t>14</t>
        </is>
      </c>
      <c r="E80" t="inlineStr">
        <is>
          <t>28</t>
        </is>
      </c>
      <c r="F80" t="inlineStr">
        <is>
          <t>A-B</t>
        </is>
      </c>
      <c r="G80" t="inlineStr">
        <is>
          <t>Average</t>
        </is>
      </c>
      <c r="H80" s="2390" t="n">
        <v>94</v>
      </c>
      <c r="I80">
        <f>B80&amp;"~"&amp;F80&amp;"~"&amp;G80</f>
        <v/>
      </c>
      <c r="J80" t="inlineStr">
        <is>
          <t>14</t>
        </is>
      </c>
      <c r="K80" t="inlineStr">
        <is>
          <t>14</t>
        </is>
      </c>
      <c r="L80" t="inlineStr">
        <is>
          <t>14</t>
        </is>
      </c>
      <c r="M80" t="inlineStr">
        <is>
          <t>MVS Sec.14 p.28</t>
        </is>
      </c>
    </row>
    <row r="81">
      <c r="B81" t="inlineStr">
        <is>
          <t>Mini-Warehouses, High-Rise</t>
        </is>
      </c>
      <c r="C81" t="inlineStr">
        <is>
          <t>525</t>
        </is>
      </c>
      <c r="D81" t="inlineStr">
        <is>
          <t>14</t>
        </is>
      </c>
      <c r="E81" t="inlineStr">
        <is>
          <t>28</t>
        </is>
      </c>
      <c r="F81" t="inlineStr">
        <is>
          <t>C</t>
        </is>
      </c>
      <c r="G81" t="inlineStr">
        <is>
          <t>Good</t>
        </is>
      </c>
      <c r="H81" s="2390" t="n">
        <v>86.5</v>
      </c>
      <c r="I81">
        <f>B81&amp;"~"&amp;F81&amp;"~"&amp;G81</f>
        <v/>
      </c>
      <c r="J81" t="inlineStr">
        <is>
          <t>14</t>
        </is>
      </c>
      <c r="K81" t="inlineStr">
        <is>
          <t>14</t>
        </is>
      </c>
      <c r="L81" t="inlineStr">
        <is>
          <t>14</t>
        </is>
      </c>
      <c r="M81" t="inlineStr">
        <is>
          <t>MVS Sec.14 p.28</t>
        </is>
      </c>
    </row>
    <row r="82">
      <c r="B82" t="inlineStr">
        <is>
          <t>Mini-Warehouses, High-Rise</t>
        </is>
      </c>
      <c r="C82" t="inlineStr">
        <is>
          <t>525</t>
        </is>
      </c>
      <c r="D82" t="inlineStr">
        <is>
          <t>14</t>
        </is>
      </c>
      <c r="E82" t="inlineStr">
        <is>
          <t>28</t>
        </is>
      </c>
      <c r="F82" t="inlineStr">
        <is>
          <t>C</t>
        </is>
      </c>
      <c r="G82" t="inlineStr">
        <is>
          <t>Average</t>
        </is>
      </c>
      <c r="H82" s="2390" t="n">
        <v>66</v>
      </c>
      <c r="I82">
        <f>B82&amp;"~"&amp;F82&amp;"~"&amp;G82</f>
        <v/>
      </c>
      <c r="J82" t="inlineStr">
        <is>
          <t>14</t>
        </is>
      </c>
      <c r="K82" t="inlineStr">
        <is>
          <t>14</t>
        </is>
      </c>
      <c r="L82" t="inlineStr">
        <is>
          <t>14</t>
        </is>
      </c>
      <c r="M82" t="inlineStr">
        <is>
          <t>MVS Sec.14 p.28</t>
        </is>
      </c>
    </row>
    <row r="83">
      <c r="B83" t="inlineStr">
        <is>
          <t>Mini-Warehouses, High-Rise</t>
        </is>
      </c>
      <c r="C83" t="inlineStr">
        <is>
          <t>525</t>
        </is>
      </c>
      <c r="D83" t="inlineStr">
        <is>
          <t>14</t>
        </is>
      </c>
      <c r="E83" t="inlineStr">
        <is>
          <t>28</t>
        </is>
      </c>
      <c r="F83" t="inlineStr">
        <is>
          <t>D</t>
        </is>
      </c>
      <c r="G83" t="inlineStr">
        <is>
          <t>Good</t>
        </is>
      </c>
      <c r="H83" s="2390" t="n">
        <v>79.5</v>
      </c>
      <c r="I83">
        <f>B83&amp;"~"&amp;F83&amp;"~"&amp;G83</f>
        <v/>
      </c>
      <c r="J83" t="inlineStr">
        <is>
          <t>14</t>
        </is>
      </c>
      <c r="K83" t="inlineStr">
        <is>
          <t>14</t>
        </is>
      </c>
      <c r="L83" t="inlineStr">
        <is>
          <t>14</t>
        </is>
      </c>
      <c r="M83" t="inlineStr">
        <is>
          <t>MVS Sec.14 p.28</t>
        </is>
      </c>
    </row>
    <row r="84">
      <c r="B84" t="inlineStr">
        <is>
          <t>Mini-Warehouses, High-Rise</t>
        </is>
      </c>
      <c r="C84" t="inlineStr">
        <is>
          <t>525</t>
        </is>
      </c>
      <c r="D84" t="inlineStr">
        <is>
          <t>14</t>
        </is>
      </c>
      <c r="E84" t="inlineStr">
        <is>
          <t>28</t>
        </is>
      </c>
      <c r="F84" t="inlineStr">
        <is>
          <t>S</t>
        </is>
      </c>
      <c r="G84" t="inlineStr">
        <is>
          <t>Good</t>
        </is>
      </c>
      <c r="H84" s="2390" t="n">
        <v>81</v>
      </c>
      <c r="I84">
        <f>B84&amp;"~"&amp;F84&amp;"~"&amp;G84</f>
        <v/>
      </c>
      <c r="J84" t="inlineStr">
        <is>
          <t>14</t>
        </is>
      </c>
      <c r="K84" t="inlineStr">
        <is>
          <t>14</t>
        </is>
      </c>
      <c r="L84" t="inlineStr">
        <is>
          <t>14</t>
        </is>
      </c>
      <c r="M84" t="inlineStr">
        <is>
          <t>MVS Sec.14 p.28</t>
        </is>
      </c>
    </row>
    <row r="85">
      <c r="B85" t="inlineStr">
        <is>
          <t>Industrials, Light Manufacturing</t>
        </is>
      </c>
      <c r="C85" t="inlineStr">
        <is>
          <t>494</t>
        </is>
      </c>
      <c r="D85" t="inlineStr">
        <is>
          <t>14</t>
        </is>
      </c>
      <c r="E85" t="inlineStr">
        <is>
          <t>14</t>
        </is>
      </c>
      <c r="F85" t="inlineStr">
        <is>
          <t>A</t>
        </is>
      </c>
      <c r="G85" t="inlineStr">
        <is>
          <t>Average</t>
        </is>
      </c>
      <c r="H85" s="2390" t="n">
        <v>122</v>
      </c>
      <c r="I85">
        <f>B85&amp;"~"&amp;F85&amp;"~"&amp;G85</f>
        <v/>
      </c>
      <c r="J85" t="inlineStr">
        <is>
          <t>14</t>
        </is>
      </c>
      <c r="K85" t="inlineStr">
        <is>
          <t>14</t>
        </is>
      </c>
      <c r="L85" t="inlineStr">
        <is>
          <t>14</t>
        </is>
      </c>
      <c r="M85" t="inlineStr">
        <is>
          <t>MVS Sec.14 p.14</t>
        </is>
      </c>
    </row>
    <row r="86">
      <c r="B86" t="inlineStr">
        <is>
          <t>Industrials, Light Manufacturing</t>
        </is>
      </c>
      <c r="C86" t="inlineStr">
        <is>
          <t>494</t>
        </is>
      </c>
      <c r="D86" t="inlineStr">
        <is>
          <t>14</t>
        </is>
      </c>
      <c r="E86" t="inlineStr">
        <is>
          <t>14</t>
        </is>
      </c>
      <c r="F86" t="inlineStr">
        <is>
          <t>A</t>
        </is>
      </c>
      <c r="G86" t="inlineStr">
        <is>
          <t>Low Cost</t>
        </is>
      </c>
      <c r="H86" s="2390" t="n">
        <v>84.5</v>
      </c>
      <c r="I86">
        <f>B86&amp;"~"&amp;F86&amp;"~"&amp;G86</f>
        <v/>
      </c>
      <c r="J86" t="inlineStr">
        <is>
          <t>14</t>
        </is>
      </c>
      <c r="K86" t="inlineStr">
        <is>
          <t>14</t>
        </is>
      </c>
      <c r="L86" t="inlineStr">
        <is>
          <t>14</t>
        </is>
      </c>
      <c r="M86" t="inlineStr">
        <is>
          <t>MVS Sec.14 p.14</t>
        </is>
      </c>
    </row>
    <row r="87">
      <c r="B87" t="inlineStr">
        <is>
          <t>Industrials, Light Manufacturing</t>
        </is>
      </c>
      <c r="C87" t="inlineStr">
        <is>
          <t>494</t>
        </is>
      </c>
      <c r="D87" t="inlineStr">
        <is>
          <t>14</t>
        </is>
      </c>
      <c r="E87" t="inlineStr">
        <is>
          <t>14</t>
        </is>
      </c>
      <c r="F87" t="inlineStr">
        <is>
          <t>B</t>
        </is>
      </c>
      <c r="G87" t="inlineStr">
        <is>
          <t>Average</t>
        </is>
      </c>
      <c r="H87" s="2390" t="n">
        <v>107</v>
      </c>
      <c r="I87">
        <f>B87&amp;"~"&amp;F87&amp;"~"&amp;G87</f>
        <v/>
      </c>
      <c r="J87" t="inlineStr">
        <is>
          <t>14</t>
        </is>
      </c>
      <c r="K87" t="inlineStr">
        <is>
          <t>14</t>
        </is>
      </c>
      <c r="L87" t="inlineStr">
        <is>
          <t>14</t>
        </is>
      </c>
      <c r="M87" t="inlineStr">
        <is>
          <t>MVS Sec.14 p.14</t>
        </is>
      </c>
    </row>
    <row r="88">
      <c r="B88" t="inlineStr">
        <is>
          <t>Industrials, Light Manufacturing</t>
        </is>
      </c>
      <c r="C88" t="inlineStr">
        <is>
          <t>494</t>
        </is>
      </c>
      <c r="D88" t="inlineStr">
        <is>
          <t>14</t>
        </is>
      </c>
      <c r="E88" t="inlineStr">
        <is>
          <t>14</t>
        </is>
      </c>
      <c r="F88" t="inlineStr">
        <is>
          <t>B</t>
        </is>
      </c>
      <c r="G88" t="inlineStr">
        <is>
          <t>Low Cost</t>
        </is>
      </c>
      <c r="H88" s="2390" t="n">
        <v>74</v>
      </c>
      <c r="I88">
        <f>B88&amp;"~"&amp;F88&amp;"~"&amp;G88</f>
        <v/>
      </c>
      <c r="J88" t="inlineStr">
        <is>
          <t>14</t>
        </is>
      </c>
      <c r="K88" t="inlineStr">
        <is>
          <t>14</t>
        </is>
      </c>
      <c r="L88" t="inlineStr">
        <is>
          <t>14</t>
        </is>
      </c>
      <c r="M88" t="inlineStr">
        <is>
          <t>MVS Sec.14 p.14</t>
        </is>
      </c>
    </row>
    <row r="89">
      <c r="B89" t="inlineStr">
        <is>
          <t>Industrials, Light Manufacturing</t>
        </is>
      </c>
      <c r="C89" t="inlineStr">
        <is>
          <t>494</t>
        </is>
      </c>
      <c r="D89" t="inlineStr">
        <is>
          <t>14</t>
        </is>
      </c>
      <c r="E89" t="inlineStr">
        <is>
          <t>14</t>
        </is>
      </c>
      <c r="F89" t="inlineStr">
        <is>
          <t>C</t>
        </is>
      </c>
      <c r="G89" t="inlineStr">
        <is>
          <t>Good</t>
        </is>
      </c>
      <c r="H89" s="2390" t="n">
        <v>100</v>
      </c>
      <c r="I89">
        <f>B89&amp;"~"&amp;F89&amp;"~"&amp;G89</f>
        <v/>
      </c>
      <c r="J89" t="inlineStr">
        <is>
          <t>14</t>
        </is>
      </c>
      <c r="K89" t="inlineStr">
        <is>
          <t>14</t>
        </is>
      </c>
      <c r="L89" t="inlineStr">
        <is>
          <t>14</t>
        </is>
      </c>
      <c r="M89" t="inlineStr">
        <is>
          <t>MVS Sec.14 p.14</t>
        </is>
      </c>
    </row>
    <row r="90">
      <c r="B90" t="inlineStr">
        <is>
          <t>Industrials, Light Manufacturing</t>
        </is>
      </c>
      <c r="C90" t="inlineStr">
        <is>
          <t>494</t>
        </is>
      </c>
      <c r="D90" t="inlineStr">
        <is>
          <t>14</t>
        </is>
      </c>
      <c r="E90" t="inlineStr">
        <is>
          <t>14</t>
        </is>
      </c>
      <c r="F90" t="inlineStr">
        <is>
          <t>C</t>
        </is>
      </c>
      <c r="G90" t="inlineStr">
        <is>
          <t>Average</t>
        </is>
      </c>
      <c r="H90" s="2390" t="n">
        <v>72</v>
      </c>
      <c r="I90">
        <f>B90&amp;"~"&amp;F90&amp;"~"&amp;G90</f>
        <v/>
      </c>
      <c r="J90" t="inlineStr">
        <is>
          <t>14</t>
        </is>
      </c>
      <c r="K90" t="inlineStr">
        <is>
          <t>14</t>
        </is>
      </c>
      <c r="L90" t="inlineStr">
        <is>
          <t>14</t>
        </is>
      </c>
      <c r="M90" t="inlineStr">
        <is>
          <t>MVS Sec.14 p.14</t>
        </is>
      </c>
    </row>
    <row r="91">
      <c r="B91" t="inlineStr">
        <is>
          <t>Industrials, Light Manufacturing</t>
        </is>
      </c>
      <c r="C91" t="inlineStr">
        <is>
          <t>494</t>
        </is>
      </c>
      <c r="D91" t="inlineStr">
        <is>
          <t>14</t>
        </is>
      </c>
      <c r="E91" t="inlineStr">
        <is>
          <t>14</t>
        </is>
      </c>
      <c r="F91" t="inlineStr">
        <is>
          <t>C</t>
        </is>
      </c>
      <c r="G91" t="inlineStr">
        <is>
          <t>Low Cost</t>
        </is>
      </c>
      <c r="H91" s="2390" t="n">
        <v>52.5</v>
      </c>
      <c r="I91">
        <f>B91&amp;"~"&amp;F91&amp;"~"&amp;G91</f>
        <v/>
      </c>
      <c r="J91" t="inlineStr">
        <is>
          <t>14</t>
        </is>
      </c>
      <c r="K91" t="inlineStr">
        <is>
          <t>14</t>
        </is>
      </c>
      <c r="L91" t="inlineStr">
        <is>
          <t>14</t>
        </is>
      </c>
      <c r="M91" t="inlineStr">
        <is>
          <t>MVS Sec.14 p.14</t>
        </is>
      </c>
    </row>
    <row r="92">
      <c r="B92" t="inlineStr">
        <is>
          <t>Industrials, Light Manufacturing</t>
        </is>
      </c>
      <c r="C92" t="inlineStr">
        <is>
          <t>494</t>
        </is>
      </c>
      <c r="D92" t="inlineStr">
        <is>
          <t>14</t>
        </is>
      </c>
      <c r="E92" t="inlineStr">
        <is>
          <t>14</t>
        </is>
      </c>
      <c r="F92" t="inlineStr">
        <is>
          <t>D</t>
        </is>
      </c>
      <c r="G92" t="inlineStr">
        <is>
          <t>Good</t>
        </is>
      </c>
      <c r="H92" s="2390" t="n">
        <v>92</v>
      </c>
      <c r="I92">
        <f>B92&amp;"~"&amp;F92&amp;"~"&amp;G92</f>
        <v/>
      </c>
      <c r="J92" t="inlineStr">
        <is>
          <t>14</t>
        </is>
      </c>
      <c r="K92" t="inlineStr">
        <is>
          <t>14</t>
        </is>
      </c>
      <c r="L92" t="inlineStr">
        <is>
          <t>14</t>
        </is>
      </c>
      <c r="M92" t="inlineStr">
        <is>
          <t>MVS Sec.14 p.14</t>
        </is>
      </c>
    </row>
    <row r="93">
      <c r="B93" t="inlineStr">
        <is>
          <t>Industrials, Light Manufacturing</t>
        </is>
      </c>
      <c r="C93" t="inlineStr">
        <is>
          <t>494</t>
        </is>
      </c>
      <c r="D93" t="inlineStr">
        <is>
          <t>14</t>
        </is>
      </c>
      <c r="E93" t="inlineStr">
        <is>
          <t>14</t>
        </is>
      </c>
      <c r="F93" t="inlineStr">
        <is>
          <t>D</t>
        </is>
      </c>
      <c r="G93" t="inlineStr">
        <is>
          <t>Average</t>
        </is>
      </c>
      <c r="H93" s="2390" t="n">
        <v>65.5</v>
      </c>
      <c r="I93">
        <f>B93&amp;"~"&amp;F93&amp;"~"&amp;G93</f>
        <v/>
      </c>
      <c r="J93" t="inlineStr">
        <is>
          <t>14</t>
        </is>
      </c>
      <c r="K93" t="inlineStr">
        <is>
          <t>14</t>
        </is>
      </c>
      <c r="L93" t="inlineStr">
        <is>
          <t>14</t>
        </is>
      </c>
      <c r="M93" t="inlineStr">
        <is>
          <t>MVS Sec.14 p.14</t>
        </is>
      </c>
    </row>
    <row r="94">
      <c r="B94" t="inlineStr">
        <is>
          <t>Industrials, Light Manufacturing</t>
        </is>
      </c>
      <c r="C94" t="inlineStr">
        <is>
          <t>494</t>
        </is>
      </c>
      <c r="D94" t="inlineStr">
        <is>
          <t>14</t>
        </is>
      </c>
      <c r="E94" t="inlineStr">
        <is>
          <t>14</t>
        </is>
      </c>
      <c r="F94" t="inlineStr">
        <is>
          <t>D</t>
        </is>
      </c>
      <c r="G94" t="inlineStr">
        <is>
          <t>Low Cost</t>
        </is>
      </c>
      <c r="H94" s="2390" t="n">
        <v>47</v>
      </c>
      <c r="I94">
        <f>B94&amp;"~"&amp;F94&amp;"~"&amp;G94</f>
        <v/>
      </c>
      <c r="J94" t="inlineStr">
        <is>
          <t>14</t>
        </is>
      </c>
      <c r="K94" t="inlineStr">
        <is>
          <t>14</t>
        </is>
      </c>
      <c r="L94" t="inlineStr">
        <is>
          <t>14</t>
        </is>
      </c>
      <c r="M94" t="inlineStr">
        <is>
          <t>MVS Sec.14 p.14</t>
        </is>
      </c>
    </row>
    <row r="95">
      <c r="B95" t="inlineStr">
        <is>
          <t>Industrials, Light Manufacturing</t>
        </is>
      </c>
      <c r="C95" t="inlineStr">
        <is>
          <t>494</t>
        </is>
      </c>
      <c r="D95" t="inlineStr">
        <is>
          <t>14</t>
        </is>
      </c>
      <c r="E95" t="inlineStr">
        <is>
          <t>14</t>
        </is>
      </c>
      <c r="F95" t="inlineStr">
        <is>
          <t>DPOLE</t>
        </is>
      </c>
      <c r="G95" t="inlineStr">
        <is>
          <t>Good</t>
        </is>
      </c>
      <c r="H95" s="2390" t="n">
        <v>84</v>
      </c>
      <c r="I95">
        <f>B95&amp;"~"&amp;F95&amp;"~"&amp;G95</f>
        <v/>
      </c>
      <c r="J95" t="inlineStr">
        <is>
          <t>14</t>
        </is>
      </c>
      <c r="K95" t="inlineStr">
        <is>
          <t>14</t>
        </is>
      </c>
      <c r="L95" t="inlineStr">
        <is>
          <t>14</t>
        </is>
      </c>
      <c r="M95" t="inlineStr">
        <is>
          <t>MVS Sec.14 p.14</t>
        </is>
      </c>
    </row>
    <row r="96">
      <c r="B96" t="inlineStr">
        <is>
          <t>Industrials, Light Manufacturing</t>
        </is>
      </c>
      <c r="C96" t="inlineStr">
        <is>
          <t>494</t>
        </is>
      </c>
      <c r="D96" t="inlineStr">
        <is>
          <t>14</t>
        </is>
      </c>
      <c r="E96" t="inlineStr">
        <is>
          <t>14</t>
        </is>
      </c>
      <c r="F96" t="inlineStr">
        <is>
          <t>DPOLE</t>
        </is>
      </c>
      <c r="G96" t="inlineStr">
        <is>
          <t>Average</t>
        </is>
      </c>
      <c r="H96" s="2390" t="n">
        <v>60.5</v>
      </c>
      <c r="I96">
        <f>B96&amp;"~"&amp;F96&amp;"~"&amp;G96</f>
        <v/>
      </c>
      <c r="J96" t="inlineStr">
        <is>
          <t>14</t>
        </is>
      </c>
      <c r="K96" t="inlineStr">
        <is>
          <t>14</t>
        </is>
      </c>
      <c r="L96" t="inlineStr">
        <is>
          <t>14</t>
        </is>
      </c>
      <c r="M96" t="inlineStr">
        <is>
          <t>MVS Sec.14 p.14</t>
        </is>
      </c>
    </row>
    <row r="97">
      <c r="B97" t="inlineStr">
        <is>
          <t>Industrials, Light Manufacturing</t>
        </is>
      </c>
      <c r="C97" t="inlineStr">
        <is>
          <t>494</t>
        </is>
      </c>
      <c r="D97" t="inlineStr">
        <is>
          <t>14</t>
        </is>
      </c>
      <c r="E97" t="inlineStr">
        <is>
          <t>14</t>
        </is>
      </c>
      <c r="F97" t="inlineStr">
        <is>
          <t>DPOLE</t>
        </is>
      </c>
      <c r="G97" t="inlineStr">
        <is>
          <t>Low Cost</t>
        </is>
      </c>
      <c r="H97" s="2390" t="n">
        <v>43.5</v>
      </c>
      <c r="I97">
        <f>B97&amp;"~"&amp;F97&amp;"~"&amp;G97</f>
        <v/>
      </c>
      <c r="J97" t="inlineStr">
        <is>
          <t>14</t>
        </is>
      </c>
      <c r="K97" t="inlineStr">
        <is>
          <t>14</t>
        </is>
      </c>
      <c r="L97" t="inlineStr">
        <is>
          <t>14</t>
        </is>
      </c>
      <c r="M97" t="inlineStr">
        <is>
          <t>MVS Sec.14 p.14</t>
        </is>
      </c>
    </row>
    <row r="98">
      <c r="B98" t="inlineStr">
        <is>
          <t>Industrials, Light Manufacturing</t>
        </is>
      </c>
      <c r="C98" t="inlineStr">
        <is>
          <t>494</t>
        </is>
      </c>
      <c r="D98" t="inlineStr">
        <is>
          <t>14</t>
        </is>
      </c>
      <c r="E98" t="inlineStr">
        <is>
          <t>14</t>
        </is>
      </c>
      <c r="F98" t="inlineStr">
        <is>
          <t>S</t>
        </is>
      </c>
      <c r="G98" t="inlineStr">
        <is>
          <t>Good</t>
        </is>
      </c>
      <c r="H98" s="2390" t="n">
        <v>93</v>
      </c>
      <c r="I98">
        <f>B98&amp;"~"&amp;F98&amp;"~"&amp;G98</f>
        <v/>
      </c>
      <c r="J98" t="inlineStr">
        <is>
          <t>14</t>
        </is>
      </c>
      <c r="K98" t="inlineStr">
        <is>
          <t>14</t>
        </is>
      </c>
      <c r="L98" t="inlineStr">
        <is>
          <t>14</t>
        </is>
      </c>
      <c r="M98" t="inlineStr">
        <is>
          <t>MVS Sec.14 p.14</t>
        </is>
      </c>
    </row>
    <row r="99">
      <c r="B99" t="inlineStr">
        <is>
          <t>Industrials, Light Manufacturing</t>
        </is>
      </c>
      <c r="C99" t="inlineStr">
        <is>
          <t>494</t>
        </is>
      </c>
      <c r="D99" t="inlineStr">
        <is>
          <t>14</t>
        </is>
      </c>
      <c r="E99" t="inlineStr">
        <is>
          <t>14</t>
        </is>
      </c>
      <c r="F99" t="inlineStr">
        <is>
          <t>S</t>
        </is>
      </c>
      <c r="G99" t="inlineStr">
        <is>
          <t>Average</t>
        </is>
      </c>
      <c r="H99" s="2390" t="n">
        <v>66</v>
      </c>
      <c r="I99">
        <f>B99&amp;"~"&amp;F99&amp;"~"&amp;G99</f>
        <v/>
      </c>
      <c r="J99" t="inlineStr">
        <is>
          <t>14</t>
        </is>
      </c>
      <c r="K99" t="inlineStr">
        <is>
          <t>14</t>
        </is>
      </c>
      <c r="L99" t="inlineStr">
        <is>
          <t>14</t>
        </is>
      </c>
      <c r="M99" t="inlineStr">
        <is>
          <t>MVS Sec.14 p.14</t>
        </is>
      </c>
    </row>
    <row r="100">
      <c r="B100" t="inlineStr">
        <is>
          <t>Industrials, Light Manufacturing</t>
        </is>
      </c>
      <c r="C100" t="inlineStr">
        <is>
          <t>494</t>
        </is>
      </c>
      <c r="D100" t="inlineStr">
        <is>
          <t>14</t>
        </is>
      </c>
      <c r="E100" t="inlineStr">
        <is>
          <t>14</t>
        </is>
      </c>
      <c r="F100" t="inlineStr">
        <is>
          <t>S</t>
        </is>
      </c>
      <c r="G100" t="inlineStr">
        <is>
          <t>Low Cost</t>
        </is>
      </c>
      <c r="H100" s="2390" t="n">
        <v>46.75</v>
      </c>
      <c r="I100">
        <f>B100&amp;"~"&amp;F100&amp;"~"&amp;G100</f>
        <v/>
      </c>
      <c r="J100" t="inlineStr">
        <is>
          <t>14</t>
        </is>
      </c>
      <c r="K100" t="inlineStr">
        <is>
          <t>14</t>
        </is>
      </c>
      <c r="L100" t="inlineStr">
        <is>
          <t>14</t>
        </is>
      </c>
      <c r="M100" t="inlineStr">
        <is>
          <t>MVS Sec.14 p.14</t>
        </is>
      </c>
    </row>
    <row r="101">
      <c r="B101" t="inlineStr">
        <is>
          <t>Industrials, Heavy (Process) Manufacturing</t>
        </is>
      </c>
      <c r="C101" t="inlineStr">
        <is>
          <t>495</t>
        </is>
      </c>
      <c r="D101" t="inlineStr">
        <is>
          <t>14</t>
        </is>
      </c>
      <c r="E101" t="inlineStr">
        <is>
          <t>15</t>
        </is>
      </c>
      <c r="F101" t="inlineStr">
        <is>
          <t>A</t>
        </is>
      </c>
      <c r="G101" t="inlineStr">
        <is>
          <t>Excellent</t>
        </is>
      </c>
      <c r="H101" s="2390" t="n">
        <v>376</v>
      </c>
      <c r="I101">
        <f>B101&amp;"~"&amp;F101&amp;"~"&amp;G101</f>
        <v/>
      </c>
      <c r="J101" t="inlineStr">
        <is>
          <t>14</t>
        </is>
      </c>
      <c r="K101" t="inlineStr">
        <is>
          <t>14</t>
        </is>
      </c>
      <c r="L101" t="inlineStr">
        <is>
          <t>14</t>
        </is>
      </c>
      <c r="M101" t="inlineStr">
        <is>
          <t>MVS Sec.14 p.15</t>
        </is>
      </c>
    </row>
    <row r="102">
      <c r="B102" t="inlineStr">
        <is>
          <t>Industrials, Heavy (Process) Manufacturing</t>
        </is>
      </c>
      <c r="C102" t="inlineStr">
        <is>
          <t>495</t>
        </is>
      </c>
      <c r="D102" t="inlineStr">
        <is>
          <t>14</t>
        </is>
      </c>
      <c r="E102" t="inlineStr">
        <is>
          <t>15</t>
        </is>
      </c>
      <c r="F102" t="inlineStr">
        <is>
          <t>A</t>
        </is>
      </c>
      <c r="G102" t="inlineStr">
        <is>
          <t>Good</t>
        </is>
      </c>
      <c r="H102" s="2390" t="n">
        <v>302</v>
      </c>
      <c r="I102">
        <f>B102&amp;"~"&amp;F102&amp;"~"&amp;G102</f>
        <v/>
      </c>
      <c r="J102" t="inlineStr">
        <is>
          <t>14</t>
        </is>
      </c>
      <c r="K102" t="inlineStr">
        <is>
          <t>14</t>
        </is>
      </c>
      <c r="L102" t="inlineStr">
        <is>
          <t>14</t>
        </is>
      </c>
      <c r="M102" t="inlineStr">
        <is>
          <t>MVS Sec.14 p.15</t>
        </is>
      </c>
    </row>
    <row r="103">
      <c r="B103" t="inlineStr">
        <is>
          <t>Industrials, Heavy (Process) Manufacturing</t>
        </is>
      </c>
      <c r="C103" t="inlineStr">
        <is>
          <t>495</t>
        </is>
      </c>
      <c r="D103" t="inlineStr">
        <is>
          <t>14</t>
        </is>
      </c>
      <c r="E103" t="inlineStr">
        <is>
          <t>15</t>
        </is>
      </c>
      <c r="F103" t="inlineStr">
        <is>
          <t>A</t>
        </is>
      </c>
      <c r="G103" t="inlineStr">
        <is>
          <t>Average</t>
        </is>
      </c>
      <c r="H103" s="2390" t="n">
        <v>232</v>
      </c>
      <c r="I103">
        <f>B103&amp;"~"&amp;F103&amp;"~"&amp;G103</f>
        <v/>
      </c>
      <c r="J103" t="inlineStr">
        <is>
          <t>14</t>
        </is>
      </c>
      <c r="K103" t="inlineStr">
        <is>
          <t>14</t>
        </is>
      </c>
      <c r="L103" t="inlineStr">
        <is>
          <t>14</t>
        </is>
      </c>
      <c r="M103" t="inlineStr">
        <is>
          <t>MVS Sec.14 p.15</t>
        </is>
      </c>
    </row>
    <row r="104">
      <c r="B104" t="inlineStr">
        <is>
          <t>Industrials, Heavy (Process) Manufacturing</t>
        </is>
      </c>
      <c r="C104" t="inlineStr">
        <is>
          <t>495</t>
        </is>
      </c>
      <c r="D104" t="inlineStr">
        <is>
          <t>14</t>
        </is>
      </c>
      <c r="E104" t="inlineStr">
        <is>
          <t>15</t>
        </is>
      </c>
      <c r="F104" t="inlineStr">
        <is>
          <t>A</t>
        </is>
      </c>
      <c r="G104" t="inlineStr">
        <is>
          <t>Low Cost</t>
        </is>
      </c>
      <c r="H104" s="2390" t="n">
        <v>180</v>
      </c>
      <c r="I104">
        <f>B104&amp;"~"&amp;F104&amp;"~"&amp;G104</f>
        <v/>
      </c>
      <c r="J104" t="inlineStr">
        <is>
          <t>14</t>
        </is>
      </c>
      <c r="K104" t="inlineStr">
        <is>
          <t>14</t>
        </is>
      </c>
      <c r="L104" t="inlineStr">
        <is>
          <t>14</t>
        </is>
      </c>
      <c r="M104" t="inlineStr">
        <is>
          <t>MVS Sec.14 p.15</t>
        </is>
      </c>
    </row>
    <row r="105">
      <c r="B105" t="inlineStr">
        <is>
          <t>Industrials, Heavy (Process) Manufacturing</t>
        </is>
      </c>
      <c r="C105" t="inlineStr">
        <is>
          <t>495</t>
        </is>
      </c>
      <c r="D105" t="inlineStr">
        <is>
          <t>14</t>
        </is>
      </c>
      <c r="E105" t="inlineStr">
        <is>
          <t>15</t>
        </is>
      </c>
      <c r="F105" t="inlineStr">
        <is>
          <t>B</t>
        </is>
      </c>
      <c r="G105" t="inlineStr">
        <is>
          <t>Excellent</t>
        </is>
      </c>
      <c r="H105" s="2390" t="n">
        <v>339</v>
      </c>
      <c r="I105">
        <f>B105&amp;"~"&amp;F105&amp;"~"&amp;G105</f>
        <v/>
      </c>
      <c r="J105" t="inlineStr">
        <is>
          <t>14</t>
        </is>
      </c>
      <c r="K105" t="inlineStr">
        <is>
          <t>14</t>
        </is>
      </c>
      <c r="L105" t="inlineStr">
        <is>
          <t>14</t>
        </is>
      </c>
      <c r="M105" t="inlineStr">
        <is>
          <t>MVS Sec.14 p.15</t>
        </is>
      </c>
    </row>
    <row r="106">
      <c r="B106" t="inlineStr">
        <is>
          <t>Industrials, Heavy (Process) Manufacturing</t>
        </is>
      </c>
      <c r="C106" t="inlineStr">
        <is>
          <t>495</t>
        </is>
      </c>
      <c r="D106" t="inlineStr">
        <is>
          <t>14</t>
        </is>
      </c>
      <c r="E106" t="inlineStr">
        <is>
          <t>15</t>
        </is>
      </c>
      <c r="F106" t="inlineStr">
        <is>
          <t>B</t>
        </is>
      </c>
      <c r="G106" t="inlineStr">
        <is>
          <t>Good</t>
        </is>
      </c>
      <c r="H106" s="2390" t="n">
        <v>272</v>
      </c>
      <c r="I106">
        <f>B106&amp;"~"&amp;F106&amp;"~"&amp;G106</f>
        <v/>
      </c>
      <c r="J106" t="inlineStr">
        <is>
          <t>14</t>
        </is>
      </c>
      <c r="K106" t="inlineStr">
        <is>
          <t>14</t>
        </is>
      </c>
      <c r="L106" t="inlineStr">
        <is>
          <t>14</t>
        </is>
      </c>
      <c r="M106" t="inlineStr">
        <is>
          <t>MVS Sec.14 p.15</t>
        </is>
      </c>
    </row>
    <row r="107">
      <c r="B107" t="inlineStr">
        <is>
          <t>Industrials, Heavy (Process) Manufacturing</t>
        </is>
      </c>
      <c r="C107" t="inlineStr">
        <is>
          <t>495</t>
        </is>
      </c>
      <c r="D107" t="inlineStr">
        <is>
          <t>14</t>
        </is>
      </c>
      <c r="E107" t="inlineStr">
        <is>
          <t>15</t>
        </is>
      </c>
      <c r="F107" t="inlineStr">
        <is>
          <t>B</t>
        </is>
      </c>
      <c r="G107" t="inlineStr">
        <is>
          <t>Average</t>
        </is>
      </c>
      <c r="H107" s="2390" t="n">
        <v>208</v>
      </c>
      <c r="I107">
        <f>B107&amp;"~"&amp;F107&amp;"~"&amp;G107</f>
        <v/>
      </c>
      <c r="J107" t="inlineStr">
        <is>
          <t>14</t>
        </is>
      </c>
      <c r="K107" t="inlineStr">
        <is>
          <t>14</t>
        </is>
      </c>
      <c r="L107" t="inlineStr">
        <is>
          <t>14</t>
        </is>
      </c>
      <c r="M107" t="inlineStr">
        <is>
          <t>MVS Sec.14 p.15</t>
        </is>
      </c>
    </row>
    <row r="108">
      <c r="B108" t="inlineStr">
        <is>
          <t>Industrials, Heavy (Process) Manufacturing</t>
        </is>
      </c>
      <c r="C108" t="inlineStr">
        <is>
          <t>495</t>
        </is>
      </c>
      <c r="D108" t="inlineStr">
        <is>
          <t>14</t>
        </is>
      </c>
      <c r="E108" t="inlineStr">
        <is>
          <t>15</t>
        </is>
      </c>
      <c r="F108" t="inlineStr">
        <is>
          <t>B</t>
        </is>
      </c>
      <c r="G108" t="inlineStr">
        <is>
          <t>Low Cost</t>
        </is>
      </c>
      <c r="H108" s="2390" t="n">
        <v>161</v>
      </c>
      <c r="I108">
        <f>B108&amp;"~"&amp;F108&amp;"~"&amp;G108</f>
        <v/>
      </c>
      <c r="J108" t="inlineStr">
        <is>
          <t>14</t>
        </is>
      </c>
      <c r="K108" t="inlineStr">
        <is>
          <t>14</t>
        </is>
      </c>
      <c r="L108" t="inlineStr">
        <is>
          <t>14</t>
        </is>
      </c>
      <c r="M108" t="inlineStr">
        <is>
          <t>MVS Sec.14 p.15</t>
        </is>
      </c>
    </row>
    <row r="109">
      <c r="B109" t="inlineStr">
        <is>
          <t>Industrials, Heavy (Process) Manufacturing</t>
        </is>
      </c>
      <c r="C109" t="inlineStr">
        <is>
          <t>495</t>
        </is>
      </c>
      <c r="D109" t="inlineStr">
        <is>
          <t>14</t>
        </is>
      </c>
      <c r="E109" t="inlineStr">
        <is>
          <t>15</t>
        </is>
      </c>
      <c r="F109" t="inlineStr">
        <is>
          <t>C</t>
        </is>
      </c>
      <c r="G109" t="inlineStr">
        <is>
          <t>Good</t>
        </is>
      </c>
      <c r="H109" s="2390" t="n">
        <v>217</v>
      </c>
      <c r="I109">
        <f>B109&amp;"~"&amp;F109&amp;"~"&amp;G109</f>
        <v/>
      </c>
      <c r="J109" t="inlineStr">
        <is>
          <t>14</t>
        </is>
      </c>
      <c r="K109" t="inlineStr">
        <is>
          <t>14</t>
        </is>
      </c>
      <c r="L109" t="inlineStr">
        <is>
          <t>14</t>
        </is>
      </c>
      <c r="M109" t="inlineStr">
        <is>
          <t>MVS Sec.14 p.15</t>
        </is>
      </c>
    </row>
    <row r="110">
      <c r="B110" t="inlineStr">
        <is>
          <t>Industrials, Heavy (Process) Manufacturing</t>
        </is>
      </c>
      <c r="C110" t="inlineStr">
        <is>
          <t>495</t>
        </is>
      </c>
      <c r="D110" t="inlineStr">
        <is>
          <t>14</t>
        </is>
      </c>
      <c r="E110" t="inlineStr">
        <is>
          <t>15</t>
        </is>
      </c>
      <c r="F110" t="inlineStr">
        <is>
          <t>C</t>
        </is>
      </c>
      <c r="G110" t="inlineStr">
        <is>
          <t>Average</t>
        </is>
      </c>
      <c r="H110" s="2390" t="n">
        <v>162</v>
      </c>
      <c r="I110">
        <f>B110&amp;"~"&amp;F110&amp;"~"&amp;G110</f>
        <v/>
      </c>
      <c r="J110" t="inlineStr">
        <is>
          <t>14</t>
        </is>
      </c>
      <c r="K110" t="inlineStr">
        <is>
          <t>14</t>
        </is>
      </c>
      <c r="L110" t="inlineStr">
        <is>
          <t>14</t>
        </is>
      </c>
      <c r="M110" t="inlineStr">
        <is>
          <t>MVS Sec.14 p.15</t>
        </is>
      </c>
    </row>
    <row r="111">
      <c r="B111" t="inlineStr">
        <is>
          <t>Industrials, Heavy (Process) Manufacturing</t>
        </is>
      </c>
      <c r="C111" t="inlineStr">
        <is>
          <t>495</t>
        </is>
      </c>
      <c r="D111" t="inlineStr">
        <is>
          <t>14</t>
        </is>
      </c>
      <c r="E111" t="inlineStr">
        <is>
          <t>15</t>
        </is>
      </c>
      <c r="F111" t="inlineStr">
        <is>
          <t>C</t>
        </is>
      </c>
      <c r="G111" t="inlineStr">
        <is>
          <t>Low Cost</t>
        </is>
      </c>
      <c r="H111" s="2390" t="n">
        <v>117</v>
      </c>
      <c r="I111">
        <f>B111&amp;"~"&amp;F111&amp;"~"&amp;G111</f>
        <v/>
      </c>
      <c r="J111" t="inlineStr">
        <is>
          <t>14</t>
        </is>
      </c>
      <c r="K111" t="inlineStr">
        <is>
          <t>14</t>
        </is>
      </c>
      <c r="L111" t="inlineStr">
        <is>
          <t>14</t>
        </is>
      </c>
      <c r="M111" t="inlineStr">
        <is>
          <t>MVS Sec.14 p.15</t>
        </is>
      </c>
    </row>
    <row r="112">
      <c r="B112" t="inlineStr">
        <is>
          <t>Industrials, Heavy (Process) Manufacturing</t>
        </is>
      </c>
      <c r="C112" t="inlineStr">
        <is>
          <t>495</t>
        </is>
      </c>
      <c r="D112" t="inlineStr">
        <is>
          <t>14</t>
        </is>
      </c>
      <c r="E112" t="inlineStr">
        <is>
          <t>15</t>
        </is>
      </c>
      <c r="F112" t="inlineStr">
        <is>
          <t>CMILL</t>
        </is>
      </c>
      <c r="G112" t="inlineStr">
        <is>
          <t>Good</t>
        </is>
      </c>
      <c r="H112" s="2390" t="n">
        <v>139</v>
      </c>
      <c r="I112">
        <f>B112&amp;"~"&amp;F112&amp;"~"&amp;G112</f>
        <v/>
      </c>
      <c r="J112" t="inlineStr">
        <is>
          <t>14</t>
        </is>
      </c>
      <c r="K112" t="inlineStr">
        <is>
          <t>14</t>
        </is>
      </c>
      <c r="L112" t="inlineStr">
        <is>
          <t>14</t>
        </is>
      </c>
      <c r="M112" t="inlineStr">
        <is>
          <t>MVS Sec.14 p.15</t>
        </is>
      </c>
    </row>
    <row r="113">
      <c r="B113" t="inlineStr">
        <is>
          <t>Industrials, Heavy (Process) Manufacturing</t>
        </is>
      </c>
      <c r="C113" t="inlineStr">
        <is>
          <t>495</t>
        </is>
      </c>
      <c r="D113" t="inlineStr">
        <is>
          <t>14</t>
        </is>
      </c>
      <c r="E113" t="inlineStr">
        <is>
          <t>15</t>
        </is>
      </c>
      <c r="F113" t="inlineStr">
        <is>
          <t>CMILL</t>
        </is>
      </c>
      <c r="G113" t="inlineStr">
        <is>
          <t>Average</t>
        </is>
      </c>
      <c r="H113" s="2390" t="n">
        <v>106</v>
      </c>
      <c r="I113">
        <f>B113&amp;"~"&amp;F113&amp;"~"&amp;G113</f>
        <v/>
      </c>
      <c r="J113" t="inlineStr">
        <is>
          <t>14</t>
        </is>
      </c>
      <c r="K113" t="inlineStr">
        <is>
          <t>14</t>
        </is>
      </c>
      <c r="L113" t="inlineStr">
        <is>
          <t>14</t>
        </is>
      </c>
      <c r="M113" t="inlineStr">
        <is>
          <t>MVS Sec.14 p.15</t>
        </is>
      </c>
    </row>
    <row r="114">
      <c r="B114" t="inlineStr">
        <is>
          <t>Industrials, Heavy (Process) Manufacturing</t>
        </is>
      </c>
      <c r="C114" t="inlineStr">
        <is>
          <t>495</t>
        </is>
      </c>
      <c r="D114" t="inlineStr">
        <is>
          <t>14</t>
        </is>
      </c>
      <c r="E114" t="inlineStr">
        <is>
          <t>15</t>
        </is>
      </c>
      <c r="F114" t="inlineStr">
        <is>
          <t>D</t>
        </is>
      </c>
      <c r="G114" t="inlineStr">
        <is>
          <t>Average</t>
        </is>
      </c>
      <c r="H114" s="2390" t="n">
        <v>144</v>
      </c>
      <c r="I114">
        <f>B114&amp;"~"&amp;F114&amp;"~"&amp;G114</f>
        <v/>
      </c>
      <c r="J114" t="inlineStr">
        <is>
          <t>14</t>
        </is>
      </c>
      <c r="K114" t="inlineStr">
        <is>
          <t>14</t>
        </is>
      </c>
      <c r="L114" t="inlineStr">
        <is>
          <t>14</t>
        </is>
      </c>
      <c r="M114" t="inlineStr">
        <is>
          <t>MVS Sec.14 p.15</t>
        </is>
      </c>
    </row>
    <row r="115">
      <c r="B115" t="inlineStr">
        <is>
          <t>Industrials, Heavy (Process) Manufacturing</t>
        </is>
      </c>
      <c r="C115" t="inlineStr">
        <is>
          <t>495</t>
        </is>
      </c>
      <c r="D115" t="inlineStr">
        <is>
          <t>14</t>
        </is>
      </c>
      <c r="E115" t="inlineStr">
        <is>
          <t>15</t>
        </is>
      </c>
      <c r="F115" t="inlineStr">
        <is>
          <t>D</t>
        </is>
      </c>
      <c r="G115" t="inlineStr">
        <is>
          <t>Low Cost</t>
        </is>
      </c>
      <c r="H115" s="2390" t="n">
        <v>111</v>
      </c>
      <c r="I115">
        <f>B115&amp;"~"&amp;F115&amp;"~"&amp;G115</f>
        <v/>
      </c>
      <c r="J115" t="inlineStr">
        <is>
          <t>14</t>
        </is>
      </c>
      <c r="K115" t="inlineStr">
        <is>
          <t>14</t>
        </is>
      </c>
      <c r="L115" t="inlineStr">
        <is>
          <t>14</t>
        </is>
      </c>
      <c r="M115" t="inlineStr">
        <is>
          <t>MVS Sec.14 p.15</t>
        </is>
      </c>
    </row>
    <row r="116">
      <c r="B116" t="inlineStr">
        <is>
          <t>Industrials, Heavy (Process) Manufacturing</t>
        </is>
      </c>
      <c r="C116" t="inlineStr">
        <is>
          <t>495</t>
        </is>
      </c>
      <c r="D116" t="inlineStr">
        <is>
          <t>14</t>
        </is>
      </c>
      <c r="E116" t="inlineStr">
        <is>
          <t>15</t>
        </is>
      </c>
      <c r="F116" t="inlineStr">
        <is>
          <t>S</t>
        </is>
      </c>
      <c r="G116" t="inlineStr">
        <is>
          <t>Good</t>
        </is>
      </c>
      <c r="H116" s="2390" t="n">
        <v>209</v>
      </c>
      <c r="I116">
        <f>B116&amp;"~"&amp;F116&amp;"~"&amp;G116</f>
        <v/>
      </c>
      <c r="J116" t="inlineStr">
        <is>
          <t>14</t>
        </is>
      </c>
      <c r="K116" t="inlineStr">
        <is>
          <t>14</t>
        </is>
      </c>
      <c r="L116" t="inlineStr">
        <is>
          <t>14</t>
        </is>
      </c>
      <c r="M116" t="inlineStr">
        <is>
          <t>MVS Sec.14 p.15</t>
        </is>
      </c>
    </row>
    <row r="117">
      <c r="B117" t="inlineStr">
        <is>
          <t>Industrials, Heavy (Process) Manufacturing</t>
        </is>
      </c>
      <c r="C117" t="inlineStr">
        <is>
          <t>495</t>
        </is>
      </c>
      <c r="D117" t="inlineStr">
        <is>
          <t>14</t>
        </is>
      </c>
      <c r="E117" t="inlineStr">
        <is>
          <t>15</t>
        </is>
      </c>
      <c r="F117" t="inlineStr">
        <is>
          <t>S</t>
        </is>
      </c>
      <c r="G117" t="inlineStr">
        <is>
          <t>Average</t>
        </is>
      </c>
      <c r="H117" s="2390" t="n">
        <v>149</v>
      </c>
      <c r="I117">
        <f>B117&amp;"~"&amp;F117&amp;"~"&amp;G117</f>
        <v/>
      </c>
      <c r="J117" t="inlineStr">
        <is>
          <t>14</t>
        </is>
      </c>
      <c r="K117" t="inlineStr">
        <is>
          <t>14</t>
        </is>
      </c>
      <c r="L117" t="inlineStr">
        <is>
          <t>14</t>
        </is>
      </c>
      <c r="M117" t="inlineStr">
        <is>
          <t>MVS Sec.14 p.15</t>
        </is>
      </c>
    </row>
    <row r="118">
      <c r="B118" t="inlineStr">
        <is>
          <t>Industrials, Heavy (Process) Manufacturing</t>
        </is>
      </c>
      <c r="C118" t="inlineStr">
        <is>
          <t>495</t>
        </is>
      </c>
      <c r="D118" t="inlineStr">
        <is>
          <t>14</t>
        </is>
      </c>
      <c r="E118" t="inlineStr">
        <is>
          <t>15</t>
        </is>
      </c>
      <c r="F118" t="inlineStr">
        <is>
          <t>S</t>
        </is>
      </c>
      <c r="G118" t="inlineStr">
        <is>
          <t>Low Cost</t>
        </is>
      </c>
      <c r="H118" s="2390" t="n">
        <v>113</v>
      </c>
      <c r="I118">
        <f>B118&amp;"~"&amp;F118&amp;"~"&amp;G118</f>
        <v/>
      </c>
      <c r="J118" t="inlineStr">
        <is>
          <t>14</t>
        </is>
      </c>
      <c r="K118" t="inlineStr">
        <is>
          <t>14</t>
        </is>
      </c>
      <c r="L118" t="inlineStr">
        <is>
          <t>14</t>
        </is>
      </c>
      <c r="M118" t="inlineStr">
        <is>
          <t>MVS Sec.14 p.15</t>
        </is>
      </c>
    </row>
    <row r="119">
      <c r="B119" t="inlineStr">
        <is>
          <t>Service Garages (Commercial/Repair)</t>
        </is>
      </c>
      <c r="C119" t="inlineStr">
        <is>
          <t>528</t>
        </is>
      </c>
      <c r="D119" t="inlineStr">
        <is>
          <t>14</t>
        </is>
      </c>
      <c r="E119" t="inlineStr">
        <is>
          <t>32</t>
        </is>
      </c>
      <c r="F119" t="inlineStr">
        <is>
          <t>A-B</t>
        </is>
      </c>
      <c r="G119" t="inlineStr">
        <is>
          <t>Average</t>
        </is>
      </c>
      <c r="H119" s="2390" t="n">
        <v>122</v>
      </c>
      <c r="I119">
        <f>B119&amp;"~"&amp;F119&amp;"~"&amp;G119</f>
        <v/>
      </c>
      <c r="J119" t="inlineStr">
        <is>
          <t>14</t>
        </is>
      </c>
      <c r="K119" t="inlineStr">
        <is>
          <t>14</t>
        </is>
      </c>
      <c r="L119" t="inlineStr">
        <is>
          <t>14</t>
        </is>
      </c>
      <c r="M119" t="inlineStr">
        <is>
          <t>MVS Sec.14 p.32</t>
        </is>
      </c>
    </row>
    <row r="120">
      <c r="B120" t="inlineStr">
        <is>
          <t>Service Garages (Commercial/Repair)</t>
        </is>
      </c>
      <c r="C120" t="inlineStr">
        <is>
          <t>528</t>
        </is>
      </c>
      <c r="D120" t="inlineStr">
        <is>
          <t>14</t>
        </is>
      </c>
      <c r="E120" t="inlineStr">
        <is>
          <t>32</t>
        </is>
      </c>
      <c r="F120" t="inlineStr">
        <is>
          <t>C</t>
        </is>
      </c>
      <c r="G120" t="inlineStr">
        <is>
          <t>Excellent</t>
        </is>
      </c>
      <c r="H120" s="2390" t="n">
        <v>156</v>
      </c>
      <c r="I120">
        <f>B120&amp;"~"&amp;F120&amp;"~"&amp;G120</f>
        <v/>
      </c>
      <c r="J120" t="inlineStr">
        <is>
          <t>14</t>
        </is>
      </c>
      <c r="K120" t="inlineStr">
        <is>
          <t>14</t>
        </is>
      </c>
      <c r="L120" t="inlineStr">
        <is>
          <t>14</t>
        </is>
      </c>
      <c r="M120" t="inlineStr">
        <is>
          <t>MVS Sec.14 p.32</t>
        </is>
      </c>
    </row>
    <row r="121">
      <c r="B121" t="inlineStr">
        <is>
          <t>Service Garages (Commercial/Repair)</t>
        </is>
      </c>
      <c r="C121" t="inlineStr">
        <is>
          <t>528</t>
        </is>
      </c>
      <c r="D121" t="inlineStr">
        <is>
          <t>14</t>
        </is>
      </c>
      <c r="E121" t="inlineStr">
        <is>
          <t>32</t>
        </is>
      </c>
      <c r="F121" t="inlineStr">
        <is>
          <t>C</t>
        </is>
      </c>
      <c r="G121" t="inlineStr">
        <is>
          <t>Good</t>
        </is>
      </c>
      <c r="H121" s="2390" t="n">
        <v>109</v>
      </c>
      <c r="I121">
        <f>B121&amp;"~"&amp;F121&amp;"~"&amp;G121</f>
        <v/>
      </c>
      <c r="J121" t="inlineStr">
        <is>
          <t>14</t>
        </is>
      </c>
      <c r="K121" t="inlineStr">
        <is>
          <t>14</t>
        </is>
      </c>
      <c r="L121" t="inlineStr">
        <is>
          <t>14</t>
        </is>
      </c>
      <c r="M121" t="inlineStr">
        <is>
          <t>MVS Sec.14 p.32</t>
        </is>
      </c>
    </row>
    <row r="122">
      <c r="B122" t="inlineStr">
        <is>
          <t>Service Garages (Commercial/Repair)</t>
        </is>
      </c>
      <c r="C122" t="inlineStr">
        <is>
          <t>528</t>
        </is>
      </c>
      <c r="D122" t="inlineStr">
        <is>
          <t>14</t>
        </is>
      </c>
      <c r="E122" t="inlineStr">
        <is>
          <t>32</t>
        </is>
      </c>
      <c r="F122" t="inlineStr">
        <is>
          <t>C</t>
        </is>
      </c>
      <c r="G122" t="inlineStr">
        <is>
          <t>Average</t>
        </is>
      </c>
      <c r="H122" s="2390" t="n">
        <v>79.5</v>
      </c>
      <c r="I122">
        <f>B122&amp;"~"&amp;F122&amp;"~"&amp;G122</f>
        <v/>
      </c>
      <c r="J122" t="inlineStr">
        <is>
          <t>14</t>
        </is>
      </c>
      <c r="K122" t="inlineStr">
        <is>
          <t>14</t>
        </is>
      </c>
      <c r="L122" t="inlineStr">
        <is>
          <t>14</t>
        </is>
      </c>
      <c r="M122" t="inlineStr">
        <is>
          <t>MVS Sec.14 p.32</t>
        </is>
      </c>
    </row>
    <row r="123">
      <c r="B123" t="inlineStr">
        <is>
          <t>Service Garages (Commercial/Repair)</t>
        </is>
      </c>
      <c r="C123" t="inlineStr">
        <is>
          <t>528</t>
        </is>
      </c>
      <c r="D123" t="inlineStr">
        <is>
          <t>14</t>
        </is>
      </c>
      <c r="E123" t="inlineStr">
        <is>
          <t>32</t>
        </is>
      </c>
      <c r="F123" t="inlineStr">
        <is>
          <t>C</t>
        </is>
      </c>
      <c r="G123" t="inlineStr">
        <is>
          <t>Low Cost</t>
        </is>
      </c>
      <c r="H123" s="2390" t="n">
        <v>57.5</v>
      </c>
      <c r="I123">
        <f>B123&amp;"~"&amp;F123&amp;"~"&amp;G123</f>
        <v/>
      </c>
      <c r="J123" t="inlineStr">
        <is>
          <t>14</t>
        </is>
      </c>
      <c r="K123" t="inlineStr">
        <is>
          <t>14</t>
        </is>
      </c>
      <c r="L123" t="inlineStr">
        <is>
          <t>14</t>
        </is>
      </c>
      <c r="M123" t="inlineStr">
        <is>
          <t>MVS Sec.14 p.32</t>
        </is>
      </c>
    </row>
    <row r="124">
      <c r="B124" t="inlineStr">
        <is>
          <t>Service Garages (Commercial/Repair)</t>
        </is>
      </c>
      <c r="C124" t="inlineStr">
        <is>
          <t>528</t>
        </is>
      </c>
      <c r="D124" t="inlineStr">
        <is>
          <t>14</t>
        </is>
      </c>
      <c r="E124" t="inlineStr">
        <is>
          <t>32</t>
        </is>
      </c>
      <c r="F124" t="inlineStr">
        <is>
          <t>D</t>
        </is>
      </c>
      <c r="G124" t="inlineStr">
        <is>
          <t>Good</t>
        </is>
      </c>
      <c r="H124" s="2390" t="n">
        <v>96</v>
      </c>
      <c r="I124">
        <f>B124&amp;"~"&amp;F124&amp;"~"&amp;G124</f>
        <v/>
      </c>
      <c r="J124" t="inlineStr">
        <is>
          <t>14</t>
        </is>
      </c>
      <c r="K124" t="inlineStr">
        <is>
          <t>14</t>
        </is>
      </c>
      <c r="L124" t="inlineStr">
        <is>
          <t>14</t>
        </is>
      </c>
      <c r="M124" t="inlineStr">
        <is>
          <t>MVS Sec.14 p.32</t>
        </is>
      </c>
    </row>
    <row r="125">
      <c r="B125" t="inlineStr">
        <is>
          <t>Service Garages (Commercial/Repair)</t>
        </is>
      </c>
      <c r="C125" t="inlineStr">
        <is>
          <t>528</t>
        </is>
      </c>
      <c r="D125" t="inlineStr">
        <is>
          <t>14</t>
        </is>
      </c>
      <c r="E125" t="inlineStr">
        <is>
          <t>32</t>
        </is>
      </c>
      <c r="F125" t="inlineStr">
        <is>
          <t>D</t>
        </is>
      </c>
      <c r="G125" t="inlineStr">
        <is>
          <t>Average</t>
        </is>
      </c>
      <c r="H125" s="2390" t="n">
        <v>70.5</v>
      </c>
      <c r="I125">
        <f>B125&amp;"~"&amp;F125&amp;"~"&amp;G125</f>
        <v/>
      </c>
      <c r="J125" t="inlineStr">
        <is>
          <t>14</t>
        </is>
      </c>
      <c r="K125" t="inlineStr">
        <is>
          <t>14</t>
        </is>
      </c>
      <c r="L125" t="inlineStr">
        <is>
          <t>14</t>
        </is>
      </c>
      <c r="M125" t="inlineStr">
        <is>
          <t>MVS Sec.14 p.32</t>
        </is>
      </c>
    </row>
    <row r="126">
      <c r="B126" t="inlineStr">
        <is>
          <t>Service Garages (Commercial/Repair)</t>
        </is>
      </c>
      <c r="C126" t="inlineStr">
        <is>
          <t>528</t>
        </is>
      </c>
      <c r="D126" t="inlineStr">
        <is>
          <t>14</t>
        </is>
      </c>
      <c r="E126" t="inlineStr">
        <is>
          <t>32</t>
        </is>
      </c>
      <c r="F126" t="inlineStr">
        <is>
          <t>D</t>
        </is>
      </c>
      <c r="G126" t="inlineStr">
        <is>
          <t>Low Cost</t>
        </is>
      </c>
      <c r="H126" s="2390" t="n">
        <v>52</v>
      </c>
      <c r="I126">
        <f>B126&amp;"~"&amp;F126&amp;"~"&amp;G126</f>
        <v/>
      </c>
      <c r="J126" t="inlineStr">
        <is>
          <t>14</t>
        </is>
      </c>
      <c r="K126" t="inlineStr">
        <is>
          <t>14</t>
        </is>
      </c>
      <c r="L126" t="inlineStr">
        <is>
          <t>14</t>
        </is>
      </c>
      <c r="M126" t="inlineStr">
        <is>
          <t>MVS Sec.14 p.32</t>
        </is>
      </c>
    </row>
    <row r="127">
      <c r="B127" t="inlineStr">
        <is>
          <t>Service Garages (Commercial/Repair)</t>
        </is>
      </c>
      <c r="C127" t="inlineStr">
        <is>
          <t>528</t>
        </is>
      </c>
      <c r="D127" t="inlineStr">
        <is>
          <t>14</t>
        </is>
      </c>
      <c r="E127" t="inlineStr">
        <is>
          <t>32</t>
        </is>
      </c>
      <c r="F127" t="inlineStr">
        <is>
          <t>DPOLE</t>
        </is>
      </c>
      <c r="G127" t="inlineStr">
        <is>
          <t>Average</t>
        </is>
      </c>
      <c r="H127" s="2390" t="n">
        <v>62</v>
      </c>
      <c r="I127">
        <f>B127&amp;"~"&amp;F127&amp;"~"&amp;G127</f>
        <v/>
      </c>
      <c r="J127" t="inlineStr">
        <is>
          <t>14</t>
        </is>
      </c>
      <c r="K127" t="inlineStr">
        <is>
          <t>14</t>
        </is>
      </c>
      <c r="L127" t="inlineStr">
        <is>
          <t>14</t>
        </is>
      </c>
      <c r="M127" t="inlineStr">
        <is>
          <t>MVS Sec.14 p.32</t>
        </is>
      </c>
    </row>
    <row r="128">
      <c r="B128" t="inlineStr">
        <is>
          <t>Service Garages (Commercial/Repair)</t>
        </is>
      </c>
      <c r="C128" t="inlineStr">
        <is>
          <t>528</t>
        </is>
      </c>
      <c r="D128" t="inlineStr">
        <is>
          <t>14</t>
        </is>
      </c>
      <c r="E128" t="inlineStr">
        <is>
          <t>32</t>
        </is>
      </c>
      <c r="F128" t="inlineStr">
        <is>
          <t>DPOLE</t>
        </is>
      </c>
      <c r="G128" t="inlineStr">
        <is>
          <t>Low Cost</t>
        </is>
      </c>
      <c r="H128" s="2390" t="n">
        <v>45.5</v>
      </c>
      <c r="I128">
        <f>B128&amp;"~"&amp;F128&amp;"~"&amp;G128</f>
        <v/>
      </c>
      <c r="J128" t="inlineStr">
        <is>
          <t>14</t>
        </is>
      </c>
      <c r="K128" t="inlineStr">
        <is>
          <t>14</t>
        </is>
      </c>
      <c r="L128" t="inlineStr">
        <is>
          <t>14</t>
        </is>
      </c>
      <c r="M128" t="inlineStr">
        <is>
          <t>MVS Sec.14 p.32</t>
        </is>
      </c>
    </row>
    <row r="129">
      <c r="B129" t="inlineStr">
        <is>
          <t>Service Garages (Commercial/Repair)</t>
        </is>
      </c>
      <c r="C129" t="inlineStr">
        <is>
          <t>528</t>
        </is>
      </c>
      <c r="D129" t="inlineStr">
        <is>
          <t>14</t>
        </is>
      </c>
      <c r="E129" t="inlineStr">
        <is>
          <t>32</t>
        </is>
      </c>
      <c r="F129" t="inlineStr">
        <is>
          <t>S</t>
        </is>
      </c>
      <c r="G129" t="inlineStr">
        <is>
          <t>Good</t>
        </is>
      </c>
      <c r="H129" s="2390" t="n">
        <v>94.5</v>
      </c>
      <c r="I129">
        <f>B129&amp;"~"&amp;F129&amp;"~"&amp;G129</f>
        <v/>
      </c>
      <c r="J129" t="inlineStr">
        <is>
          <t>14</t>
        </is>
      </c>
      <c r="K129" t="inlineStr">
        <is>
          <t>14</t>
        </is>
      </c>
      <c r="L129" t="inlineStr">
        <is>
          <t>14</t>
        </is>
      </c>
      <c r="M129" t="inlineStr">
        <is>
          <t>MVS Sec.14 p.32</t>
        </is>
      </c>
    </row>
    <row r="130">
      <c r="B130" t="inlineStr">
        <is>
          <t>Service Garages (Commercial/Repair)</t>
        </is>
      </c>
      <c r="C130" t="inlineStr">
        <is>
          <t>528</t>
        </is>
      </c>
      <c r="D130" t="inlineStr">
        <is>
          <t>14</t>
        </is>
      </c>
      <c r="E130" t="inlineStr">
        <is>
          <t>32</t>
        </is>
      </c>
      <c r="F130" t="inlineStr">
        <is>
          <t>S</t>
        </is>
      </c>
      <c r="G130" t="inlineStr">
        <is>
          <t>Average</t>
        </is>
      </c>
      <c r="H130" s="2390" t="n">
        <v>68</v>
      </c>
      <c r="I130">
        <f>B130&amp;"~"&amp;F130&amp;"~"&amp;G130</f>
        <v/>
      </c>
      <c r="J130" t="inlineStr">
        <is>
          <t>14</t>
        </is>
      </c>
      <c r="K130" t="inlineStr">
        <is>
          <t>14</t>
        </is>
      </c>
      <c r="L130" t="inlineStr">
        <is>
          <t>14</t>
        </is>
      </c>
      <c r="M130" t="inlineStr">
        <is>
          <t>MVS Sec.14 p.32</t>
        </is>
      </c>
    </row>
    <row r="131">
      <c r="B131" t="inlineStr">
        <is>
          <t>Service Garages (Commercial/Repair)</t>
        </is>
      </c>
      <c r="C131" t="inlineStr">
        <is>
          <t>528</t>
        </is>
      </c>
      <c r="D131" t="inlineStr">
        <is>
          <t>14</t>
        </is>
      </c>
      <c r="E131" t="inlineStr">
        <is>
          <t>32</t>
        </is>
      </c>
      <c r="F131" t="inlineStr">
        <is>
          <t>S</t>
        </is>
      </c>
      <c r="G131" t="inlineStr">
        <is>
          <t>Low Cost</t>
        </is>
      </c>
      <c r="H131" s="2390" t="n">
        <v>49.5</v>
      </c>
      <c r="I131">
        <f>B131&amp;"~"&amp;F131&amp;"~"&amp;G131</f>
        <v/>
      </c>
      <c r="J131" t="inlineStr">
        <is>
          <t>14</t>
        </is>
      </c>
      <c r="K131" t="inlineStr">
        <is>
          <t>14</t>
        </is>
      </c>
      <c r="L131" t="inlineStr">
        <is>
          <t>14</t>
        </is>
      </c>
      <c r="M131" t="inlineStr">
        <is>
          <t>MVS Sec.14 p.32</t>
        </is>
      </c>
    </row>
    <row r="132">
      <c r="B132" t="inlineStr">
        <is>
          <t>Retail Stores</t>
        </is>
      </c>
      <c r="C132" t="inlineStr">
        <is>
          <t>353</t>
        </is>
      </c>
      <c r="D132" t="inlineStr">
        <is>
          <t>13</t>
        </is>
      </c>
      <c r="E132" t="inlineStr">
        <is>
          <t>26</t>
        </is>
      </c>
      <c r="F132" t="inlineStr">
        <is>
          <t>A</t>
        </is>
      </c>
      <c r="G132" t="inlineStr">
        <is>
          <t>Excellent</t>
        </is>
      </c>
      <c r="H132" s="2390" t="n">
        <v>273</v>
      </c>
      <c r="I132">
        <f>B132&amp;"~"&amp;F132&amp;"~"&amp;G132</f>
        <v/>
      </c>
      <c r="J132" t="inlineStr">
        <is>
          <t>13</t>
        </is>
      </c>
      <c r="K132" t="inlineStr">
        <is>
          <t>13</t>
        </is>
      </c>
      <c r="L132" t="inlineStr">
        <is>
          <t>13</t>
        </is>
      </c>
      <c r="M132" t="inlineStr">
        <is>
          <t>MVS Sec.13 p.26</t>
        </is>
      </c>
    </row>
    <row r="133">
      <c r="B133" t="inlineStr">
        <is>
          <t>Retail Stores</t>
        </is>
      </c>
      <c r="C133" t="inlineStr">
        <is>
          <t>353</t>
        </is>
      </c>
      <c r="D133" t="inlineStr">
        <is>
          <t>13</t>
        </is>
      </c>
      <c r="E133" t="inlineStr">
        <is>
          <t>26</t>
        </is>
      </c>
      <c r="F133" t="inlineStr">
        <is>
          <t>A</t>
        </is>
      </c>
      <c r="G133" t="inlineStr">
        <is>
          <t>Good</t>
        </is>
      </c>
      <c r="H133" s="2390" t="n">
        <v>205</v>
      </c>
      <c r="I133">
        <f>B133&amp;"~"&amp;F133&amp;"~"&amp;G133</f>
        <v/>
      </c>
      <c r="J133" t="inlineStr">
        <is>
          <t>13</t>
        </is>
      </c>
      <c r="K133" t="inlineStr">
        <is>
          <t>13</t>
        </is>
      </c>
      <c r="L133" t="inlineStr">
        <is>
          <t>13</t>
        </is>
      </c>
      <c r="M133" t="inlineStr">
        <is>
          <t>MVS Sec.13 p.26</t>
        </is>
      </c>
    </row>
    <row r="134">
      <c r="B134" t="inlineStr">
        <is>
          <t>Retail Stores</t>
        </is>
      </c>
      <c r="C134" t="inlineStr">
        <is>
          <t>353</t>
        </is>
      </c>
      <c r="D134" t="inlineStr">
        <is>
          <t>13</t>
        </is>
      </c>
      <c r="E134" t="inlineStr">
        <is>
          <t>26</t>
        </is>
      </c>
      <c r="F134" t="inlineStr">
        <is>
          <t>A</t>
        </is>
      </c>
      <c r="G134" t="inlineStr">
        <is>
          <t>Average</t>
        </is>
      </c>
      <c r="H134" s="2390" t="n">
        <v>161</v>
      </c>
      <c r="I134">
        <f>B134&amp;"~"&amp;F134&amp;"~"&amp;G134</f>
        <v/>
      </c>
      <c r="J134" t="inlineStr">
        <is>
          <t>13</t>
        </is>
      </c>
      <c r="K134" t="inlineStr">
        <is>
          <t>13</t>
        </is>
      </c>
      <c r="L134" t="inlineStr">
        <is>
          <t>13</t>
        </is>
      </c>
      <c r="M134" t="inlineStr">
        <is>
          <t>MVS Sec.13 p.26</t>
        </is>
      </c>
    </row>
    <row r="135">
      <c r="B135" t="inlineStr">
        <is>
          <t>Retail Stores</t>
        </is>
      </c>
      <c r="C135" t="inlineStr">
        <is>
          <t>353</t>
        </is>
      </c>
      <c r="D135" t="inlineStr">
        <is>
          <t>13</t>
        </is>
      </c>
      <c r="E135" t="inlineStr">
        <is>
          <t>26</t>
        </is>
      </c>
      <c r="F135" t="inlineStr">
        <is>
          <t>A</t>
        </is>
      </c>
      <c r="G135" t="inlineStr">
        <is>
          <t>Low Cost</t>
        </is>
      </c>
      <c r="H135" s="2390" t="n">
        <v>123</v>
      </c>
      <c r="I135">
        <f>B135&amp;"~"&amp;F135&amp;"~"&amp;G135</f>
        <v/>
      </c>
      <c r="J135" t="inlineStr">
        <is>
          <t>13</t>
        </is>
      </c>
      <c r="K135" t="inlineStr">
        <is>
          <t>13</t>
        </is>
      </c>
      <c r="L135" t="inlineStr">
        <is>
          <t>13</t>
        </is>
      </c>
      <c r="M135" t="inlineStr">
        <is>
          <t>MVS Sec.13 p.26</t>
        </is>
      </c>
    </row>
    <row r="136">
      <c r="B136" t="inlineStr">
        <is>
          <t>Retail Stores</t>
        </is>
      </c>
      <c r="C136" t="inlineStr">
        <is>
          <t>353</t>
        </is>
      </c>
      <c r="D136" t="inlineStr">
        <is>
          <t>13</t>
        </is>
      </c>
      <c r="E136" t="inlineStr">
        <is>
          <t>26</t>
        </is>
      </c>
      <c r="F136" t="inlineStr">
        <is>
          <t>B</t>
        </is>
      </c>
      <c r="G136" t="inlineStr">
        <is>
          <t>Excellent</t>
        </is>
      </c>
      <c r="H136" s="2390" t="n">
        <v>248</v>
      </c>
      <c r="I136">
        <f>B136&amp;"~"&amp;F136&amp;"~"&amp;G136</f>
        <v/>
      </c>
      <c r="J136" t="inlineStr">
        <is>
          <t>13</t>
        </is>
      </c>
      <c r="K136" t="inlineStr">
        <is>
          <t>13</t>
        </is>
      </c>
      <c r="L136" t="inlineStr">
        <is>
          <t>13</t>
        </is>
      </c>
      <c r="M136" t="inlineStr">
        <is>
          <t>MVS Sec.13 p.26</t>
        </is>
      </c>
    </row>
    <row r="137">
      <c r="B137" t="inlineStr">
        <is>
          <t>Retail Stores</t>
        </is>
      </c>
      <c r="C137" t="inlineStr">
        <is>
          <t>353</t>
        </is>
      </c>
      <c r="D137" t="inlineStr">
        <is>
          <t>13</t>
        </is>
      </c>
      <c r="E137" t="inlineStr">
        <is>
          <t>26</t>
        </is>
      </c>
      <c r="F137" t="inlineStr">
        <is>
          <t>B</t>
        </is>
      </c>
      <c r="G137" t="inlineStr">
        <is>
          <t>Good</t>
        </is>
      </c>
      <c r="H137" s="2390" t="n">
        <v>185</v>
      </c>
      <c r="I137">
        <f>B137&amp;"~"&amp;F137&amp;"~"&amp;G137</f>
        <v/>
      </c>
      <c r="J137" t="inlineStr">
        <is>
          <t>13</t>
        </is>
      </c>
      <c r="K137" t="inlineStr">
        <is>
          <t>13</t>
        </is>
      </c>
      <c r="L137" t="inlineStr">
        <is>
          <t>13</t>
        </is>
      </c>
      <c r="M137" t="inlineStr">
        <is>
          <t>MVS Sec.13 p.26</t>
        </is>
      </c>
    </row>
    <row r="138">
      <c r="B138" t="inlineStr">
        <is>
          <t>Retail Stores</t>
        </is>
      </c>
      <c r="C138" t="inlineStr">
        <is>
          <t>353</t>
        </is>
      </c>
      <c r="D138" t="inlineStr">
        <is>
          <t>13</t>
        </is>
      </c>
      <c r="E138" t="inlineStr">
        <is>
          <t>26</t>
        </is>
      </c>
      <c r="F138" t="inlineStr">
        <is>
          <t>B</t>
        </is>
      </c>
      <c r="G138" t="inlineStr">
        <is>
          <t>Average</t>
        </is>
      </c>
      <c r="H138" s="2390" t="n">
        <v>145</v>
      </c>
      <c r="I138">
        <f>B138&amp;"~"&amp;F138&amp;"~"&amp;G138</f>
        <v/>
      </c>
      <c r="J138" t="inlineStr">
        <is>
          <t>13</t>
        </is>
      </c>
      <c r="K138" t="inlineStr">
        <is>
          <t>13</t>
        </is>
      </c>
      <c r="L138" t="inlineStr">
        <is>
          <t>13</t>
        </is>
      </c>
      <c r="M138" t="inlineStr">
        <is>
          <t>MVS Sec.13 p.26</t>
        </is>
      </c>
    </row>
    <row r="139">
      <c r="B139" t="inlineStr">
        <is>
          <t>Retail Stores</t>
        </is>
      </c>
      <c r="C139" t="inlineStr">
        <is>
          <t>353</t>
        </is>
      </c>
      <c r="D139" t="inlineStr">
        <is>
          <t>13</t>
        </is>
      </c>
      <c r="E139" t="inlineStr">
        <is>
          <t>26</t>
        </is>
      </c>
      <c r="F139" t="inlineStr">
        <is>
          <t>B</t>
        </is>
      </c>
      <c r="G139" t="inlineStr">
        <is>
          <t>Low Cost</t>
        </is>
      </c>
      <c r="H139" s="2390" t="n">
        <v>110</v>
      </c>
      <c r="I139">
        <f>B139&amp;"~"&amp;F139&amp;"~"&amp;G139</f>
        <v/>
      </c>
      <c r="J139" t="inlineStr">
        <is>
          <t>13</t>
        </is>
      </c>
      <c r="K139" t="inlineStr">
        <is>
          <t>13</t>
        </is>
      </c>
      <c r="L139" t="inlineStr">
        <is>
          <t>13</t>
        </is>
      </c>
      <c r="M139" t="inlineStr">
        <is>
          <t>MVS Sec.13 p.26</t>
        </is>
      </c>
    </row>
    <row r="140">
      <c r="B140" t="inlineStr">
        <is>
          <t>Retail Stores</t>
        </is>
      </c>
      <c r="C140" t="inlineStr">
        <is>
          <t>353</t>
        </is>
      </c>
      <c r="D140" t="inlineStr">
        <is>
          <t>13</t>
        </is>
      </c>
      <c r="E140" t="inlineStr">
        <is>
          <t>26</t>
        </is>
      </c>
      <c r="F140" t="inlineStr">
        <is>
          <t>C</t>
        </is>
      </c>
      <c r="G140" t="inlineStr">
        <is>
          <t>Excellent</t>
        </is>
      </c>
      <c r="H140" s="2390" t="n">
        <v>208</v>
      </c>
      <c r="I140">
        <f>B140&amp;"~"&amp;F140&amp;"~"&amp;G140</f>
        <v/>
      </c>
      <c r="J140" t="inlineStr">
        <is>
          <t>13</t>
        </is>
      </c>
      <c r="K140" t="inlineStr">
        <is>
          <t>13</t>
        </is>
      </c>
      <c r="L140" t="inlineStr">
        <is>
          <t>13</t>
        </is>
      </c>
      <c r="M140" t="inlineStr">
        <is>
          <t>MVS Sec.13 p.26</t>
        </is>
      </c>
    </row>
    <row r="141">
      <c r="B141" t="inlineStr">
        <is>
          <t>Retail Stores</t>
        </is>
      </c>
      <c r="C141" t="inlineStr">
        <is>
          <t>353</t>
        </is>
      </c>
      <c r="D141" t="inlineStr">
        <is>
          <t>13</t>
        </is>
      </c>
      <c r="E141" t="inlineStr">
        <is>
          <t>26</t>
        </is>
      </c>
      <c r="F141" t="inlineStr">
        <is>
          <t>C</t>
        </is>
      </c>
      <c r="G141" t="inlineStr">
        <is>
          <t>Good</t>
        </is>
      </c>
      <c r="H141" s="2390" t="n">
        <v>154</v>
      </c>
      <c r="I141">
        <f>B141&amp;"~"&amp;F141&amp;"~"&amp;G141</f>
        <v/>
      </c>
      <c r="J141" t="inlineStr">
        <is>
          <t>13</t>
        </is>
      </c>
      <c r="K141" t="inlineStr">
        <is>
          <t>13</t>
        </is>
      </c>
      <c r="L141" t="inlineStr">
        <is>
          <t>13</t>
        </is>
      </c>
      <c r="M141" t="inlineStr">
        <is>
          <t>MVS Sec.13 p.26</t>
        </is>
      </c>
    </row>
    <row r="142">
      <c r="B142" t="inlineStr">
        <is>
          <t>Retail Stores</t>
        </is>
      </c>
      <c r="C142" t="inlineStr">
        <is>
          <t>353</t>
        </is>
      </c>
      <c r="D142" t="inlineStr">
        <is>
          <t>13</t>
        </is>
      </c>
      <c r="E142" t="inlineStr">
        <is>
          <t>26</t>
        </is>
      </c>
      <c r="F142" t="inlineStr">
        <is>
          <t>C</t>
        </is>
      </c>
      <c r="G142" t="inlineStr">
        <is>
          <t>Average</t>
        </is>
      </c>
      <c r="H142" s="2390" t="n">
        <v>117</v>
      </c>
      <c r="I142">
        <f>B142&amp;"~"&amp;F142&amp;"~"&amp;G142</f>
        <v/>
      </c>
      <c r="J142" t="inlineStr">
        <is>
          <t>13</t>
        </is>
      </c>
      <c r="K142" t="inlineStr">
        <is>
          <t>13</t>
        </is>
      </c>
      <c r="L142" t="inlineStr">
        <is>
          <t>13</t>
        </is>
      </c>
      <c r="M142" t="inlineStr">
        <is>
          <t>MVS Sec.13 p.26</t>
        </is>
      </c>
    </row>
    <row r="143">
      <c r="B143" t="inlineStr">
        <is>
          <t>Retail Stores</t>
        </is>
      </c>
      <c r="C143" t="inlineStr">
        <is>
          <t>353</t>
        </is>
      </c>
      <c r="D143" t="inlineStr">
        <is>
          <t>13</t>
        </is>
      </c>
      <c r="E143" t="inlineStr">
        <is>
          <t>26</t>
        </is>
      </c>
      <c r="F143" t="inlineStr">
        <is>
          <t>C</t>
        </is>
      </c>
      <c r="G143" t="inlineStr">
        <is>
          <t>Low Cost</t>
        </is>
      </c>
      <c r="H143" s="2390" t="n">
        <v>84</v>
      </c>
      <c r="I143">
        <f>B143&amp;"~"&amp;F143&amp;"~"&amp;G143</f>
        <v/>
      </c>
      <c r="J143" t="inlineStr">
        <is>
          <t>13</t>
        </is>
      </c>
      <c r="K143" t="inlineStr">
        <is>
          <t>13</t>
        </is>
      </c>
      <c r="L143" t="inlineStr">
        <is>
          <t>13</t>
        </is>
      </c>
      <c r="M143" t="inlineStr">
        <is>
          <t>MVS Sec.13 p.26</t>
        </is>
      </c>
    </row>
    <row r="144">
      <c r="B144" t="inlineStr">
        <is>
          <t>Retail Stores</t>
        </is>
      </c>
      <c r="C144" t="inlineStr">
        <is>
          <t>353</t>
        </is>
      </c>
      <c r="D144" t="inlineStr">
        <is>
          <t>13</t>
        </is>
      </c>
      <c r="E144" t="inlineStr">
        <is>
          <t>26</t>
        </is>
      </c>
      <c r="F144" t="inlineStr">
        <is>
          <t>D</t>
        </is>
      </c>
      <c r="G144" t="inlineStr">
        <is>
          <t>Excellent</t>
        </is>
      </c>
      <c r="H144" s="2390" t="n">
        <v>198</v>
      </c>
      <c r="I144">
        <f>B144&amp;"~"&amp;F144&amp;"~"&amp;G144</f>
        <v/>
      </c>
      <c r="J144" t="inlineStr">
        <is>
          <t>13</t>
        </is>
      </c>
      <c r="K144" t="inlineStr">
        <is>
          <t>13</t>
        </is>
      </c>
      <c r="L144" t="inlineStr">
        <is>
          <t>13</t>
        </is>
      </c>
      <c r="M144" t="inlineStr">
        <is>
          <t>MVS Sec.13 p.26</t>
        </is>
      </c>
    </row>
    <row r="145">
      <c r="B145" t="inlineStr">
        <is>
          <t>Retail Stores</t>
        </is>
      </c>
      <c r="C145" t="inlineStr">
        <is>
          <t>353</t>
        </is>
      </c>
      <c r="D145" t="inlineStr">
        <is>
          <t>13</t>
        </is>
      </c>
      <c r="E145" t="inlineStr">
        <is>
          <t>26</t>
        </is>
      </c>
      <c r="F145" t="inlineStr">
        <is>
          <t>D</t>
        </is>
      </c>
      <c r="G145" t="inlineStr">
        <is>
          <t>Good</t>
        </is>
      </c>
      <c r="H145" s="2390" t="n">
        <v>145</v>
      </c>
      <c r="I145">
        <f>B145&amp;"~"&amp;F145&amp;"~"&amp;G145</f>
        <v/>
      </c>
      <c r="J145" t="inlineStr">
        <is>
          <t>13</t>
        </is>
      </c>
      <c r="K145" t="inlineStr">
        <is>
          <t>13</t>
        </is>
      </c>
      <c r="L145" t="inlineStr">
        <is>
          <t>13</t>
        </is>
      </c>
      <c r="M145" t="inlineStr">
        <is>
          <t>MVS Sec.13 p.26</t>
        </is>
      </c>
    </row>
    <row r="146">
      <c r="B146" t="inlineStr">
        <is>
          <t>Retail Stores</t>
        </is>
      </c>
      <c r="C146" t="inlineStr">
        <is>
          <t>353</t>
        </is>
      </c>
      <c r="D146" t="inlineStr">
        <is>
          <t>13</t>
        </is>
      </c>
      <c r="E146" t="inlineStr">
        <is>
          <t>26</t>
        </is>
      </c>
      <c r="F146" t="inlineStr">
        <is>
          <t>D</t>
        </is>
      </c>
      <c r="G146" t="inlineStr">
        <is>
          <t>Average</t>
        </is>
      </c>
      <c r="H146" s="2390" t="n">
        <v>110</v>
      </c>
      <c r="I146">
        <f>B146&amp;"~"&amp;F146&amp;"~"&amp;G146</f>
        <v/>
      </c>
      <c r="J146" t="inlineStr">
        <is>
          <t>13</t>
        </is>
      </c>
      <c r="K146" t="inlineStr">
        <is>
          <t>13</t>
        </is>
      </c>
      <c r="L146" t="inlineStr">
        <is>
          <t>13</t>
        </is>
      </c>
      <c r="M146" t="inlineStr">
        <is>
          <t>MVS Sec.13 p.26</t>
        </is>
      </c>
    </row>
    <row r="147">
      <c r="B147" t="inlineStr">
        <is>
          <t>Retail Stores</t>
        </is>
      </c>
      <c r="C147" t="inlineStr">
        <is>
          <t>353</t>
        </is>
      </c>
      <c r="D147" t="inlineStr">
        <is>
          <t>13</t>
        </is>
      </c>
      <c r="E147" t="inlineStr">
        <is>
          <t>26</t>
        </is>
      </c>
      <c r="F147" t="inlineStr">
        <is>
          <t>D</t>
        </is>
      </c>
      <c r="G147" t="inlineStr">
        <is>
          <t>Low Cost</t>
        </is>
      </c>
      <c r="H147" s="2390" t="n">
        <v>78.5</v>
      </c>
      <c r="I147">
        <f>B147&amp;"~"&amp;F147&amp;"~"&amp;G147</f>
        <v/>
      </c>
      <c r="J147" t="inlineStr">
        <is>
          <t>13</t>
        </is>
      </c>
      <c r="K147" t="inlineStr">
        <is>
          <t>13</t>
        </is>
      </c>
      <c r="L147" t="inlineStr">
        <is>
          <t>13</t>
        </is>
      </c>
      <c r="M147" t="inlineStr">
        <is>
          <t>MVS Sec.13 p.26</t>
        </is>
      </c>
    </row>
    <row r="148">
      <c r="B148" t="inlineStr">
        <is>
          <t>Retail Stores</t>
        </is>
      </c>
      <c r="C148" t="inlineStr">
        <is>
          <t>353</t>
        </is>
      </c>
      <c r="D148" t="inlineStr">
        <is>
          <t>13</t>
        </is>
      </c>
      <c r="E148" t="inlineStr">
        <is>
          <t>26</t>
        </is>
      </c>
      <c r="F148" t="inlineStr">
        <is>
          <t>DPOLE</t>
        </is>
      </c>
      <c r="G148" t="inlineStr">
        <is>
          <t>Low Cost</t>
        </is>
      </c>
      <c r="H148" s="2390" t="n">
        <v>73</v>
      </c>
      <c r="I148">
        <f>B148&amp;"~"&amp;F148&amp;"~"&amp;G148</f>
        <v/>
      </c>
      <c r="J148" t="inlineStr">
        <is>
          <t>13</t>
        </is>
      </c>
      <c r="K148" t="inlineStr">
        <is>
          <t>13</t>
        </is>
      </c>
      <c r="L148" t="inlineStr">
        <is>
          <t>13</t>
        </is>
      </c>
      <c r="M148" t="inlineStr">
        <is>
          <t>MVS Sec.13 p.26</t>
        </is>
      </c>
    </row>
    <row r="149">
      <c r="B149" t="inlineStr">
        <is>
          <t>Retail Stores</t>
        </is>
      </c>
      <c r="C149" t="inlineStr">
        <is>
          <t>353</t>
        </is>
      </c>
      <c r="D149" t="inlineStr">
        <is>
          <t>13</t>
        </is>
      </c>
      <c r="E149" t="inlineStr">
        <is>
          <t>26</t>
        </is>
      </c>
      <c r="F149" t="inlineStr">
        <is>
          <t>S</t>
        </is>
      </c>
      <c r="G149" t="inlineStr">
        <is>
          <t>Good</t>
        </is>
      </c>
      <c r="H149" s="2390" t="n">
        <v>146</v>
      </c>
      <c r="I149">
        <f>B149&amp;"~"&amp;F149&amp;"~"&amp;G149</f>
        <v/>
      </c>
      <c r="J149" t="inlineStr">
        <is>
          <t>13</t>
        </is>
      </c>
      <c r="K149" t="inlineStr">
        <is>
          <t>13</t>
        </is>
      </c>
      <c r="L149" t="inlineStr">
        <is>
          <t>13</t>
        </is>
      </c>
      <c r="M149" t="inlineStr">
        <is>
          <t>MVS Sec.13 p.26</t>
        </is>
      </c>
    </row>
    <row r="150">
      <c r="B150" t="inlineStr">
        <is>
          <t>Retail Stores</t>
        </is>
      </c>
      <c r="C150" t="inlineStr">
        <is>
          <t>353</t>
        </is>
      </c>
      <c r="D150" t="inlineStr">
        <is>
          <t>13</t>
        </is>
      </c>
      <c r="E150" t="inlineStr">
        <is>
          <t>26</t>
        </is>
      </c>
      <c r="F150" t="inlineStr">
        <is>
          <t>S</t>
        </is>
      </c>
      <c r="G150" t="inlineStr">
        <is>
          <t>Average</t>
        </is>
      </c>
      <c r="H150" s="2390" t="n">
        <v>108</v>
      </c>
      <c r="I150">
        <f>B150&amp;"~"&amp;F150&amp;"~"&amp;G150</f>
        <v/>
      </c>
      <c r="J150" t="inlineStr">
        <is>
          <t>13</t>
        </is>
      </c>
      <c r="K150" t="inlineStr">
        <is>
          <t>13</t>
        </is>
      </c>
      <c r="L150" t="inlineStr">
        <is>
          <t>13</t>
        </is>
      </c>
      <c r="M150" t="inlineStr">
        <is>
          <t>MVS Sec.13 p.26</t>
        </is>
      </c>
    </row>
    <row r="151">
      <c r="B151" t="inlineStr">
        <is>
          <t>Retail Stores</t>
        </is>
      </c>
      <c r="C151" t="inlineStr">
        <is>
          <t>353</t>
        </is>
      </c>
      <c r="D151" t="inlineStr">
        <is>
          <t>13</t>
        </is>
      </c>
      <c r="E151" t="inlineStr">
        <is>
          <t>26</t>
        </is>
      </c>
      <c r="F151" t="inlineStr">
        <is>
          <t>S</t>
        </is>
      </c>
      <c r="G151" t="inlineStr">
        <is>
          <t>Low Cost</t>
        </is>
      </c>
      <c r="H151" s="2390" t="n">
        <v>76</v>
      </c>
      <c r="I151">
        <f>B151&amp;"~"&amp;F151&amp;"~"&amp;G151</f>
        <v/>
      </c>
      <c r="J151" t="inlineStr">
        <is>
          <t>13</t>
        </is>
      </c>
      <c r="K151" t="inlineStr">
        <is>
          <t>13</t>
        </is>
      </c>
      <c r="L151" t="inlineStr">
        <is>
          <t>13</t>
        </is>
      </c>
      <c r="M151" t="inlineStr">
        <is>
          <t>MVS Sec.13 p.26</t>
        </is>
      </c>
    </row>
    <row r="152">
      <c r="B152" t="inlineStr">
        <is>
          <t>Neighborhood Shopping Centers</t>
        </is>
      </c>
      <c r="C152" t="inlineStr">
        <is>
          <t>412</t>
        </is>
      </c>
      <c r="D152" t="inlineStr">
        <is>
          <t>13</t>
        </is>
      </c>
      <c r="E152" t="inlineStr">
        <is>
          <t>33</t>
        </is>
      </c>
      <c r="F152" t="inlineStr">
        <is>
          <t>C</t>
        </is>
      </c>
      <c r="G152" t="inlineStr">
        <is>
          <t>Good</t>
        </is>
      </c>
      <c r="H152" s="2390" t="n">
        <v>152</v>
      </c>
      <c r="I152">
        <f>B152&amp;"~"&amp;F152&amp;"~"&amp;G152</f>
        <v/>
      </c>
      <c r="J152" t="inlineStr">
        <is>
          <t>13</t>
        </is>
      </c>
      <c r="K152" t="inlineStr">
        <is>
          <t>13</t>
        </is>
      </c>
      <c r="L152" t="inlineStr">
        <is>
          <t>13</t>
        </is>
      </c>
      <c r="M152" t="inlineStr">
        <is>
          <t>MVS Sec.13 p.33</t>
        </is>
      </c>
    </row>
    <row r="153">
      <c r="B153" t="inlineStr">
        <is>
          <t>Neighborhood Shopping Centers</t>
        </is>
      </c>
      <c r="C153" t="inlineStr">
        <is>
          <t>412</t>
        </is>
      </c>
      <c r="D153" t="inlineStr">
        <is>
          <t>13</t>
        </is>
      </c>
      <c r="E153" t="inlineStr">
        <is>
          <t>33</t>
        </is>
      </c>
      <c r="F153" t="inlineStr">
        <is>
          <t>C</t>
        </is>
      </c>
      <c r="G153" t="inlineStr">
        <is>
          <t>Average</t>
        </is>
      </c>
      <c r="H153" s="2390" t="n">
        <v>127</v>
      </c>
      <c r="I153">
        <f>B153&amp;"~"&amp;F153&amp;"~"&amp;G153</f>
        <v/>
      </c>
      <c r="J153" t="inlineStr">
        <is>
          <t>13</t>
        </is>
      </c>
      <c r="K153" t="inlineStr">
        <is>
          <t>13</t>
        </is>
      </c>
      <c r="L153" t="inlineStr">
        <is>
          <t>13</t>
        </is>
      </c>
      <c r="M153" t="inlineStr">
        <is>
          <t>MVS Sec.13 p.33</t>
        </is>
      </c>
    </row>
    <row r="154">
      <c r="B154" t="inlineStr">
        <is>
          <t>Neighborhood Shopping Centers</t>
        </is>
      </c>
      <c r="C154" t="inlineStr">
        <is>
          <t>412</t>
        </is>
      </c>
      <c r="D154" t="inlineStr">
        <is>
          <t>13</t>
        </is>
      </c>
      <c r="E154" t="inlineStr">
        <is>
          <t>33</t>
        </is>
      </c>
      <c r="F154" t="inlineStr">
        <is>
          <t>C</t>
        </is>
      </c>
      <c r="G154" t="inlineStr">
        <is>
          <t>Low Cost</t>
        </is>
      </c>
      <c r="H154" s="2390" t="n">
        <v>100</v>
      </c>
      <c r="I154">
        <f>B154&amp;"~"&amp;F154&amp;"~"&amp;G154</f>
        <v/>
      </c>
      <c r="J154" t="inlineStr">
        <is>
          <t>13</t>
        </is>
      </c>
      <c r="K154" t="inlineStr">
        <is>
          <t>13</t>
        </is>
      </c>
      <c r="L154" t="inlineStr">
        <is>
          <t>13</t>
        </is>
      </c>
      <c r="M154" t="inlineStr">
        <is>
          <t>MVS Sec.13 p.33</t>
        </is>
      </c>
    </row>
    <row r="155">
      <c r="B155" t="inlineStr">
        <is>
          <t>Neighborhood Shopping Centers</t>
        </is>
      </c>
      <c r="C155" t="inlineStr">
        <is>
          <t>412</t>
        </is>
      </c>
      <c r="D155" t="inlineStr">
        <is>
          <t>13</t>
        </is>
      </c>
      <c r="E155" t="inlineStr">
        <is>
          <t>33</t>
        </is>
      </c>
      <c r="F155" t="inlineStr">
        <is>
          <t>CMILL</t>
        </is>
      </c>
      <c r="G155" t="inlineStr">
        <is>
          <t>Average</t>
        </is>
      </c>
      <c r="H155" s="2390" t="n">
        <v>145</v>
      </c>
      <c r="I155">
        <f>B155&amp;"~"&amp;F155&amp;"~"&amp;G155</f>
        <v/>
      </c>
      <c r="J155" t="inlineStr">
        <is>
          <t>13</t>
        </is>
      </c>
      <c r="K155" t="inlineStr">
        <is>
          <t>13</t>
        </is>
      </c>
      <c r="L155" t="inlineStr">
        <is>
          <t>13</t>
        </is>
      </c>
      <c r="M155" t="inlineStr">
        <is>
          <t>MVS Sec.13 p.33</t>
        </is>
      </c>
    </row>
    <row r="156">
      <c r="B156" t="inlineStr">
        <is>
          <t>Neighborhood Shopping Centers</t>
        </is>
      </c>
      <c r="C156" t="inlineStr">
        <is>
          <t>412</t>
        </is>
      </c>
      <c r="D156" t="inlineStr">
        <is>
          <t>13</t>
        </is>
      </c>
      <c r="E156" t="inlineStr">
        <is>
          <t>33</t>
        </is>
      </c>
      <c r="F156" t="inlineStr">
        <is>
          <t>D</t>
        </is>
      </c>
      <c r="G156" t="inlineStr">
        <is>
          <t>Good</t>
        </is>
      </c>
      <c r="H156" s="2390" t="n">
        <v>143</v>
      </c>
      <c r="I156">
        <f>B156&amp;"~"&amp;F156&amp;"~"&amp;G156</f>
        <v/>
      </c>
      <c r="J156" t="inlineStr">
        <is>
          <t>13</t>
        </is>
      </c>
      <c r="K156" t="inlineStr">
        <is>
          <t>13</t>
        </is>
      </c>
      <c r="L156" t="inlineStr">
        <is>
          <t>13</t>
        </is>
      </c>
      <c r="M156" t="inlineStr">
        <is>
          <t>MVS Sec.13 p.33</t>
        </is>
      </c>
    </row>
    <row r="157">
      <c r="B157" t="inlineStr">
        <is>
          <t>Neighborhood Shopping Centers</t>
        </is>
      </c>
      <c r="C157" t="inlineStr">
        <is>
          <t>412</t>
        </is>
      </c>
      <c r="D157" t="inlineStr">
        <is>
          <t>13</t>
        </is>
      </c>
      <c r="E157" t="inlineStr">
        <is>
          <t>33</t>
        </is>
      </c>
      <c r="F157" t="inlineStr">
        <is>
          <t>D</t>
        </is>
      </c>
      <c r="G157" t="inlineStr">
        <is>
          <t>Average</t>
        </is>
      </c>
      <c r="H157" s="2390" t="n">
        <v>119</v>
      </c>
      <c r="I157">
        <f>B157&amp;"~"&amp;F157&amp;"~"&amp;G157</f>
        <v/>
      </c>
      <c r="J157" t="inlineStr">
        <is>
          <t>13</t>
        </is>
      </c>
      <c r="K157" t="inlineStr">
        <is>
          <t>13</t>
        </is>
      </c>
      <c r="L157" t="inlineStr">
        <is>
          <t>13</t>
        </is>
      </c>
      <c r="M157" t="inlineStr">
        <is>
          <t>MVS Sec.13 p.33</t>
        </is>
      </c>
    </row>
    <row r="158">
      <c r="B158" t="inlineStr">
        <is>
          <t>Neighborhood Shopping Centers</t>
        </is>
      </c>
      <c r="C158" t="inlineStr">
        <is>
          <t>412</t>
        </is>
      </c>
      <c r="D158" t="inlineStr">
        <is>
          <t>13</t>
        </is>
      </c>
      <c r="E158" t="inlineStr">
        <is>
          <t>33</t>
        </is>
      </c>
      <c r="F158" t="inlineStr">
        <is>
          <t>D</t>
        </is>
      </c>
      <c r="G158" t="inlineStr">
        <is>
          <t>Low Cost</t>
        </is>
      </c>
      <c r="H158" s="2390" t="n">
        <v>93</v>
      </c>
      <c r="I158">
        <f>B158&amp;"~"&amp;F158&amp;"~"&amp;G158</f>
        <v/>
      </c>
      <c r="J158" t="inlineStr">
        <is>
          <t>13</t>
        </is>
      </c>
      <c r="K158" t="inlineStr">
        <is>
          <t>13</t>
        </is>
      </c>
      <c r="L158" t="inlineStr">
        <is>
          <t>13</t>
        </is>
      </c>
      <c r="M158" t="inlineStr">
        <is>
          <t>MVS Sec.13 p.33</t>
        </is>
      </c>
    </row>
    <row r="159">
      <c r="B159" t="inlineStr">
        <is>
          <t>Neighborhood Shopping Centers</t>
        </is>
      </c>
      <c r="C159" t="inlineStr">
        <is>
          <t>412</t>
        </is>
      </c>
      <c r="D159" t="inlineStr">
        <is>
          <t>13</t>
        </is>
      </c>
      <c r="E159" t="inlineStr">
        <is>
          <t>33</t>
        </is>
      </c>
      <c r="F159" t="inlineStr">
        <is>
          <t>DPOLE</t>
        </is>
      </c>
      <c r="G159" t="inlineStr">
        <is>
          <t>Low Cost</t>
        </is>
      </c>
      <c r="H159" s="2390" t="n">
        <v>88.5</v>
      </c>
      <c r="I159">
        <f>B159&amp;"~"&amp;F159&amp;"~"&amp;G159</f>
        <v/>
      </c>
      <c r="J159" t="inlineStr">
        <is>
          <t>13</t>
        </is>
      </c>
      <c r="K159" t="inlineStr">
        <is>
          <t>13</t>
        </is>
      </c>
      <c r="L159" t="inlineStr">
        <is>
          <t>13</t>
        </is>
      </c>
      <c r="M159" t="inlineStr">
        <is>
          <t>MVS Sec.13 p.33</t>
        </is>
      </c>
    </row>
    <row r="160">
      <c r="B160" t="inlineStr">
        <is>
          <t>Neighborhood Shopping Centers</t>
        </is>
      </c>
      <c r="C160" t="inlineStr">
        <is>
          <t>412</t>
        </is>
      </c>
      <c r="D160" t="inlineStr">
        <is>
          <t>13</t>
        </is>
      </c>
      <c r="E160" t="inlineStr">
        <is>
          <t>33</t>
        </is>
      </c>
      <c r="F160" t="inlineStr">
        <is>
          <t>S</t>
        </is>
      </c>
      <c r="G160" t="inlineStr">
        <is>
          <t>Average</t>
        </is>
      </c>
      <c r="H160" s="2390" t="n">
        <v>116</v>
      </c>
      <c r="I160">
        <f>B160&amp;"~"&amp;F160&amp;"~"&amp;G160</f>
        <v/>
      </c>
      <c r="J160" t="inlineStr">
        <is>
          <t>13</t>
        </is>
      </c>
      <c r="K160" t="inlineStr">
        <is>
          <t>13</t>
        </is>
      </c>
      <c r="L160" t="inlineStr">
        <is>
          <t>13</t>
        </is>
      </c>
      <c r="M160" t="inlineStr">
        <is>
          <t>MVS Sec.13 p.33</t>
        </is>
      </c>
    </row>
    <row r="161">
      <c r="B161" t="inlineStr">
        <is>
          <t>Neighborhood Shopping Centers</t>
        </is>
      </c>
      <c r="C161" t="inlineStr">
        <is>
          <t>412</t>
        </is>
      </c>
      <c r="D161" t="inlineStr">
        <is>
          <t>13</t>
        </is>
      </c>
      <c r="E161" t="inlineStr">
        <is>
          <t>33</t>
        </is>
      </c>
      <c r="F161" t="inlineStr">
        <is>
          <t>S</t>
        </is>
      </c>
      <c r="G161" t="inlineStr">
        <is>
          <t>Low Cost</t>
        </is>
      </c>
      <c r="H161" s="2390" t="n">
        <v>91</v>
      </c>
      <c r="I161">
        <f>B161&amp;"~"&amp;F161&amp;"~"&amp;G161</f>
        <v/>
      </c>
      <c r="J161" t="inlineStr">
        <is>
          <t>13</t>
        </is>
      </c>
      <c r="K161" t="inlineStr">
        <is>
          <t>13</t>
        </is>
      </c>
      <c r="L161" t="inlineStr">
        <is>
          <t>13</t>
        </is>
      </c>
      <c r="M161" t="inlineStr">
        <is>
          <t>MVS Sec.13 p.33</t>
        </is>
      </c>
    </row>
    <row r="162">
      <c r="B162" t="inlineStr">
        <is>
          <t>Community Shopping Centers</t>
        </is>
      </c>
      <c r="C162" t="inlineStr">
        <is>
          <t>413</t>
        </is>
      </c>
      <c r="D162" t="inlineStr">
        <is>
          <t>13</t>
        </is>
      </c>
      <c r="E162" t="inlineStr">
        <is>
          <t>34</t>
        </is>
      </c>
      <c r="F162" t="inlineStr">
        <is>
          <t>C</t>
        </is>
      </c>
      <c r="G162" t="inlineStr">
        <is>
          <t>Excellent</t>
        </is>
      </c>
      <c r="H162" s="2390" t="n">
        <v>207</v>
      </c>
      <c r="I162">
        <f>B162&amp;"~"&amp;F162&amp;"~"&amp;G162</f>
        <v/>
      </c>
      <c r="J162" t="inlineStr">
        <is>
          <t>13</t>
        </is>
      </c>
      <c r="K162" t="inlineStr">
        <is>
          <t>13</t>
        </is>
      </c>
      <c r="L162" t="inlineStr">
        <is>
          <t>13</t>
        </is>
      </c>
      <c r="M162" t="inlineStr">
        <is>
          <t>MVS Sec.13 p.34</t>
        </is>
      </c>
    </row>
    <row r="163">
      <c r="B163" t="inlineStr">
        <is>
          <t>Community Shopping Centers</t>
        </is>
      </c>
      <c r="C163" t="inlineStr">
        <is>
          <t>413</t>
        </is>
      </c>
      <c r="D163" t="inlineStr">
        <is>
          <t>13</t>
        </is>
      </c>
      <c r="E163" t="inlineStr">
        <is>
          <t>34</t>
        </is>
      </c>
      <c r="F163" t="inlineStr">
        <is>
          <t>C</t>
        </is>
      </c>
      <c r="G163" t="inlineStr">
        <is>
          <t>Good</t>
        </is>
      </c>
      <c r="H163" s="2390" t="n">
        <v>169</v>
      </c>
      <c r="I163">
        <f>B163&amp;"~"&amp;F163&amp;"~"&amp;G163</f>
        <v/>
      </c>
      <c r="J163" t="inlineStr">
        <is>
          <t>13</t>
        </is>
      </c>
      <c r="K163" t="inlineStr">
        <is>
          <t>13</t>
        </is>
      </c>
      <c r="L163" t="inlineStr">
        <is>
          <t>13</t>
        </is>
      </c>
      <c r="M163" t="inlineStr">
        <is>
          <t>MVS Sec.13 p.34</t>
        </is>
      </c>
    </row>
    <row r="164">
      <c r="B164" t="inlineStr">
        <is>
          <t>Community Shopping Centers</t>
        </is>
      </c>
      <c r="C164" t="inlineStr">
        <is>
          <t>413</t>
        </is>
      </c>
      <c r="D164" t="inlineStr">
        <is>
          <t>13</t>
        </is>
      </c>
      <c r="E164" t="inlineStr">
        <is>
          <t>34</t>
        </is>
      </c>
      <c r="F164" t="inlineStr">
        <is>
          <t>C</t>
        </is>
      </c>
      <c r="G164" t="inlineStr">
        <is>
          <t>Average</t>
        </is>
      </c>
      <c r="H164" s="2390" t="n">
        <v>135</v>
      </c>
      <c r="I164">
        <f>B164&amp;"~"&amp;F164&amp;"~"&amp;G164</f>
        <v/>
      </c>
      <c r="J164" t="inlineStr">
        <is>
          <t>13</t>
        </is>
      </c>
      <c r="K164" t="inlineStr">
        <is>
          <t>13</t>
        </is>
      </c>
      <c r="L164" t="inlineStr">
        <is>
          <t>13</t>
        </is>
      </c>
      <c r="M164" t="inlineStr">
        <is>
          <t>MVS Sec.13 p.34</t>
        </is>
      </c>
    </row>
    <row r="165">
      <c r="B165" t="inlineStr">
        <is>
          <t>Community Shopping Centers</t>
        </is>
      </c>
      <c r="C165" t="inlineStr">
        <is>
          <t>413</t>
        </is>
      </c>
      <c r="D165" t="inlineStr">
        <is>
          <t>13</t>
        </is>
      </c>
      <c r="E165" t="inlineStr">
        <is>
          <t>34</t>
        </is>
      </c>
      <c r="F165" t="inlineStr">
        <is>
          <t>C</t>
        </is>
      </c>
      <c r="G165" t="inlineStr">
        <is>
          <t>Low Cost</t>
        </is>
      </c>
      <c r="H165" s="2390" t="n">
        <v>111</v>
      </c>
      <c r="I165">
        <f>B165&amp;"~"&amp;F165&amp;"~"&amp;G165</f>
        <v/>
      </c>
      <c r="J165" t="inlineStr">
        <is>
          <t>13</t>
        </is>
      </c>
      <c r="K165" t="inlineStr">
        <is>
          <t>13</t>
        </is>
      </c>
      <c r="L165" t="inlineStr">
        <is>
          <t>13</t>
        </is>
      </c>
      <c r="M165" t="inlineStr">
        <is>
          <t>MVS Sec.13 p.34</t>
        </is>
      </c>
    </row>
    <row r="166">
      <c r="B166" t="inlineStr">
        <is>
          <t>Community Shopping Centers</t>
        </is>
      </c>
      <c r="C166" t="inlineStr">
        <is>
          <t>413</t>
        </is>
      </c>
      <c r="D166" t="inlineStr">
        <is>
          <t>13</t>
        </is>
      </c>
      <c r="E166" t="inlineStr">
        <is>
          <t>34</t>
        </is>
      </c>
      <c r="F166" t="inlineStr">
        <is>
          <t>D</t>
        </is>
      </c>
      <c r="G166" t="inlineStr">
        <is>
          <t>Excellent</t>
        </is>
      </c>
      <c r="H166" s="2390" t="n">
        <v>195</v>
      </c>
      <c r="I166">
        <f>B166&amp;"~"&amp;F166&amp;"~"&amp;G166</f>
        <v/>
      </c>
      <c r="J166" t="inlineStr">
        <is>
          <t>13</t>
        </is>
      </c>
      <c r="K166" t="inlineStr">
        <is>
          <t>13</t>
        </is>
      </c>
      <c r="L166" t="inlineStr">
        <is>
          <t>13</t>
        </is>
      </c>
      <c r="M166" t="inlineStr">
        <is>
          <t>MVS Sec.13 p.34</t>
        </is>
      </c>
    </row>
    <row r="167">
      <c r="B167" t="inlineStr">
        <is>
          <t>Community Shopping Centers</t>
        </is>
      </c>
      <c r="C167" t="inlineStr">
        <is>
          <t>413</t>
        </is>
      </c>
      <c r="D167" t="inlineStr">
        <is>
          <t>13</t>
        </is>
      </c>
      <c r="E167" t="inlineStr">
        <is>
          <t>34</t>
        </is>
      </c>
      <c r="F167" t="inlineStr">
        <is>
          <t>D</t>
        </is>
      </c>
      <c r="G167" t="inlineStr">
        <is>
          <t>Good</t>
        </is>
      </c>
      <c r="H167" s="2390" t="n">
        <v>159</v>
      </c>
      <c r="I167">
        <f>B167&amp;"~"&amp;F167&amp;"~"&amp;G167</f>
        <v/>
      </c>
      <c r="J167" t="inlineStr">
        <is>
          <t>13</t>
        </is>
      </c>
      <c r="K167" t="inlineStr">
        <is>
          <t>13</t>
        </is>
      </c>
      <c r="L167" t="inlineStr">
        <is>
          <t>13</t>
        </is>
      </c>
      <c r="M167" t="inlineStr">
        <is>
          <t>MVS Sec.13 p.34</t>
        </is>
      </c>
    </row>
    <row r="168">
      <c r="B168" t="inlineStr">
        <is>
          <t>Community Shopping Centers</t>
        </is>
      </c>
      <c r="C168" t="inlineStr">
        <is>
          <t>413</t>
        </is>
      </c>
      <c r="D168" t="inlineStr">
        <is>
          <t>13</t>
        </is>
      </c>
      <c r="E168" t="inlineStr">
        <is>
          <t>34</t>
        </is>
      </c>
      <c r="F168" t="inlineStr">
        <is>
          <t>D</t>
        </is>
      </c>
      <c r="G168" t="inlineStr">
        <is>
          <t>Average</t>
        </is>
      </c>
      <c r="H168" s="2390" t="n">
        <v>126</v>
      </c>
      <c r="I168">
        <f>B168&amp;"~"&amp;F168&amp;"~"&amp;G168</f>
        <v/>
      </c>
      <c r="J168" t="inlineStr">
        <is>
          <t>13</t>
        </is>
      </c>
      <c r="K168" t="inlineStr">
        <is>
          <t>13</t>
        </is>
      </c>
      <c r="L168" t="inlineStr">
        <is>
          <t>13</t>
        </is>
      </c>
      <c r="M168" t="inlineStr">
        <is>
          <t>MVS Sec.13 p.34</t>
        </is>
      </c>
    </row>
    <row r="169">
      <c r="B169" t="inlineStr">
        <is>
          <t>Community Shopping Centers</t>
        </is>
      </c>
      <c r="C169" t="inlineStr">
        <is>
          <t>413</t>
        </is>
      </c>
      <c r="D169" t="inlineStr">
        <is>
          <t>13</t>
        </is>
      </c>
      <c r="E169" t="inlineStr">
        <is>
          <t>34</t>
        </is>
      </c>
      <c r="F169" t="inlineStr">
        <is>
          <t>S</t>
        </is>
      </c>
      <c r="G169" t="inlineStr">
        <is>
          <t>Average</t>
        </is>
      </c>
      <c r="H169" s="2390" t="n">
        <v>124</v>
      </c>
      <c r="I169">
        <f>B169&amp;"~"&amp;F169&amp;"~"&amp;G169</f>
        <v/>
      </c>
      <c r="J169" t="inlineStr">
        <is>
          <t>13</t>
        </is>
      </c>
      <c r="K169" t="inlineStr">
        <is>
          <t>13</t>
        </is>
      </c>
      <c r="L169" t="inlineStr">
        <is>
          <t>13</t>
        </is>
      </c>
      <c r="M169" t="inlineStr">
        <is>
          <t>MVS Sec.13 p.34</t>
        </is>
      </c>
    </row>
    <row r="170">
      <c r="B170" t="inlineStr">
        <is>
          <t>Regional Shopping Centers</t>
        </is>
      </c>
      <c r="C170" t="inlineStr">
        <is>
          <t>414</t>
        </is>
      </c>
      <c r="D170" t="inlineStr">
        <is>
          <t>13</t>
        </is>
      </c>
      <c r="E170" t="inlineStr">
        <is>
          <t>35</t>
        </is>
      </c>
      <c r="F170" t="inlineStr">
        <is>
          <t>A-B</t>
        </is>
      </c>
      <c r="G170" t="inlineStr">
        <is>
          <t>Excellent*</t>
        </is>
      </c>
      <c r="H170" s="2390" t="n">
        <v>284</v>
      </c>
      <c r="I170">
        <f>B170&amp;"~"&amp;F170&amp;"~"&amp;G170</f>
        <v/>
      </c>
      <c r="J170" t="inlineStr">
        <is>
          <t>13</t>
        </is>
      </c>
      <c r="K170" t="inlineStr">
        <is>
          <t>13</t>
        </is>
      </c>
      <c r="L170" t="inlineStr">
        <is>
          <t>13</t>
        </is>
      </c>
      <c r="M170" t="inlineStr">
        <is>
          <t>MVS Sec.13 p.35</t>
        </is>
      </c>
    </row>
    <row r="171">
      <c r="B171" t="inlineStr">
        <is>
          <t>Regional Shopping Centers</t>
        </is>
      </c>
      <c r="C171" t="inlineStr">
        <is>
          <t>414</t>
        </is>
      </c>
      <c r="D171" t="inlineStr">
        <is>
          <t>13</t>
        </is>
      </c>
      <c r="E171" t="inlineStr">
        <is>
          <t>35</t>
        </is>
      </c>
      <c r="F171" t="inlineStr">
        <is>
          <t>A-B</t>
        </is>
      </c>
      <c r="G171" t="inlineStr">
        <is>
          <t>Good*</t>
        </is>
      </c>
      <c r="H171" s="2390" t="n">
        <v>233</v>
      </c>
      <c r="I171">
        <f>B171&amp;"~"&amp;F171&amp;"~"&amp;G171</f>
        <v/>
      </c>
      <c r="J171" t="inlineStr">
        <is>
          <t>13</t>
        </is>
      </c>
      <c r="K171" t="inlineStr">
        <is>
          <t>13</t>
        </is>
      </c>
      <c r="L171" t="inlineStr">
        <is>
          <t>13</t>
        </is>
      </c>
      <c r="M171" t="inlineStr">
        <is>
          <t>MVS Sec.13 p.35</t>
        </is>
      </c>
    </row>
    <row r="172">
      <c r="B172" t="inlineStr">
        <is>
          <t>Regional Shopping Centers</t>
        </is>
      </c>
      <c r="C172" t="inlineStr">
        <is>
          <t>414</t>
        </is>
      </c>
      <c r="D172" t="inlineStr">
        <is>
          <t>13</t>
        </is>
      </c>
      <c r="E172" t="inlineStr">
        <is>
          <t>35</t>
        </is>
      </c>
      <c r="F172" t="inlineStr">
        <is>
          <t>C</t>
        </is>
      </c>
      <c r="G172" t="inlineStr">
        <is>
          <t>Excellent*</t>
        </is>
      </c>
      <c r="H172" s="2390" t="n">
        <v>238</v>
      </c>
      <c r="I172">
        <f>B172&amp;"~"&amp;F172&amp;"~"&amp;G172</f>
        <v/>
      </c>
      <c r="J172" t="inlineStr">
        <is>
          <t>13</t>
        </is>
      </c>
      <c r="K172" t="inlineStr">
        <is>
          <t>13</t>
        </is>
      </c>
      <c r="L172" t="inlineStr">
        <is>
          <t>13</t>
        </is>
      </c>
      <c r="M172" t="inlineStr">
        <is>
          <t>MVS Sec.13 p.35</t>
        </is>
      </c>
    </row>
    <row r="173">
      <c r="B173" t="inlineStr">
        <is>
          <t>Regional Shopping Centers</t>
        </is>
      </c>
      <c r="C173" t="inlineStr">
        <is>
          <t>414</t>
        </is>
      </c>
      <c r="D173" t="inlineStr">
        <is>
          <t>13</t>
        </is>
      </c>
      <c r="E173" t="inlineStr">
        <is>
          <t>35</t>
        </is>
      </c>
      <c r="F173" t="inlineStr">
        <is>
          <t>C</t>
        </is>
      </c>
      <c r="G173" t="inlineStr">
        <is>
          <t>Good*</t>
        </is>
      </c>
      <c r="H173" s="2390" t="n">
        <v>189</v>
      </c>
      <c r="I173">
        <f>B173&amp;"~"&amp;F173&amp;"~"&amp;G173</f>
        <v/>
      </c>
      <c r="J173" t="inlineStr">
        <is>
          <t>13</t>
        </is>
      </c>
      <c r="K173" t="inlineStr">
        <is>
          <t>13</t>
        </is>
      </c>
      <c r="L173" t="inlineStr">
        <is>
          <t>13</t>
        </is>
      </c>
      <c r="M173" t="inlineStr">
        <is>
          <t>MVS Sec.13 p.35</t>
        </is>
      </c>
    </row>
    <row r="174">
      <c r="B174" t="inlineStr">
        <is>
          <t>Regional Shopping Centers</t>
        </is>
      </c>
      <c r="C174" t="inlineStr">
        <is>
          <t>414</t>
        </is>
      </c>
      <c r="D174" t="inlineStr">
        <is>
          <t>13</t>
        </is>
      </c>
      <c r="E174" t="inlineStr">
        <is>
          <t>35</t>
        </is>
      </c>
      <c r="F174" t="inlineStr">
        <is>
          <t>C</t>
        </is>
      </c>
      <c r="G174" t="inlineStr">
        <is>
          <t>Average</t>
        </is>
      </c>
      <c r="H174" s="2390" t="n">
        <v>153</v>
      </c>
      <c r="I174">
        <f>B174&amp;"~"&amp;F174&amp;"~"&amp;G174</f>
        <v/>
      </c>
      <c r="J174" t="inlineStr">
        <is>
          <t>13</t>
        </is>
      </c>
      <c r="K174" t="inlineStr">
        <is>
          <t>13</t>
        </is>
      </c>
      <c r="L174" t="inlineStr">
        <is>
          <t>13</t>
        </is>
      </c>
      <c r="M174" t="inlineStr">
        <is>
          <t>MVS Sec.13 p.35</t>
        </is>
      </c>
    </row>
    <row r="175">
      <c r="B175" t="inlineStr">
        <is>
          <t>Regional Shopping Centers</t>
        </is>
      </c>
      <c r="C175" t="inlineStr">
        <is>
          <t>414</t>
        </is>
      </c>
      <c r="D175" t="inlineStr">
        <is>
          <t>13</t>
        </is>
      </c>
      <c r="E175" t="inlineStr">
        <is>
          <t>35</t>
        </is>
      </c>
      <c r="F175" t="inlineStr">
        <is>
          <t>D</t>
        </is>
      </c>
      <c r="G175" t="inlineStr">
        <is>
          <t>Excellent*</t>
        </is>
      </c>
      <c r="H175" s="2390" t="n">
        <v>223</v>
      </c>
      <c r="I175">
        <f>B175&amp;"~"&amp;F175&amp;"~"&amp;G175</f>
        <v/>
      </c>
      <c r="J175" t="inlineStr">
        <is>
          <t>13</t>
        </is>
      </c>
      <c r="K175" t="inlineStr">
        <is>
          <t>13</t>
        </is>
      </c>
      <c r="L175" t="inlineStr">
        <is>
          <t>13</t>
        </is>
      </c>
      <c r="M175" t="inlineStr">
        <is>
          <t>MVS Sec.13 p.35</t>
        </is>
      </c>
    </row>
    <row r="176">
      <c r="B176" t="inlineStr">
        <is>
          <t>Regional Shopping Centers</t>
        </is>
      </c>
      <c r="C176" t="inlineStr">
        <is>
          <t>414</t>
        </is>
      </c>
      <c r="D176" t="inlineStr">
        <is>
          <t>13</t>
        </is>
      </c>
      <c r="E176" t="inlineStr">
        <is>
          <t>35</t>
        </is>
      </c>
      <c r="F176" t="inlineStr">
        <is>
          <t>D</t>
        </is>
      </c>
      <c r="G176" t="inlineStr">
        <is>
          <t>Good*</t>
        </is>
      </c>
      <c r="H176" s="2390" t="n">
        <v>176</v>
      </c>
      <c r="I176">
        <f>B176&amp;"~"&amp;F176&amp;"~"&amp;G176</f>
        <v/>
      </c>
      <c r="J176" t="inlineStr">
        <is>
          <t>13</t>
        </is>
      </c>
      <c r="K176" t="inlineStr">
        <is>
          <t>13</t>
        </is>
      </c>
      <c r="L176" t="inlineStr">
        <is>
          <t>13</t>
        </is>
      </c>
      <c r="M176" t="inlineStr">
        <is>
          <t>MVS Sec.13 p.35</t>
        </is>
      </c>
    </row>
    <row r="177">
      <c r="B177" t="inlineStr">
        <is>
          <t>Regional Shopping Centers</t>
        </is>
      </c>
      <c r="C177" t="inlineStr">
        <is>
          <t>414</t>
        </is>
      </c>
      <c r="D177" t="inlineStr">
        <is>
          <t>13</t>
        </is>
      </c>
      <c r="E177" t="inlineStr">
        <is>
          <t>35</t>
        </is>
      </c>
      <c r="F177" t="inlineStr">
        <is>
          <t>D</t>
        </is>
      </c>
      <c r="G177" t="inlineStr">
        <is>
          <t>Average</t>
        </is>
      </c>
      <c r="H177" s="2390" t="n">
        <v>142</v>
      </c>
      <c r="I177">
        <f>B177&amp;"~"&amp;F177&amp;"~"&amp;G177</f>
        <v/>
      </c>
      <c r="J177" t="inlineStr">
        <is>
          <t>13</t>
        </is>
      </c>
      <c r="K177" t="inlineStr">
        <is>
          <t>13</t>
        </is>
      </c>
      <c r="L177" t="inlineStr">
        <is>
          <t>13</t>
        </is>
      </c>
      <c r="M177" t="inlineStr">
        <is>
          <t>MVS Sec.13 p.35</t>
        </is>
      </c>
    </row>
    <row r="178">
      <c r="B178" t="inlineStr">
        <is>
          <t>Regional Shopping Centers</t>
        </is>
      </c>
      <c r="C178" t="inlineStr">
        <is>
          <t>414</t>
        </is>
      </c>
      <c r="D178" t="inlineStr">
        <is>
          <t>13</t>
        </is>
      </c>
      <c r="E178" t="inlineStr">
        <is>
          <t>35</t>
        </is>
      </c>
      <c r="F178" t="inlineStr">
        <is>
          <t>S</t>
        </is>
      </c>
      <c r="G178" t="inlineStr">
        <is>
          <t>Average</t>
        </is>
      </c>
      <c r="H178" s="2390" t="n">
        <v>142</v>
      </c>
      <c r="I178">
        <f>B178&amp;"~"&amp;F178&amp;"~"&amp;G178</f>
        <v/>
      </c>
      <c r="J178" t="inlineStr">
        <is>
          <t>13</t>
        </is>
      </c>
      <c r="K178" t="inlineStr">
        <is>
          <t>13</t>
        </is>
      </c>
      <c r="L178" t="inlineStr">
        <is>
          <t>13</t>
        </is>
      </c>
      <c r="M178" t="inlineStr">
        <is>
          <t>MVS Sec.13 p.35</t>
        </is>
      </c>
    </row>
    <row r="179">
      <c r="B179" t="inlineStr">
        <is>
          <t>Department Stores</t>
        </is>
      </c>
      <c r="C179" t="inlineStr">
        <is>
          <t>318</t>
        </is>
      </c>
      <c r="D179" t="inlineStr">
        <is>
          <t>13</t>
        </is>
      </c>
      <c r="E179" t="inlineStr">
        <is>
          <t>27</t>
        </is>
      </c>
      <c r="F179" t="inlineStr">
        <is>
          <t>A</t>
        </is>
      </c>
      <c r="G179" t="inlineStr">
        <is>
          <t>Excellent</t>
        </is>
      </c>
      <c r="H179" s="2390" t="n">
        <v>317</v>
      </c>
      <c r="I179">
        <f>B179&amp;"~"&amp;F179&amp;"~"&amp;G179</f>
        <v/>
      </c>
      <c r="J179" t="inlineStr">
        <is>
          <t>13</t>
        </is>
      </c>
      <c r="K179" t="inlineStr">
        <is>
          <t>13</t>
        </is>
      </c>
      <c r="L179" t="inlineStr">
        <is>
          <t>13</t>
        </is>
      </c>
      <c r="M179" t="inlineStr">
        <is>
          <t>MVS Sec.13 p.27</t>
        </is>
      </c>
    </row>
    <row r="180">
      <c r="B180" t="inlineStr">
        <is>
          <t>Department Stores</t>
        </is>
      </c>
      <c r="C180" t="inlineStr">
        <is>
          <t>318</t>
        </is>
      </c>
      <c r="D180" t="inlineStr">
        <is>
          <t>13</t>
        </is>
      </c>
      <c r="E180" t="inlineStr">
        <is>
          <t>27</t>
        </is>
      </c>
      <c r="F180" t="inlineStr">
        <is>
          <t>A</t>
        </is>
      </c>
      <c r="G180" t="inlineStr">
        <is>
          <t>Good</t>
        </is>
      </c>
      <c r="H180" s="2390" t="n">
        <v>256</v>
      </c>
      <c r="I180">
        <f>B180&amp;"~"&amp;F180&amp;"~"&amp;G180</f>
        <v/>
      </c>
      <c r="J180" t="inlineStr">
        <is>
          <t>13</t>
        </is>
      </c>
      <c r="K180" t="inlineStr">
        <is>
          <t>13</t>
        </is>
      </c>
      <c r="L180" t="inlineStr">
        <is>
          <t>13</t>
        </is>
      </c>
      <c r="M180" t="inlineStr">
        <is>
          <t>MVS Sec.13 p.27</t>
        </is>
      </c>
    </row>
    <row r="181">
      <c r="B181" t="inlineStr">
        <is>
          <t>Department Stores</t>
        </is>
      </c>
      <c r="C181" t="inlineStr">
        <is>
          <t>318</t>
        </is>
      </c>
      <c r="D181" t="inlineStr">
        <is>
          <t>13</t>
        </is>
      </c>
      <c r="E181" t="inlineStr">
        <is>
          <t>27</t>
        </is>
      </c>
      <c r="F181" t="inlineStr">
        <is>
          <t>A</t>
        </is>
      </c>
      <c r="G181" t="inlineStr">
        <is>
          <t>Average</t>
        </is>
      </c>
      <c r="H181" s="2390" t="n">
        <v>198</v>
      </c>
      <c r="I181">
        <f>B181&amp;"~"&amp;F181&amp;"~"&amp;G181</f>
        <v/>
      </c>
      <c r="J181" t="inlineStr">
        <is>
          <t>13</t>
        </is>
      </c>
      <c r="K181" t="inlineStr">
        <is>
          <t>13</t>
        </is>
      </c>
      <c r="L181" t="inlineStr">
        <is>
          <t>13</t>
        </is>
      </c>
      <c r="M181" t="inlineStr">
        <is>
          <t>MVS Sec.13 p.27</t>
        </is>
      </c>
    </row>
    <row r="182">
      <c r="B182" t="inlineStr">
        <is>
          <t>Department Stores</t>
        </is>
      </c>
      <c r="C182" t="inlineStr">
        <is>
          <t>318</t>
        </is>
      </c>
      <c r="D182" t="inlineStr">
        <is>
          <t>13</t>
        </is>
      </c>
      <c r="E182" t="inlineStr">
        <is>
          <t>27</t>
        </is>
      </c>
      <c r="F182" t="inlineStr">
        <is>
          <t>B</t>
        </is>
      </c>
      <c r="G182" t="inlineStr">
        <is>
          <t>Excellent</t>
        </is>
      </c>
      <c r="H182" s="2390" t="n">
        <v>289</v>
      </c>
      <c r="I182">
        <f>B182&amp;"~"&amp;F182&amp;"~"&amp;G182</f>
        <v/>
      </c>
      <c r="J182" t="inlineStr">
        <is>
          <t>13</t>
        </is>
      </c>
      <c r="K182" t="inlineStr">
        <is>
          <t>13</t>
        </is>
      </c>
      <c r="L182" t="inlineStr">
        <is>
          <t>13</t>
        </is>
      </c>
      <c r="M182" t="inlineStr">
        <is>
          <t>MVS Sec.13 p.27</t>
        </is>
      </c>
    </row>
    <row r="183">
      <c r="B183" t="inlineStr">
        <is>
          <t>Department Stores</t>
        </is>
      </c>
      <c r="C183" t="inlineStr">
        <is>
          <t>318</t>
        </is>
      </c>
      <c r="D183" t="inlineStr">
        <is>
          <t>13</t>
        </is>
      </c>
      <c r="E183" t="inlineStr">
        <is>
          <t>27</t>
        </is>
      </c>
      <c r="F183" t="inlineStr">
        <is>
          <t>B</t>
        </is>
      </c>
      <c r="G183" t="inlineStr">
        <is>
          <t>Good</t>
        </is>
      </c>
      <c r="H183" s="2390" t="n">
        <v>233</v>
      </c>
      <c r="I183">
        <f>B183&amp;"~"&amp;F183&amp;"~"&amp;G183</f>
        <v/>
      </c>
      <c r="J183" t="inlineStr">
        <is>
          <t>13</t>
        </is>
      </c>
      <c r="K183" t="inlineStr">
        <is>
          <t>13</t>
        </is>
      </c>
      <c r="L183" t="inlineStr">
        <is>
          <t>13</t>
        </is>
      </c>
      <c r="M183" t="inlineStr">
        <is>
          <t>MVS Sec.13 p.27</t>
        </is>
      </c>
    </row>
    <row r="184">
      <c r="B184" t="inlineStr">
        <is>
          <t>Department Stores</t>
        </is>
      </c>
      <c r="C184" t="inlineStr">
        <is>
          <t>318</t>
        </is>
      </c>
      <c r="D184" t="inlineStr">
        <is>
          <t>13</t>
        </is>
      </c>
      <c r="E184" t="inlineStr">
        <is>
          <t>27</t>
        </is>
      </c>
      <c r="F184" t="inlineStr">
        <is>
          <t>B</t>
        </is>
      </c>
      <c r="G184" t="inlineStr">
        <is>
          <t>Average</t>
        </is>
      </c>
      <c r="H184" s="2390" t="n">
        <v>180</v>
      </c>
      <c r="I184">
        <f>B184&amp;"~"&amp;F184&amp;"~"&amp;G184</f>
        <v/>
      </c>
      <c r="J184" t="inlineStr">
        <is>
          <t>13</t>
        </is>
      </c>
      <c r="K184" t="inlineStr">
        <is>
          <t>13</t>
        </is>
      </c>
      <c r="L184" t="inlineStr">
        <is>
          <t>13</t>
        </is>
      </c>
      <c r="M184" t="inlineStr">
        <is>
          <t>MVS Sec.13 p.27</t>
        </is>
      </c>
    </row>
    <row r="185">
      <c r="B185" t="inlineStr">
        <is>
          <t>Department Stores</t>
        </is>
      </c>
      <c r="C185" t="inlineStr">
        <is>
          <t>318</t>
        </is>
      </c>
      <c r="D185" t="inlineStr">
        <is>
          <t>13</t>
        </is>
      </c>
      <c r="E185" t="inlineStr">
        <is>
          <t>27</t>
        </is>
      </c>
      <c r="F185" t="inlineStr">
        <is>
          <t>C</t>
        </is>
      </c>
      <c r="G185" t="inlineStr">
        <is>
          <t>Excellent</t>
        </is>
      </c>
      <c r="H185" s="2390" t="n">
        <v>254</v>
      </c>
      <c r="I185">
        <f>B185&amp;"~"&amp;F185&amp;"~"&amp;G185</f>
        <v/>
      </c>
      <c r="J185" t="inlineStr">
        <is>
          <t>13</t>
        </is>
      </c>
      <c r="K185" t="inlineStr">
        <is>
          <t>13</t>
        </is>
      </c>
      <c r="L185" t="inlineStr">
        <is>
          <t>13</t>
        </is>
      </c>
      <c r="M185" t="inlineStr">
        <is>
          <t>MVS Sec.13 p.27</t>
        </is>
      </c>
    </row>
    <row r="186">
      <c r="B186" t="inlineStr">
        <is>
          <t>Department Stores</t>
        </is>
      </c>
      <c r="C186" t="inlineStr">
        <is>
          <t>318</t>
        </is>
      </c>
      <c r="D186" t="inlineStr">
        <is>
          <t>13</t>
        </is>
      </c>
      <c r="E186" t="inlineStr">
        <is>
          <t>27</t>
        </is>
      </c>
      <c r="F186" t="inlineStr">
        <is>
          <t>C</t>
        </is>
      </c>
      <c r="G186" t="inlineStr">
        <is>
          <t>Good</t>
        </is>
      </c>
      <c r="H186" s="2390" t="n">
        <v>193</v>
      </c>
      <c r="I186">
        <f>B186&amp;"~"&amp;F186&amp;"~"&amp;G186</f>
        <v/>
      </c>
      <c r="J186" t="inlineStr">
        <is>
          <t>13</t>
        </is>
      </c>
      <c r="K186" t="inlineStr">
        <is>
          <t>13</t>
        </is>
      </c>
      <c r="L186" t="inlineStr">
        <is>
          <t>13</t>
        </is>
      </c>
      <c r="M186" t="inlineStr">
        <is>
          <t>MVS Sec.13 p.27</t>
        </is>
      </c>
    </row>
    <row r="187">
      <c r="B187" t="inlineStr">
        <is>
          <t>Department Stores</t>
        </is>
      </c>
      <c r="C187" t="inlineStr">
        <is>
          <t>318</t>
        </is>
      </c>
      <c r="D187" t="inlineStr">
        <is>
          <t>13</t>
        </is>
      </c>
      <c r="E187" t="inlineStr">
        <is>
          <t>27</t>
        </is>
      </c>
      <c r="F187" t="inlineStr">
        <is>
          <t>C</t>
        </is>
      </c>
      <c r="G187" t="inlineStr">
        <is>
          <t>Average</t>
        </is>
      </c>
      <c r="H187" s="2390" t="n">
        <v>154</v>
      </c>
      <c r="I187">
        <f>B187&amp;"~"&amp;F187&amp;"~"&amp;G187</f>
        <v/>
      </c>
      <c r="J187" t="inlineStr">
        <is>
          <t>13</t>
        </is>
      </c>
      <c r="K187" t="inlineStr">
        <is>
          <t>13</t>
        </is>
      </c>
      <c r="L187" t="inlineStr">
        <is>
          <t>13</t>
        </is>
      </c>
      <c r="M187" t="inlineStr">
        <is>
          <t>MVS Sec.13 p.27</t>
        </is>
      </c>
    </row>
    <row r="188">
      <c r="B188" t="inlineStr">
        <is>
          <t>Discount Stores</t>
        </is>
      </c>
      <c r="C188" t="inlineStr">
        <is>
          <t>319</t>
        </is>
      </c>
      <c r="D188" t="inlineStr">
        <is>
          <t>13</t>
        </is>
      </c>
      <c r="E188" t="inlineStr">
        <is>
          <t>28</t>
        </is>
      </c>
      <c r="F188" t="inlineStr">
        <is>
          <t>A-B</t>
        </is>
      </c>
      <c r="G188" t="inlineStr">
        <is>
          <t>Average</t>
        </is>
      </c>
      <c r="H188" s="2390" t="n">
        <v>121</v>
      </c>
      <c r="I188">
        <f>B188&amp;"~"&amp;F188&amp;"~"&amp;G188</f>
        <v/>
      </c>
      <c r="J188" t="inlineStr">
        <is>
          <t>13</t>
        </is>
      </c>
      <c r="K188" t="inlineStr">
        <is>
          <t>13</t>
        </is>
      </c>
      <c r="L188" t="inlineStr">
        <is>
          <t>13</t>
        </is>
      </c>
      <c r="M188" t="inlineStr">
        <is>
          <t>MVS Sec.13 p.28</t>
        </is>
      </c>
    </row>
    <row r="189">
      <c r="B189" t="inlineStr">
        <is>
          <t>Discount Stores</t>
        </is>
      </c>
      <c r="C189" t="inlineStr">
        <is>
          <t>319</t>
        </is>
      </c>
      <c r="D189" t="inlineStr">
        <is>
          <t>13</t>
        </is>
      </c>
      <c r="E189" t="inlineStr">
        <is>
          <t>28</t>
        </is>
      </c>
      <c r="F189" t="inlineStr">
        <is>
          <t>C</t>
        </is>
      </c>
      <c r="G189" t="inlineStr">
        <is>
          <t>Good</t>
        </is>
      </c>
      <c r="H189" s="2390" t="n">
        <v>118</v>
      </c>
      <c r="I189">
        <f>B189&amp;"~"&amp;F189&amp;"~"&amp;G189</f>
        <v/>
      </c>
      <c r="J189" t="inlineStr">
        <is>
          <t>13</t>
        </is>
      </c>
      <c r="K189" t="inlineStr">
        <is>
          <t>13</t>
        </is>
      </c>
      <c r="L189" t="inlineStr">
        <is>
          <t>13</t>
        </is>
      </c>
      <c r="M189" t="inlineStr">
        <is>
          <t>MVS Sec.13 p.28</t>
        </is>
      </c>
    </row>
    <row r="190">
      <c r="B190" t="inlineStr">
        <is>
          <t>Discount Stores</t>
        </is>
      </c>
      <c r="C190" t="inlineStr">
        <is>
          <t>319</t>
        </is>
      </c>
      <c r="D190" t="inlineStr">
        <is>
          <t>13</t>
        </is>
      </c>
      <c r="E190" t="inlineStr">
        <is>
          <t>28</t>
        </is>
      </c>
      <c r="F190" t="inlineStr">
        <is>
          <t>C</t>
        </is>
      </c>
      <c r="G190" t="inlineStr">
        <is>
          <t>Average</t>
        </is>
      </c>
      <c r="H190" s="2390" t="n">
        <v>94</v>
      </c>
      <c r="I190">
        <f>B190&amp;"~"&amp;F190&amp;"~"&amp;G190</f>
        <v/>
      </c>
      <c r="J190" t="inlineStr">
        <is>
          <t>13</t>
        </is>
      </c>
      <c r="K190" t="inlineStr">
        <is>
          <t>13</t>
        </is>
      </c>
      <c r="L190" t="inlineStr">
        <is>
          <t>13</t>
        </is>
      </c>
      <c r="M190" t="inlineStr">
        <is>
          <t>MVS Sec.13 p.28</t>
        </is>
      </c>
    </row>
    <row r="191">
      <c r="B191" t="inlineStr">
        <is>
          <t>Discount Stores</t>
        </is>
      </c>
      <c r="C191" t="inlineStr">
        <is>
          <t>319</t>
        </is>
      </c>
      <c r="D191" t="inlineStr">
        <is>
          <t>13</t>
        </is>
      </c>
      <c r="E191" t="inlineStr">
        <is>
          <t>28</t>
        </is>
      </c>
      <c r="F191" t="inlineStr">
        <is>
          <t>C</t>
        </is>
      </c>
      <c r="G191" t="inlineStr">
        <is>
          <t>Low Cost</t>
        </is>
      </c>
      <c r="H191" s="2390" t="n">
        <v>72</v>
      </c>
      <c r="I191">
        <f>B191&amp;"~"&amp;F191&amp;"~"&amp;G191</f>
        <v/>
      </c>
      <c r="J191" t="inlineStr">
        <is>
          <t>13</t>
        </is>
      </c>
      <c r="K191" t="inlineStr">
        <is>
          <t>13</t>
        </is>
      </c>
      <c r="L191" t="inlineStr">
        <is>
          <t>13</t>
        </is>
      </c>
      <c r="M191" t="inlineStr">
        <is>
          <t>MVS Sec.13 p.28</t>
        </is>
      </c>
    </row>
    <row r="192">
      <c r="B192" t="inlineStr">
        <is>
          <t>Discount Stores</t>
        </is>
      </c>
      <c r="C192" t="inlineStr">
        <is>
          <t>319</t>
        </is>
      </c>
      <c r="D192" t="inlineStr">
        <is>
          <t>13</t>
        </is>
      </c>
      <c r="E192" t="inlineStr">
        <is>
          <t>28</t>
        </is>
      </c>
      <c r="F192" t="inlineStr">
        <is>
          <t>D</t>
        </is>
      </c>
      <c r="G192" t="inlineStr">
        <is>
          <t>Good</t>
        </is>
      </c>
      <c r="H192" s="2390" t="n">
        <v>111</v>
      </c>
      <c r="I192">
        <f>B192&amp;"~"&amp;F192&amp;"~"&amp;G192</f>
        <v/>
      </c>
      <c r="J192" t="inlineStr">
        <is>
          <t>13</t>
        </is>
      </c>
      <c r="K192" t="inlineStr">
        <is>
          <t>13</t>
        </is>
      </c>
      <c r="L192" t="inlineStr">
        <is>
          <t>13</t>
        </is>
      </c>
      <c r="M192" t="inlineStr">
        <is>
          <t>MVS Sec.13 p.28</t>
        </is>
      </c>
    </row>
    <row r="193">
      <c r="B193" t="inlineStr">
        <is>
          <t>Discount Stores</t>
        </is>
      </c>
      <c r="C193" t="inlineStr">
        <is>
          <t>319</t>
        </is>
      </c>
      <c r="D193" t="inlineStr">
        <is>
          <t>13</t>
        </is>
      </c>
      <c r="E193" t="inlineStr">
        <is>
          <t>28</t>
        </is>
      </c>
      <c r="F193" t="inlineStr">
        <is>
          <t>D</t>
        </is>
      </c>
      <c r="G193" t="inlineStr">
        <is>
          <t>Average</t>
        </is>
      </c>
      <c r="H193" s="2390" t="n">
        <v>87</v>
      </c>
      <c r="I193">
        <f>B193&amp;"~"&amp;F193&amp;"~"&amp;G193</f>
        <v/>
      </c>
      <c r="J193" t="inlineStr">
        <is>
          <t>13</t>
        </is>
      </c>
      <c r="K193" t="inlineStr">
        <is>
          <t>13</t>
        </is>
      </c>
      <c r="L193" t="inlineStr">
        <is>
          <t>13</t>
        </is>
      </c>
      <c r="M193" t="inlineStr">
        <is>
          <t>MVS Sec.13 p.28</t>
        </is>
      </c>
    </row>
    <row r="194">
      <c r="B194" t="inlineStr">
        <is>
          <t>Discount Stores</t>
        </is>
      </c>
      <c r="C194" t="inlineStr">
        <is>
          <t>319</t>
        </is>
      </c>
      <c r="D194" t="inlineStr">
        <is>
          <t>13</t>
        </is>
      </c>
      <c r="E194" t="inlineStr">
        <is>
          <t>28</t>
        </is>
      </c>
      <c r="F194" t="inlineStr">
        <is>
          <t>D</t>
        </is>
      </c>
      <c r="G194" t="inlineStr">
        <is>
          <t>Low Cost</t>
        </is>
      </c>
      <c r="H194" s="2390" t="n">
        <v>65.5</v>
      </c>
      <c r="I194">
        <f>B194&amp;"~"&amp;F194&amp;"~"&amp;G194</f>
        <v/>
      </c>
      <c r="J194" t="inlineStr">
        <is>
          <t>13</t>
        </is>
      </c>
      <c r="K194" t="inlineStr">
        <is>
          <t>13</t>
        </is>
      </c>
      <c r="L194" t="inlineStr">
        <is>
          <t>13</t>
        </is>
      </c>
      <c r="M194" t="inlineStr">
        <is>
          <t>MVS Sec.13 p.28</t>
        </is>
      </c>
    </row>
    <row r="195">
      <c r="B195" t="inlineStr">
        <is>
          <t>Discount Stores</t>
        </is>
      </c>
      <c r="C195" t="inlineStr">
        <is>
          <t>319</t>
        </is>
      </c>
      <c r="D195" t="inlineStr">
        <is>
          <t>13</t>
        </is>
      </c>
      <c r="E195" t="inlineStr">
        <is>
          <t>28</t>
        </is>
      </c>
      <c r="F195" t="inlineStr">
        <is>
          <t>DPOLE</t>
        </is>
      </c>
      <c r="G195" t="inlineStr">
        <is>
          <t>Low Cost</t>
        </is>
      </c>
      <c r="H195" s="2390" t="n">
        <v>59</v>
      </c>
      <c r="I195">
        <f>B195&amp;"~"&amp;F195&amp;"~"&amp;G195</f>
        <v/>
      </c>
      <c r="J195" t="inlineStr">
        <is>
          <t>13</t>
        </is>
      </c>
      <c r="K195" t="inlineStr">
        <is>
          <t>13</t>
        </is>
      </c>
      <c r="L195" t="inlineStr">
        <is>
          <t>13</t>
        </is>
      </c>
      <c r="M195" t="inlineStr">
        <is>
          <t>MVS Sec.13 p.28</t>
        </is>
      </c>
    </row>
    <row r="196">
      <c r="B196" t="inlineStr">
        <is>
          <t>Discount Stores</t>
        </is>
      </c>
      <c r="C196" t="inlineStr">
        <is>
          <t>319</t>
        </is>
      </c>
      <c r="D196" t="inlineStr">
        <is>
          <t>13</t>
        </is>
      </c>
      <c r="E196" t="inlineStr">
        <is>
          <t>28</t>
        </is>
      </c>
      <c r="F196" t="inlineStr">
        <is>
          <t>S</t>
        </is>
      </c>
      <c r="G196" t="inlineStr">
        <is>
          <t>Good</t>
        </is>
      </c>
      <c r="H196" s="2390" t="n">
        <v>111</v>
      </c>
      <c r="I196">
        <f>B196&amp;"~"&amp;F196&amp;"~"&amp;G196</f>
        <v/>
      </c>
      <c r="J196" t="inlineStr">
        <is>
          <t>13</t>
        </is>
      </c>
      <c r="K196" t="inlineStr">
        <is>
          <t>13</t>
        </is>
      </c>
      <c r="L196" t="inlineStr">
        <is>
          <t>13</t>
        </is>
      </c>
      <c r="M196" t="inlineStr">
        <is>
          <t>MVS Sec.13 p.28</t>
        </is>
      </c>
    </row>
    <row r="197">
      <c r="B197" t="inlineStr">
        <is>
          <t>Discount Stores</t>
        </is>
      </c>
      <c r="C197" t="inlineStr">
        <is>
          <t>319</t>
        </is>
      </c>
      <c r="D197" t="inlineStr">
        <is>
          <t>13</t>
        </is>
      </c>
      <c r="E197" t="inlineStr">
        <is>
          <t>28</t>
        </is>
      </c>
      <c r="F197" t="inlineStr">
        <is>
          <t>S</t>
        </is>
      </c>
      <c r="G197" t="inlineStr">
        <is>
          <t>Average</t>
        </is>
      </c>
      <c r="H197" s="2390" t="n">
        <v>85</v>
      </c>
      <c r="I197">
        <f>B197&amp;"~"&amp;F197&amp;"~"&amp;G197</f>
        <v/>
      </c>
      <c r="J197" t="inlineStr">
        <is>
          <t>13</t>
        </is>
      </c>
      <c r="K197" t="inlineStr">
        <is>
          <t>13</t>
        </is>
      </c>
      <c r="L197" t="inlineStr">
        <is>
          <t>13</t>
        </is>
      </c>
      <c r="M197" t="inlineStr">
        <is>
          <t>MVS Sec.13 p.28</t>
        </is>
      </c>
    </row>
    <row r="198">
      <c r="B198" t="inlineStr">
        <is>
          <t>Discount Stores</t>
        </is>
      </c>
      <c r="C198" t="inlineStr">
        <is>
          <t>319</t>
        </is>
      </c>
      <c r="D198" t="inlineStr">
        <is>
          <t>13</t>
        </is>
      </c>
      <c r="E198" t="inlineStr">
        <is>
          <t>28</t>
        </is>
      </c>
      <c r="F198" t="inlineStr">
        <is>
          <t>S</t>
        </is>
      </c>
      <c r="G198" t="inlineStr">
        <is>
          <t>Low Cost</t>
        </is>
      </c>
      <c r="H198" s="2390" t="n">
        <v>63</v>
      </c>
      <c r="I198">
        <f>B198&amp;"~"&amp;F198&amp;"~"&amp;G198</f>
        <v/>
      </c>
      <c r="J198" t="inlineStr">
        <is>
          <t>13</t>
        </is>
      </c>
      <c r="K198" t="inlineStr">
        <is>
          <t>13</t>
        </is>
      </c>
      <c r="L198" t="inlineStr">
        <is>
          <t>13</t>
        </is>
      </c>
      <c r="M198" t="inlineStr">
        <is>
          <t>MVS Sec.13 p.28</t>
        </is>
      </c>
    </row>
    <row r="199">
      <c r="B199" t="inlineStr">
        <is>
          <t>Office Buildings</t>
        </is>
      </c>
      <c r="C199" t="inlineStr">
        <is>
          <t>344</t>
        </is>
      </c>
      <c r="D199" t="inlineStr">
        <is>
          <t>15</t>
        </is>
      </c>
      <c r="E199" t="inlineStr">
        <is>
          <t>17</t>
        </is>
      </c>
      <c r="F199" t="inlineStr">
        <is>
          <t>A</t>
        </is>
      </c>
      <c r="G199" t="inlineStr">
        <is>
          <t>Excellent</t>
        </is>
      </c>
      <c r="H199" s="2390" t="n">
        <v>404</v>
      </c>
      <c r="I199">
        <f>B199&amp;"~"&amp;F199&amp;"~"&amp;G199</f>
        <v/>
      </c>
      <c r="J199" t="inlineStr">
        <is>
          <t>15</t>
        </is>
      </c>
      <c r="K199" t="inlineStr">
        <is>
          <t>15</t>
        </is>
      </c>
      <c r="L199" t="inlineStr">
        <is>
          <t>15</t>
        </is>
      </c>
      <c r="M199" t="inlineStr">
        <is>
          <t>MVS Sec.15 p.17</t>
        </is>
      </c>
    </row>
    <row r="200">
      <c r="B200" t="inlineStr">
        <is>
          <t>Office Buildings</t>
        </is>
      </c>
      <c r="C200" t="inlineStr">
        <is>
          <t>344</t>
        </is>
      </c>
      <c r="D200" t="inlineStr">
        <is>
          <t>15</t>
        </is>
      </c>
      <c r="E200" t="inlineStr">
        <is>
          <t>17</t>
        </is>
      </c>
      <c r="F200" t="inlineStr">
        <is>
          <t>A</t>
        </is>
      </c>
      <c r="G200" t="inlineStr">
        <is>
          <t>Good</t>
        </is>
      </c>
      <c r="H200" s="2390" t="n">
        <v>320</v>
      </c>
      <c r="I200">
        <f>B200&amp;"~"&amp;F200&amp;"~"&amp;G200</f>
        <v/>
      </c>
      <c r="J200" t="inlineStr">
        <is>
          <t>15</t>
        </is>
      </c>
      <c r="K200" t="inlineStr">
        <is>
          <t>15</t>
        </is>
      </c>
      <c r="L200" t="inlineStr">
        <is>
          <t>15</t>
        </is>
      </c>
      <c r="M200" t="inlineStr">
        <is>
          <t>MVS Sec.15 p.17</t>
        </is>
      </c>
    </row>
    <row r="201">
      <c r="B201" t="inlineStr">
        <is>
          <t>Office Buildings</t>
        </is>
      </c>
      <c r="C201" t="inlineStr">
        <is>
          <t>344</t>
        </is>
      </c>
      <c r="D201" t="inlineStr">
        <is>
          <t>15</t>
        </is>
      </c>
      <c r="E201" t="inlineStr">
        <is>
          <t>17</t>
        </is>
      </c>
      <c r="F201" t="inlineStr">
        <is>
          <t>A</t>
        </is>
      </c>
      <c r="G201" t="inlineStr">
        <is>
          <t>Average</t>
        </is>
      </c>
      <c r="H201" s="2390" t="n">
        <v>241</v>
      </c>
      <c r="I201">
        <f>B201&amp;"~"&amp;F201&amp;"~"&amp;G201</f>
        <v/>
      </c>
      <c r="J201" t="inlineStr">
        <is>
          <t>15</t>
        </is>
      </c>
      <c r="K201" t="inlineStr">
        <is>
          <t>15</t>
        </is>
      </c>
      <c r="L201" t="inlineStr">
        <is>
          <t>15</t>
        </is>
      </c>
      <c r="M201" t="inlineStr">
        <is>
          <t>MVS Sec.15 p.17</t>
        </is>
      </c>
    </row>
    <row r="202">
      <c r="B202" t="inlineStr">
        <is>
          <t>Office Buildings</t>
        </is>
      </c>
      <c r="C202" t="inlineStr">
        <is>
          <t>344</t>
        </is>
      </c>
      <c r="D202" t="inlineStr">
        <is>
          <t>15</t>
        </is>
      </c>
      <c r="E202" t="inlineStr">
        <is>
          <t>17</t>
        </is>
      </c>
      <c r="F202" t="inlineStr">
        <is>
          <t>A</t>
        </is>
      </c>
      <c r="G202" t="inlineStr">
        <is>
          <t>Low Cost</t>
        </is>
      </c>
      <c r="H202" s="2390" t="n">
        <v>192</v>
      </c>
      <c r="I202">
        <f>B202&amp;"~"&amp;F202&amp;"~"&amp;G202</f>
        <v/>
      </c>
      <c r="J202" t="inlineStr">
        <is>
          <t>15</t>
        </is>
      </c>
      <c r="K202" t="inlineStr">
        <is>
          <t>15</t>
        </is>
      </c>
      <c r="L202" t="inlineStr">
        <is>
          <t>15</t>
        </is>
      </c>
      <c r="M202" t="inlineStr">
        <is>
          <t>MVS Sec.15 p.17</t>
        </is>
      </c>
    </row>
    <row r="203">
      <c r="B203" t="inlineStr">
        <is>
          <t>Office Buildings</t>
        </is>
      </c>
      <c r="C203" t="inlineStr">
        <is>
          <t>344</t>
        </is>
      </c>
      <c r="D203" t="inlineStr">
        <is>
          <t>15</t>
        </is>
      </c>
      <c r="E203" t="inlineStr">
        <is>
          <t>17</t>
        </is>
      </c>
      <c r="F203" t="inlineStr">
        <is>
          <t>B</t>
        </is>
      </c>
      <c r="G203" t="inlineStr">
        <is>
          <t>Excellent</t>
        </is>
      </c>
      <c r="H203" s="2390" t="n">
        <v>372</v>
      </c>
      <c r="I203">
        <f>B203&amp;"~"&amp;F203&amp;"~"&amp;G203</f>
        <v/>
      </c>
      <c r="J203" t="inlineStr">
        <is>
          <t>15</t>
        </is>
      </c>
      <c r="K203" t="inlineStr">
        <is>
          <t>15</t>
        </is>
      </c>
      <c r="L203" t="inlineStr">
        <is>
          <t>15</t>
        </is>
      </c>
      <c r="M203" t="inlineStr">
        <is>
          <t>MVS Sec.15 p.17</t>
        </is>
      </c>
    </row>
    <row r="204">
      <c r="B204" t="inlineStr">
        <is>
          <t>Office Buildings</t>
        </is>
      </c>
      <c r="C204" t="inlineStr">
        <is>
          <t>344</t>
        </is>
      </c>
      <c r="D204" t="inlineStr">
        <is>
          <t>15</t>
        </is>
      </c>
      <c r="E204" t="inlineStr">
        <is>
          <t>17</t>
        </is>
      </c>
      <c r="F204" t="inlineStr">
        <is>
          <t>B</t>
        </is>
      </c>
      <c r="G204" t="inlineStr">
        <is>
          <t>Good</t>
        </is>
      </c>
      <c r="H204" s="2390" t="n">
        <v>293</v>
      </c>
      <c r="I204">
        <f>B204&amp;"~"&amp;F204&amp;"~"&amp;G204</f>
        <v/>
      </c>
      <c r="J204" t="inlineStr">
        <is>
          <t>15</t>
        </is>
      </c>
      <c r="K204" t="inlineStr">
        <is>
          <t>15</t>
        </is>
      </c>
      <c r="L204" t="inlineStr">
        <is>
          <t>15</t>
        </is>
      </c>
      <c r="M204" t="inlineStr">
        <is>
          <t>MVS Sec.15 p.17</t>
        </is>
      </c>
    </row>
    <row r="205">
      <c r="B205" t="inlineStr">
        <is>
          <t>Office Buildings</t>
        </is>
      </c>
      <c r="C205" t="inlineStr">
        <is>
          <t>344</t>
        </is>
      </c>
      <c r="D205" t="inlineStr">
        <is>
          <t>15</t>
        </is>
      </c>
      <c r="E205" t="inlineStr">
        <is>
          <t>17</t>
        </is>
      </c>
      <c r="F205" t="inlineStr">
        <is>
          <t>B</t>
        </is>
      </c>
      <c r="G205" t="inlineStr">
        <is>
          <t>Average</t>
        </is>
      </c>
      <c r="H205" s="2390" t="n">
        <v>219</v>
      </c>
      <c r="I205">
        <f>B205&amp;"~"&amp;F205&amp;"~"&amp;G205</f>
        <v/>
      </c>
      <c r="J205" t="inlineStr">
        <is>
          <t>15</t>
        </is>
      </c>
      <c r="K205" t="inlineStr">
        <is>
          <t>15</t>
        </is>
      </c>
      <c r="L205" t="inlineStr">
        <is>
          <t>15</t>
        </is>
      </c>
      <c r="M205" t="inlineStr">
        <is>
          <t>MVS Sec.15 p.17</t>
        </is>
      </c>
    </row>
    <row r="206">
      <c r="B206" t="inlineStr">
        <is>
          <t>Office Buildings</t>
        </is>
      </c>
      <c r="C206" t="inlineStr">
        <is>
          <t>344</t>
        </is>
      </c>
      <c r="D206" t="inlineStr">
        <is>
          <t>15</t>
        </is>
      </c>
      <c r="E206" t="inlineStr">
        <is>
          <t>17</t>
        </is>
      </c>
      <c r="F206" t="inlineStr">
        <is>
          <t>B</t>
        </is>
      </c>
      <c r="G206" t="inlineStr">
        <is>
          <t>Low Cost</t>
        </is>
      </c>
      <c r="H206" s="2390" t="n">
        <v>173</v>
      </c>
      <c r="I206">
        <f>B206&amp;"~"&amp;F206&amp;"~"&amp;G206</f>
        <v/>
      </c>
      <c r="J206" t="inlineStr">
        <is>
          <t>15</t>
        </is>
      </c>
      <c r="K206" t="inlineStr">
        <is>
          <t>15</t>
        </is>
      </c>
      <c r="L206" t="inlineStr">
        <is>
          <t>15</t>
        </is>
      </c>
      <c r="M206" t="inlineStr">
        <is>
          <t>MVS Sec.15 p.17</t>
        </is>
      </c>
    </row>
    <row r="207">
      <c r="B207" t="inlineStr">
        <is>
          <t>Office Buildings</t>
        </is>
      </c>
      <c r="C207" t="inlineStr">
        <is>
          <t>344</t>
        </is>
      </c>
      <c r="D207" t="inlineStr">
        <is>
          <t>15</t>
        </is>
      </c>
      <c r="E207" t="inlineStr">
        <is>
          <t>17</t>
        </is>
      </c>
      <c r="F207" t="inlineStr">
        <is>
          <t>C</t>
        </is>
      </c>
      <c r="G207" t="inlineStr">
        <is>
          <t>Excellent</t>
        </is>
      </c>
      <c r="H207" s="2390" t="n">
        <v>317</v>
      </c>
      <c r="I207">
        <f>B207&amp;"~"&amp;F207&amp;"~"&amp;G207</f>
        <v/>
      </c>
      <c r="J207" t="inlineStr">
        <is>
          <t>15</t>
        </is>
      </c>
      <c r="K207" t="inlineStr">
        <is>
          <t>15</t>
        </is>
      </c>
      <c r="L207" t="inlineStr">
        <is>
          <t>15</t>
        </is>
      </c>
      <c r="M207" t="inlineStr">
        <is>
          <t>MVS Sec.15 p.17</t>
        </is>
      </c>
    </row>
    <row r="208">
      <c r="B208" t="inlineStr">
        <is>
          <t>Office Buildings</t>
        </is>
      </c>
      <c r="C208" t="inlineStr">
        <is>
          <t>344</t>
        </is>
      </c>
      <c r="D208" t="inlineStr">
        <is>
          <t>15</t>
        </is>
      </c>
      <c r="E208" t="inlineStr">
        <is>
          <t>17</t>
        </is>
      </c>
      <c r="F208" t="inlineStr">
        <is>
          <t>C</t>
        </is>
      </c>
      <c r="G208" t="inlineStr">
        <is>
          <t>Good</t>
        </is>
      </c>
      <c r="H208" s="2390" t="n">
        <v>221</v>
      </c>
      <c r="I208">
        <f>B208&amp;"~"&amp;F208&amp;"~"&amp;G208</f>
        <v/>
      </c>
      <c r="J208" t="inlineStr">
        <is>
          <t>15</t>
        </is>
      </c>
      <c r="K208" t="inlineStr">
        <is>
          <t>15</t>
        </is>
      </c>
      <c r="L208" t="inlineStr">
        <is>
          <t>15</t>
        </is>
      </c>
      <c r="M208" t="inlineStr">
        <is>
          <t>MVS Sec.15 p.17</t>
        </is>
      </c>
    </row>
    <row r="209">
      <c r="B209" t="inlineStr">
        <is>
          <t>Office Buildings</t>
        </is>
      </c>
      <c r="C209" t="inlineStr">
        <is>
          <t>344</t>
        </is>
      </c>
      <c r="D209" t="inlineStr">
        <is>
          <t>15</t>
        </is>
      </c>
      <c r="E209" t="inlineStr">
        <is>
          <t>17</t>
        </is>
      </c>
      <c r="F209" t="inlineStr">
        <is>
          <t>C</t>
        </is>
      </c>
      <c r="G209" t="inlineStr">
        <is>
          <t>Average</t>
        </is>
      </c>
      <c r="H209" s="2390" t="n">
        <v>157</v>
      </c>
      <c r="I209">
        <f>B209&amp;"~"&amp;F209&amp;"~"&amp;G209</f>
        <v/>
      </c>
      <c r="J209" t="inlineStr">
        <is>
          <t>15</t>
        </is>
      </c>
      <c r="K209" t="inlineStr">
        <is>
          <t>15</t>
        </is>
      </c>
      <c r="L209" t="inlineStr">
        <is>
          <t>15</t>
        </is>
      </c>
      <c r="M209" t="inlineStr">
        <is>
          <t>MVS Sec.15 p.17</t>
        </is>
      </c>
    </row>
    <row r="210">
      <c r="B210" t="inlineStr">
        <is>
          <t>Office Buildings</t>
        </is>
      </c>
      <c r="C210" t="inlineStr">
        <is>
          <t>344</t>
        </is>
      </c>
      <c r="D210" t="inlineStr">
        <is>
          <t>15</t>
        </is>
      </c>
      <c r="E210" t="inlineStr">
        <is>
          <t>17</t>
        </is>
      </c>
      <c r="F210" t="inlineStr">
        <is>
          <t>C</t>
        </is>
      </c>
      <c r="G210" t="inlineStr">
        <is>
          <t>Low Cost</t>
        </is>
      </c>
      <c r="H210" s="2390" t="n">
        <v>106</v>
      </c>
      <c r="I210">
        <f>B210&amp;"~"&amp;F210&amp;"~"&amp;G210</f>
        <v/>
      </c>
      <c r="J210" t="inlineStr">
        <is>
          <t>15</t>
        </is>
      </c>
      <c r="K210" t="inlineStr">
        <is>
          <t>15</t>
        </is>
      </c>
      <c r="L210" t="inlineStr">
        <is>
          <t>15</t>
        </is>
      </c>
      <c r="M210" t="inlineStr">
        <is>
          <t>MVS Sec.15 p.17</t>
        </is>
      </c>
    </row>
    <row r="211">
      <c r="B211" t="inlineStr">
        <is>
          <t>Office Buildings</t>
        </is>
      </c>
      <c r="C211" t="inlineStr">
        <is>
          <t>344</t>
        </is>
      </c>
      <c r="D211" t="inlineStr">
        <is>
          <t>15</t>
        </is>
      </c>
      <c r="E211" t="inlineStr">
        <is>
          <t>17</t>
        </is>
      </c>
      <c r="F211" t="inlineStr">
        <is>
          <t>D</t>
        </is>
      </c>
      <c r="G211" t="inlineStr">
        <is>
          <t>Excellent</t>
        </is>
      </c>
      <c r="H211" s="2390" t="n">
        <v>302</v>
      </c>
      <c r="I211">
        <f>B211&amp;"~"&amp;F211&amp;"~"&amp;G211</f>
        <v/>
      </c>
      <c r="J211" t="inlineStr">
        <is>
          <t>15</t>
        </is>
      </c>
      <c r="K211" t="inlineStr">
        <is>
          <t>15</t>
        </is>
      </c>
      <c r="L211" t="inlineStr">
        <is>
          <t>15</t>
        </is>
      </c>
      <c r="M211" t="inlineStr">
        <is>
          <t>MVS Sec.15 p.17</t>
        </is>
      </c>
    </row>
    <row r="212">
      <c r="B212" t="inlineStr">
        <is>
          <t>Office Buildings</t>
        </is>
      </c>
      <c r="C212" t="inlineStr">
        <is>
          <t>344</t>
        </is>
      </c>
      <c r="D212" t="inlineStr">
        <is>
          <t>15</t>
        </is>
      </c>
      <c r="E212" t="inlineStr">
        <is>
          <t>17</t>
        </is>
      </c>
      <c r="F212" t="inlineStr">
        <is>
          <t>D</t>
        </is>
      </c>
      <c r="G212" t="inlineStr">
        <is>
          <t>Good</t>
        </is>
      </c>
      <c r="H212" s="2390" t="n">
        <v>210</v>
      </c>
      <c r="I212">
        <f>B212&amp;"~"&amp;F212&amp;"~"&amp;G212</f>
        <v/>
      </c>
      <c r="J212" t="inlineStr">
        <is>
          <t>15</t>
        </is>
      </c>
      <c r="K212" t="inlineStr">
        <is>
          <t>15</t>
        </is>
      </c>
      <c r="L212" t="inlineStr">
        <is>
          <t>15</t>
        </is>
      </c>
      <c r="M212" t="inlineStr">
        <is>
          <t>MVS Sec.15 p.17</t>
        </is>
      </c>
    </row>
    <row r="213">
      <c r="B213" t="inlineStr">
        <is>
          <t>Office Buildings</t>
        </is>
      </c>
      <c r="C213" t="inlineStr">
        <is>
          <t>344</t>
        </is>
      </c>
      <c r="D213" t="inlineStr">
        <is>
          <t>15</t>
        </is>
      </c>
      <c r="E213" t="inlineStr">
        <is>
          <t>17</t>
        </is>
      </c>
      <c r="F213" t="inlineStr">
        <is>
          <t>D</t>
        </is>
      </c>
      <c r="G213" t="inlineStr">
        <is>
          <t>Average</t>
        </is>
      </c>
      <c r="H213" s="2390" t="n">
        <v>149</v>
      </c>
      <c r="I213">
        <f>B213&amp;"~"&amp;F213&amp;"~"&amp;G213</f>
        <v/>
      </c>
      <c r="J213" t="inlineStr">
        <is>
          <t>15</t>
        </is>
      </c>
      <c r="K213" t="inlineStr">
        <is>
          <t>15</t>
        </is>
      </c>
      <c r="L213" t="inlineStr">
        <is>
          <t>15</t>
        </is>
      </c>
      <c r="M213" t="inlineStr">
        <is>
          <t>MVS Sec.15 p.17</t>
        </is>
      </c>
    </row>
    <row r="214">
      <c r="B214" t="inlineStr">
        <is>
          <t>Office Buildings</t>
        </is>
      </c>
      <c r="C214" t="inlineStr">
        <is>
          <t>344</t>
        </is>
      </c>
      <c r="D214" t="inlineStr">
        <is>
          <t>15</t>
        </is>
      </c>
      <c r="E214" t="inlineStr">
        <is>
          <t>17</t>
        </is>
      </c>
      <c r="F214" t="inlineStr">
        <is>
          <t>D</t>
        </is>
      </c>
      <c r="G214" t="inlineStr">
        <is>
          <t>Low Cost</t>
        </is>
      </c>
      <c r="H214" s="2390" t="n">
        <v>99.5</v>
      </c>
      <c r="I214">
        <f>B214&amp;"~"&amp;F214&amp;"~"&amp;G214</f>
        <v/>
      </c>
      <c r="J214" t="inlineStr">
        <is>
          <t>15</t>
        </is>
      </c>
      <c r="K214" t="inlineStr">
        <is>
          <t>15</t>
        </is>
      </c>
      <c r="L214" t="inlineStr">
        <is>
          <t>15</t>
        </is>
      </c>
      <c r="M214" t="inlineStr">
        <is>
          <t>MVS Sec.15 p.17</t>
        </is>
      </c>
    </row>
    <row r="215">
      <c r="B215" t="inlineStr">
        <is>
          <t>Office Buildings</t>
        </is>
      </c>
      <c r="C215" t="inlineStr">
        <is>
          <t>344</t>
        </is>
      </c>
      <c r="D215" t="inlineStr">
        <is>
          <t>15</t>
        </is>
      </c>
      <c r="E215" t="inlineStr">
        <is>
          <t>17</t>
        </is>
      </c>
      <c r="F215" t="inlineStr">
        <is>
          <t>DPOLE</t>
        </is>
      </c>
      <c r="G215" t="inlineStr">
        <is>
          <t>Good</t>
        </is>
      </c>
      <c r="H215" s="2390" t="n">
        <v>198</v>
      </c>
      <c r="I215">
        <f>B215&amp;"~"&amp;F215&amp;"~"&amp;G215</f>
        <v/>
      </c>
      <c r="J215" t="inlineStr">
        <is>
          <t>15</t>
        </is>
      </c>
      <c r="K215" t="inlineStr">
        <is>
          <t>15</t>
        </is>
      </c>
      <c r="L215" t="inlineStr">
        <is>
          <t>15</t>
        </is>
      </c>
      <c r="M215" t="inlineStr">
        <is>
          <t>MVS Sec.15 p.17</t>
        </is>
      </c>
    </row>
    <row r="216">
      <c r="B216" t="inlineStr">
        <is>
          <t>Office Buildings</t>
        </is>
      </c>
      <c r="C216" t="inlineStr">
        <is>
          <t>344</t>
        </is>
      </c>
      <c r="D216" t="inlineStr">
        <is>
          <t>15</t>
        </is>
      </c>
      <c r="E216" t="inlineStr">
        <is>
          <t>17</t>
        </is>
      </c>
      <c r="F216" t="inlineStr">
        <is>
          <t>DPOLE</t>
        </is>
      </c>
      <c r="G216" t="inlineStr">
        <is>
          <t>Average</t>
        </is>
      </c>
      <c r="H216" s="2390" t="n">
        <v>135</v>
      </c>
      <c r="I216">
        <f>B216&amp;"~"&amp;F216&amp;"~"&amp;G216</f>
        <v/>
      </c>
      <c r="J216" t="inlineStr">
        <is>
          <t>15</t>
        </is>
      </c>
      <c r="K216" t="inlineStr">
        <is>
          <t>15</t>
        </is>
      </c>
      <c r="L216" t="inlineStr">
        <is>
          <t>15</t>
        </is>
      </c>
      <c r="M216" t="inlineStr">
        <is>
          <t>MVS Sec.15 p.17</t>
        </is>
      </c>
    </row>
    <row r="217">
      <c r="B217" t="inlineStr">
        <is>
          <t>Office Buildings</t>
        </is>
      </c>
      <c r="C217" t="inlineStr">
        <is>
          <t>344</t>
        </is>
      </c>
      <c r="D217" t="inlineStr">
        <is>
          <t>15</t>
        </is>
      </c>
      <c r="E217" t="inlineStr">
        <is>
          <t>17</t>
        </is>
      </c>
      <c r="F217" t="inlineStr">
        <is>
          <t>DPOLE</t>
        </is>
      </c>
      <c r="G217" t="inlineStr">
        <is>
          <t>Low Cost</t>
        </is>
      </c>
      <c r="H217" s="2390" t="n">
        <v>91.5</v>
      </c>
      <c r="I217">
        <f>B217&amp;"~"&amp;F217&amp;"~"&amp;G217</f>
        <v/>
      </c>
      <c r="J217" t="inlineStr">
        <is>
          <t>15</t>
        </is>
      </c>
      <c r="K217" t="inlineStr">
        <is>
          <t>15</t>
        </is>
      </c>
      <c r="L217" t="inlineStr">
        <is>
          <t>15</t>
        </is>
      </c>
      <c r="M217" t="inlineStr">
        <is>
          <t>MVS Sec.15 p.17</t>
        </is>
      </c>
    </row>
    <row r="218">
      <c r="B218" t="inlineStr">
        <is>
          <t>Office Buildings</t>
        </is>
      </c>
      <c r="C218" t="inlineStr">
        <is>
          <t>344</t>
        </is>
      </c>
      <c r="D218" t="inlineStr">
        <is>
          <t>15</t>
        </is>
      </c>
      <c r="E218" t="inlineStr">
        <is>
          <t>17</t>
        </is>
      </c>
      <c r="F218" t="inlineStr">
        <is>
          <t>S</t>
        </is>
      </c>
      <c r="G218" t="inlineStr">
        <is>
          <t>Good</t>
        </is>
      </c>
      <c r="H218" s="2390" t="n">
        <v>203</v>
      </c>
      <c r="I218">
        <f>B218&amp;"~"&amp;F218&amp;"~"&amp;G218</f>
        <v/>
      </c>
      <c r="J218" t="inlineStr">
        <is>
          <t>15</t>
        </is>
      </c>
      <c r="K218" t="inlineStr">
        <is>
          <t>15</t>
        </is>
      </c>
      <c r="L218" t="inlineStr">
        <is>
          <t>15</t>
        </is>
      </c>
      <c r="M218" t="inlineStr">
        <is>
          <t>MVS Sec.15 p.17</t>
        </is>
      </c>
    </row>
    <row r="219">
      <c r="B219" t="inlineStr">
        <is>
          <t>Office Buildings</t>
        </is>
      </c>
      <c r="C219" t="inlineStr">
        <is>
          <t>344</t>
        </is>
      </c>
      <c r="D219" t="inlineStr">
        <is>
          <t>15</t>
        </is>
      </c>
      <c r="E219" t="inlineStr">
        <is>
          <t>17</t>
        </is>
      </c>
      <c r="F219" t="inlineStr">
        <is>
          <t>S</t>
        </is>
      </c>
      <c r="G219" t="inlineStr">
        <is>
          <t>Average</t>
        </is>
      </c>
      <c r="H219" s="2390" t="n">
        <v>140</v>
      </c>
      <c r="I219">
        <f>B219&amp;"~"&amp;F219&amp;"~"&amp;G219</f>
        <v/>
      </c>
      <c r="J219" t="inlineStr">
        <is>
          <t>15</t>
        </is>
      </c>
      <c r="K219" t="inlineStr">
        <is>
          <t>15</t>
        </is>
      </c>
      <c r="L219" t="inlineStr">
        <is>
          <t>15</t>
        </is>
      </c>
      <c r="M219" t="inlineStr">
        <is>
          <t>MVS Sec.15 p.17</t>
        </is>
      </c>
    </row>
    <row r="220">
      <c r="B220" t="inlineStr">
        <is>
          <t>Office Buildings</t>
        </is>
      </c>
      <c r="C220" t="inlineStr">
        <is>
          <t>344</t>
        </is>
      </c>
      <c r="D220" t="inlineStr">
        <is>
          <t>15</t>
        </is>
      </c>
      <c r="E220" t="inlineStr">
        <is>
          <t>17</t>
        </is>
      </c>
      <c r="F220" t="inlineStr">
        <is>
          <t>S</t>
        </is>
      </c>
      <c r="G220" t="inlineStr">
        <is>
          <t>Low Cost</t>
        </is>
      </c>
      <c r="H220" s="2390" t="n">
        <v>94.5</v>
      </c>
      <c r="I220">
        <f>B220&amp;"~"&amp;F220&amp;"~"&amp;G220</f>
        <v/>
      </c>
      <c r="J220" t="inlineStr">
        <is>
          <t>15</t>
        </is>
      </c>
      <c r="K220" t="inlineStr">
        <is>
          <t>15</t>
        </is>
      </c>
      <c r="L220" t="inlineStr">
        <is>
          <t>15</t>
        </is>
      </c>
      <c r="M220" t="inlineStr">
        <is>
          <t>MVS Sec.15 p.17</t>
        </is>
      </c>
    </row>
    <row r="221">
      <c r="B221" t="inlineStr">
        <is>
          <t>Medical Office Buildings</t>
        </is>
      </c>
      <c r="C221" t="inlineStr">
        <is>
          <t>341</t>
        </is>
      </c>
      <c r="D221" t="inlineStr">
        <is>
          <t>15</t>
        </is>
      </c>
      <c r="E221" t="inlineStr">
        <is>
          <t>22</t>
        </is>
      </c>
      <c r="F221" t="inlineStr">
        <is>
          <t>A</t>
        </is>
      </c>
      <c r="G221" t="inlineStr">
        <is>
          <t>Excellent</t>
        </is>
      </c>
      <c r="H221" s="2390" t="n">
        <v>438</v>
      </c>
      <c r="I221">
        <f>B221&amp;"~"&amp;F221&amp;"~"&amp;G221</f>
        <v/>
      </c>
      <c r="J221" t="inlineStr">
        <is>
          <t>15</t>
        </is>
      </c>
      <c r="K221" t="inlineStr">
        <is>
          <t>15</t>
        </is>
      </c>
      <c r="L221" t="inlineStr">
        <is>
          <t>15</t>
        </is>
      </c>
      <c r="M221" t="inlineStr">
        <is>
          <t>MVS Sec.15 p.22</t>
        </is>
      </c>
    </row>
    <row r="222">
      <c r="B222" t="inlineStr">
        <is>
          <t>Medical Office Buildings</t>
        </is>
      </c>
      <c r="C222" t="inlineStr">
        <is>
          <t>341</t>
        </is>
      </c>
      <c r="D222" t="inlineStr">
        <is>
          <t>15</t>
        </is>
      </c>
      <c r="E222" t="inlineStr">
        <is>
          <t>22</t>
        </is>
      </c>
      <c r="F222" t="inlineStr">
        <is>
          <t>A</t>
        </is>
      </c>
      <c r="G222" t="inlineStr">
        <is>
          <t>Good</t>
        </is>
      </c>
      <c r="H222" s="2390" t="n">
        <v>351</v>
      </c>
      <c r="I222">
        <f>B222&amp;"~"&amp;F222&amp;"~"&amp;G222</f>
        <v/>
      </c>
      <c r="J222" t="inlineStr">
        <is>
          <t>15</t>
        </is>
      </c>
      <c r="K222" t="inlineStr">
        <is>
          <t>15</t>
        </is>
      </c>
      <c r="L222" t="inlineStr">
        <is>
          <t>15</t>
        </is>
      </c>
      <c r="M222" t="inlineStr">
        <is>
          <t>MVS Sec.15 p.22</t>
        </is>
      </c>
    </row>
    <row r="223">
      <c r="B223" t="inlineStr">
        <is>
          <t>Medical Office Buildings</t>
        </is>
      </c>
      <c r="C223" t="inlineStr">
        <is>
          <t>341</t>
        </is>
      </c>
      <c r="D223" t="inlineStr">
        <is>
          <t>15</t>
        </is>
      </c>
      <c r="E223" t="inlineStr">
        <is>
          <t>22</t>
        </is>
      </c>
      <c r="F223" t="inlineStr">
        <is>
          <t>A</t>
        </is>
      </c>
      <c r="G223" t="inlineStr">
        <is>
          <t>Average</t>
        </is>
      </c>
      <c r="H223" s="2390" t="n">
        <v>270</v>
      </c>
      <c r="I223">
        <f>B223&amp;"~"&amp;F223&amp;"~"&amp;G223</f>
        <v/>
      </c>
      <c r="J223" t="inlineStr">
        <is>
          <t>15</t>
        </is>
      </c>
      <c r="K223" t="inlineStr">
        <is>
          <t>15</t>
        </is>
      </c>
      <c r="L223" t="inlineStr">
        <is>
          <t>15</t>
        </is>
      </c>
      <c r="M223" t="inlineStr">
        <is>
          <t>MVS Sec.15 p.22</t>
        </is>
      </c>
    </row>
    <row r="224">
      <c r="B224" t="inlineStr">
        <is>
          <t>Medical Office Buildings</t>
        </is>
      </c>
      <c r="C224" t="inlineStr">
        <is>
          <t>341</t>
        </is>
      </c>
      <c r="D224" t="inlineStr">
        <is>
          <t>15</t>
        </is>
      </c>
      <c r="E224" t="inlineStr">
        <is>
          <t>22</t>
        </is>
      </c>
      <c r="F224" t="inlineStr">
        <is>
          <t>A</t>
        </is>
      </c>
      <c r="G224" t="inlineStr">
        <is>
          <t>Low Cost</t>
        </is>
      </c>
      <c r="H224" s="2390" t="n">
        <v>207</v>
      </c>
      <c r="I224">
        <f>B224&amp;"~"&amp;F224&amp;"~"&amp;G224</f>
        <v/>
      </c>
      <c r="J224" t="inlineStr">
        <is>
          <t>15</t>
        </is>
      </c>
      <c r="K224" t="inlineStr">
        <is>
          <t>15</t>
        </is>
      </c>
      <c r="L224" t="inlineStr">
        <is>
          <t>15</t>
        </is>
      </c>
      <c r="M224" t="inlineStr">
        <is>
          <t>MVS Sec.15 p.22</t>
        </is>
      </c>
    </row>
    <row r="225">
      <c r="B225" t="inlineStr">
        <is>
          <t>Medical Office Buildings</t>
        </is>
      </c>
      <c r="C225" t="inlineStr">
        <is>
          <t>341</t>
        </is>
      </c>
      <c r="D225" t="inlineStr">
        <is>
          <t>15</t>
        </is>
      </c>
      <c r="E225" t="inlineStr">
        <is>
          <t>22</t>
        </is>
      </c>
      <c r="F225" t="inlineStr">
        <is>
          <t>B</t>
        </is>
      </c>
      <c r="G225" t="inlineStr">
        <is>
          <t>Excellent</t>
        </is>
      </c>
      <c r="H225" s="2390" t="n">
        <v>402</v>
      </c>
      <c r="I225">
        <f>B225&amp;"~"&amp;F225&amp;"~"&amp;G225</f>
        <v/>
      </c>
      <c r="J225" t="inlineStr">
        <is>
          <t>15</t>
        </is>
      </c>
      <c r="K225" t="inlineStr">
        <is>
          <t>15</t>
        </is>
      </c>
      <c r="L225" t="inlineStr">
        <is>
          <t>15</t>
        </is>
      </c>
      <c r="M225" t="inlineStr">
        <is>
          <t>MVS Sec.15 p.22</t>
        </is>
      </c>
    </row>
    <row r="226">
      <c r="B226" t="inlineStr">
        <is>
          <t>Medical Office Buildings</t>
        </is>
      </c>
      <c r="C226" t="inlineStr">
        <is>
          <t>341</t>
        </is>
      </c>
      <c r="D226" t="inlineStr">
        <is>
          <t>15</t>
        </is>
      </c>
      <c r="E226" t="inlineStr">
        <is>
          <t>22</t>
        </is>
      </c>
      <c r="F226" t="inlineStr">
        <is>
          <t>B</t>
        </is>
      </c>
      <c r="G226" t="inlineStr">
        <is>
          <t>Good</t>
        </is>
      </c>
      <c r="H226" s="2390" t="n">
        <v>322</v>
      </c>
      <c r="I226">
        <f>B226&amp;"~"&amp;F226&amp;"~"&amp;G226</f>
        <v/>
      </c>
      <c r="J226" t="inlineStr">
        <is>
          <t>15</t>
        </is>
      </c>
      <c r="K226" t="inlineStr">
        <is>
          <t>15</t>
        </is>
      </c>
      <c r="L226" t="inlineStr">
        <is>
          <t>15</t>
        </is>
      </c>
      <c r="M226" t="inlineStr">
        <is>
          <t>MVS Sec.15 p.22</t>
        </is>
      </c>
    </row>
    <row r="227">
      <c r="B227" t="inlineStr">
        <is>
          <t>Medical Office Buildings</t>
        </is>
      </c>
      <c r="C227" t="inlineStr">
        <is>
          <t>341</t>
        </is>
      </c>
      <c r="D227" t="inlineStr">
        <is>
          <t>15</t>
        </is>
      </c>
      <c r="E227" t="inlineStr">
        <is>
          <t>22</t>
        </is>
      </c>
      <c r="F227" t="inlineStr">
        <is>
          <t>B</t>
        </is>
      </c>
      <c r="G227" t="inlineStr">
        <is>
          <t>Average</t>
        </is>
      </c>
      <c r="H227" s="2390" t="n">
        <v>246</v>
      </c>
      <c r="I227">
        <f>B227&amp;"~"&amp;F227&amp;"~"&amp;G227</f>
        <v/>
      </c>
      <c r="J227" t="inlineStr">
        <is>
          <t>15</t>
        </is>
      </c>
      <c r="K227" t="inlineStr">
        <is>
          <t>15</t>
        </is>
      </c>
      <c r="L227" t="inlineStr">
        <is>
          <t>15</t>
        </is>
      </c>
      <c r="M227" t="inlineStr">
        <is>
          <t>MVS Sec.15 p.22</t>
        </is>
      </c>
    </row>
    <row r="228">
      <c r="B228" t="inlineStr">
        <is>
          <t>Medical Office Buildings</t>
        </is>
      </c>
      <c r="C228" t="inlineStr">
        <is>
          <t>341</t>
        </is>
      </c>
      <c r="D228" t="inlineStr">
        <is>
          <t>15</t>
        </is>
      </c>
      <c r="E228" t="inlineStr">
        <is>
          <t>22</t>
        </is>
      </c>
      <c r="F228" t="inlineStr">
        <is>
          <t>B</t>
        </is>
      </c>
      <c r="G228" t="inlineStr">
        <is>
          <t>Low Cost</t>
        </is>
      </c>
      <c r="H228" s="2390" t="n">
        <v>187</v>
      </c>
      <c r="I228">
        <f>B228&amp;"~"&amp;F228&amp;"~"&amp;G228</f>
        <v/>
      </c>
      <c r="J228" t="inlineStr">
        <is>
          <t>15</t>
        </is>
      </c>
      <c r="K228" t="inlineStr">
        <is>
          <t>15</t>
        </is>
      </c>
      <c r="L228" t="inlineStr">
        <is>
          <t>15</t>
        </is>
      </c>
      <c r="M228" t="inlineStr">
        <is>
          <t>MVS Sec.15 p.22</t>
        </is>
      </c>
    </row>
    <row r="229">
      <c r="B229" t="inlineStr">
        <is>
          <t>Medical Office Buildings</t>
        </is>
      </c>
      <c r="C229" t="inlineStr">
        <is>
          <t>341</t>
        </is>
      </c>
      <c r="D229" t="inlineStr">
        <is>
          <t>15</t>
        </is>
      </c>
      <c r="E229" t="inlineStr">
        <is>
          <t>22</t>
        </is>
      </c>
      <c r="F229" t="inlineStr">
        <is>
          <t>C</t>
        </is>
      </c>
      <c r="G229" t="inlineStr">
        <is>
          <t>Excellent</t>
        </is>
      </c>
      <c r="H229" s="2390" t="n">
        <v>344</v>
      </c>
      <c r="I229">
        <f>B229&amp;"~"&amp;F229&amp;"~"&amp;G229</f>
        <v/>
      </c>
      <c r="J229" t="inlineStr">
        <is>
          <t>15</t>
        </is>
      </c>
      <c r="K229" t="inlineStr">
        <is>
          <t>15</t>
        </is>
      </c>
      <c r="L229" t="inlineStr">
        <is>
          <t>15</t>
        </is>
      </c>
      <c r="M229" t="inlineStr">
        <is>
          <t>MVS Sec.15 p.22</t>
        </is>
      </c>
    </row>
    <row r="230">
      <c r="B230" t="inlineStr">
        <is>
          <t>Medical Office Buildings</t>
        </is>
      </c>
      <c r="C230" t="inlineStr">
        <is>
          <t>341</t>
        </is>
      </c>
      <c r="D230" t="inlineStr">
        <is>
          <t>15</t>
        </is>
      </c>
      <c r="E230" t="inlineStr">
        <is>
          <t>22</t>
        </is>
      </c>
      <c r="F230" t="inlineStr">
        <is>
          <t>C</t>
        </is>
      </c>
      <c r="G230" t="inlineStr">
        <is>
          <t>Good</t>
        </is>
      </c>
      <c r="H230" s="2390" t="n">
        <v>261</v>
      </c>
      <c r="I230">
        <f>B230&amp;"~"&amp;F230&amp;"~"&amp;G230</f>
        <v/>
      </c>
      <c r="J230" t="inlineStr">
        <is>
          <t>15</t>
        </is>
      </c>
      <c r="K230" t="inlineStr">
        <is>
          <t>15</t>
        </is>
      </c>
      <c r="L230" t="inlineStr">
        <is>
          <t>15</t>
        </is>
      </c>
      <c r="M230" t="inlineStr">
        <is>
          <t>MVS Sec.15 p.22</t>
        </is>
      </c>
    </row>
    <row r="231">
      <c r="B231" t="inlineStr">
        <is>
          <t>Medical Office Buildings</t>
        </is>
      </c>
      <c r="C231" t="inlineStr">
        <is>
          <t>341</t>
        </is>
      </c>
      <c r="D231" t="inlineStr">
        <is>
          <t>15</t>
        </is>
      </c>
      <c r="E231" t="inlineStr">
        <is>
          <t>22</t>
        </is>
      </c>
      <c r="F231" t="inlineStr">
        <is>
          <t>C</t>
        </is>
      </c>
      <c r="G231" t="inlineStr">
        <is>
          <t>Average</t>
        </is>
      </c>
      <c r="H231" s="2390" t="n">
        <v>198</v>
      </c>
      <c r="I231">
        <f>B231&amp;"~"&amp;F231&amp;"~"&amp;G231</f>
        <v/>
      </c>
      <c r="J231" t="inlineStr">
        <is>
          <t>15</t>
        </is>
      </c>
      <c r="K231" t="inlineStr">
        <is>
          <t>15</t>
        </is>
      </c>
      <c r="L231" t="inlineStr">
        <is>
          <t>15</t>
        </is>
      </c>
      <c r="M231" t="inlineStr">
        <is>
          <t>MVS Sec.15 p.22</t>
        </is>
      </c>
    </row>
    <row r="232">
      <c r="B232" t="inlineStr">
        <is>
          <t>Medical Office Buildings</t>
        </is>
      </c>
      <c r="C232" t="inlineStr">
        <is>
          <t>341</t>
        </is>
      </c>
      <c r="D232" t="inlineStr">
        <is>
          <t>15</t>
        </is>
      </c>
      <c r="E232" t="inlineStr">
        <is>
          <t>22</t>
        </is>
      </c>
      <c r="F232" t="inlineStr">
        <is>
          <t>C</t>
        </is>
      </c>
      <c r="G232" t="inlineStr">
        <is>
          <t>Low Cost</t>
        </is>
      </c>
      <c r="H232" s="2390" t="n">
        <v>150</v>
      </c>
      <c r="I232">
        <f>B232&amp;"~"&amp;F232&amp;"~"&amp;G232</f>
        <v/>
      </c>
      <c r="J232" t="inlineStr">
        <is>
          <t>15</t>
        </is>
      </c>
      <c r="K232" t="inlineStr">
        <is>
          <t>15</t>
        </is>
      </c>
      <c r="L232" t="inlineStr">
        <is>
          <t>15</t>
        </is>
      </c>
      <c r="M232" t="inlineStr">
        <is>
          <t>MVS Sec.15 p.22</t>
        </is>
      </c>
    </row>
    <row r="233">
      <c r="B233" t="inlineStr">
        <is>
          <t>Medical Office Buildings</t>
        </is>
      </c>
      <c r="C233" t="inlineStr">
        <is>
          <t>341</t>
        </is>
      </c>
      <c r="D233" t="inlineStr">
        <is>
          <t>15</t>
        </is>
      </c>
      <c r="E233" t="inlineStr">
        <is>
          <t>22</t>
        </is>
      </c>
      <c r="F233" t="inlineStr">
        <is>
          <t>D</t>
        </is>
      </c>
      <c r="G233" t="inlineStr">
        <is>
          <t>Excellent</t>
        </is>
      </c>
      <c r="H233" s="2390" t="n">
        <v>314</v>
      </c>
      <c r="I233">
        <f>B233&amp;"~"&amp;F233&amp;"~"&amp;G233</f>
        <v/>
      </c>
      <c r="J233" t="inlineStr">
        <is>
          <t>15</t>
        </is>
      </c>
      <c r="K233" t="inlineStr">
        <is>
          <t>15</t>
        </is>
      </c>
      <c r="L233" t="inlineStr">
        <is>
          <t>15</t>
        </is>
      </c>
      <c r="M233" t="inlineStr">
        <is>
          <t>MVS Sec.15 p.22</t>
        </is>
      </c>
    </row>
    <row r="234">
      <c r="B234" t="inlineStr">
        <is>
          <t>Medical Office Buildings</t>
        </is>
      </c>
      <c r="C234" t="inlineStr">
        <is>
          <t>341</t>
        </is>
      </c>
      <c r="D234" t="inlineStr">
        <is>
          <t>15</t>
        </is>
      </c>
      <c r="E234" t="inlineStr">
        <is>
          <t>22</t>
        </is>
      </c>
      <c r="F234" t="inlineStr">
        <is>
          <t>D</t>
        </is>
      </c>
      <c r="G234" t="inlineStr">
        <is>
          <t>Good</t>
        </is>
      </c>
      <c r="H234" s="2390" t="n">
        <v>249</v>
      </c>
      <c r="I234">
        <f>B234&amp;"~"&amp;F234&amp;"~"&amp;G234</f>
        <v/>
      </c>
      <c r="J234" t="inlineStr">
        <is>
          <t>15</t>
        </is>
      </c>
      <c r="K234" t="inlineStr">
        <is>
          <t>15</t>
        </is>
      </c>
      <c r="L234" t="inlineStr">
        <is>
          <t>15</t>
        </is>
      </c>
      <c r="M234" t="inlineStr">
        <is>
          <t>MVS Sec.15 p.22</t>
        </is>
      </c>
    </row>
    <row r="235">
      <c r="B235" t="inlineStr">
        <is>
          <t>Medical Office Buildings</t>
        </is>
      </c>
      <c r="C235" t="inlineStr">
        <is>
          <t>341</t>
        </is>
      </c>
      <c r="D235" t="inlineStr">
        <is>
          <t>15</t>
        </is>
      </c>
      <c r="E235" t="inlineStr">
        <is>
          <t>22</t>
        </is>
      </c>
      <c r="F235" t="inlineStr">
        <is>
          <t>D</t>
        </is>
      </c>
      <c r="G235" t="inlineStr">
        <is>
          <t>Average</t>
        </is>
      </c>
      <c r="H235" s="2390" t="n">
        <v>189</v>
      </c>
      <c r="I235">
        <f>B235&amp;"~"&amp;F235&amp;"~"&amp;G235</f>
        <v/>
      </c>
      <c r="J235" t="inlineStr">
        <is>
          <t>15</t>
        </is>
      </c>
      <c r="K235" t="inlineStr">
        <is>
          <t>15</t>
        </is>
      </c>
      <c r="L235" t="inlineStr">
        <is>
          <t>15</t>
        </is>
      </c>
      <c r="M235" t="inlineStr">
        <is>
          <t>MVS Sec.15 p.22</t>
        </is>
      </c>
    </row>
    <row r="236">
      <c r="B236" t="inlineStr">
        <is>
          <t>Medical Office Buildings</t>
        </is>
      </c>
      <c r="C236" t="inlineStr">
        <is>
          <t>341</t>
        </is>
      </c>
      <c r="D236" t="inlineStr">
        <is>
          <t>15</t>
        </is>
      </c>
      <c r="E236" t="inlineStr">
        <is>
          <t>22</t>
        </is>
      </c>
      <c r="F236" t="inlineStr">
        <is>
          <t>D</t>
        </is>
      </c>
      <c r="G236" t="inlineStr">
        <is>
          <t>Low Cost</t>
        </is>
      </c>
      <c r="H236" s="2390" t="n">
        <v>144</v>
      </c>
      <c r="I236">
        <f>B236&amp;"~"&amp;F236&amp;"~"&amp;G236</f>
        <v/>
      </c>
      <c r="J236" t="inlineStr">
        <is>
          <t>15</t>
        </is>
      </c>
      <c r="K236" t="inlineStr">
        <is>
          <t>15</t>
        </is>
      </c>
      <c r="L236" t="inlineStr">
        <is>
          <t>15</t>
        </is>
      </c>
      <c r="M236" t="inlineStr">
        <is>
          <t>MVS Sec.15 p.22</t>
        </is>
      </c>
    </row>
    <row r="237">
      <c r="B237" t="inlineStr">
        <is>
          <t>Medical Office Buildings</t>
        </is>
      </c>
      <c r="C237" t="inlineStr">
        <is>
          <t>341</t>
        </is>
      </c>
      <c r="D237" t="inlineStr">
        <is>
          <t>15</t>
        </is>
      </c>
      <c r="E237" t="inlineStr">
        <is>
          <t>22</t>
        </is>
      </c>
      <c r="F237" t="inlineStr">
        <is>
          <t>DPOLE</t>
        </is>
      </c>
      <c r="G237" t="inlineStr">
        <is>
          <t>Low Cost</t>
        </is>
      </c>
      <c r="H237" s="2390" t="n">
        <v>132</v>
      </c>
      <c r="I237">
        <f>B237&amp;"~"&amp;F237&amp;"~"&amp;G237</f>
        <v/>
      </c>
      <c r="J237" t="inlineStr">
        <is>
          <t>15</t>
        </is>
      </c>
      <c r="K237" t="inlineStr">
        <is>
          <t>15</t>
        </is>
      </c>
      <c r="L237" t="inlineStr">
        <is>
          <t>15</t>
        </is>
      </c>
      <c r="M237" t="inlineStr">
        <is>
          <t>MVS Sec.15 p.22</t>
        </is>
      </c>
    </row>
    <row r="238">
      <c r="B238" t="inlineStr">
        <is>
          <t>Medical Office Buildings</t>
        </is>
      </c>
      <c r="C238" t="inlineStr">
        <is>
          <t>341</t>
        </is>
      </c>
      <c r="D238" t="inlineStr">
        <is>
          <t>15</t>
        </is>
      </c>
      <c r="E238" t="inlineStr">
        <is>
          <t>22</t>
        </is>
      </c>
      <c r="F238" t="inlineStr">
        <is>
          <t>S</t>
        </is>
      </c>
      <c r="G238" t="inlineStr">
        <is>
          <t>Good</t>
        </is>
      </c>
      <c r="H238" s="2390" t="n">
        <v>242</v>
      </c>
      <c r="I238">
        <f>B238&amp;"~"&amp;F238&amp;"~"&amp;G238</f>
        <v/>
      </c>
      <c r="J238" t="inlineStr">
        <is>
          <t>15</t>
        </is>
      </c>
      <c r="K238" t="inlineStr">
        <is>
          <t>15</t>
        </is>
      </c>
      <c r="L238" t="inlineStr">
        <is>
          <t>15</t>
        </is>
      </c>
      <c r="M238" t="inlineStr">
        <is>
          <t>MVS Sec.15 p.22</t>
        </is>
      </c>
    </row>
    <row r="239">
      <c r="B239" t="inlineStr">
        <is>
          <t>Medical Office Buildings</t>
        </is>
      </c>
      <c r="C239" t="inlineStr">
        <is>
          <t>341</t>
        </is>
      </c>
      <c r="D239" t="inlineStr">
        <is>
          <t>15</t>
        </is>
      </c>
      <c r="E239" t="inlineStr">
        <is>
          <t>22</t>
        </is>
      </c>
      <c r="F239" t="inlineStr">
        <is>
          <t>S</t>
        </is>
      </c>
      <c r="G239" t="inlineStr">
        <is>
          <t>Average</t>
        </is>
      </c>
      <c r="H239" s="2390" t="n">
        <v>177</v>
      </c>
      <c r="I239">
        <f>B239&amp;"~"&amp;F239&amp;"~"&amp;G239</f>
        <v/>
      </c>
      <c r="J239" t="inlineStr">
        <is>
          <t>15</t>
        </is>
      </c>
      <c r="K239" t="inlineStr">
        <is>
          <t>15</t>
        </is>
      </c>
      <c r="L239" t="inlineStr">
        <is>
          <t>15</t>
        </is>
      </c>
      <c r="M239" t="inlineStr">
        <is>
          <t>MVS Sec.15 p.22</t>
        </is>
      </c>
    </row>
    <row r="240">
      <c r="B240" t="inlineStr">
        <is>
          <t>Medical Office Buildings</t>
        </is>
      </c>
      <c r="C240" t="inlineStr">
        <is>
          <t>341</t>
        </is>
      </c>
      <c r="D240" t="inlineStr">
        <is>
          <t>15</t>
        </is>
      </c>
      <c r="E240" t="inlineStr">
        <is>
          <t>22</t>
        </is>
      </c>
      <c r="F240" t="inlineStr">
        <is>
          <t>S</t>
        </is>
      </c>
      <c r="G240" t="inlineStr">
        <is>
          <t>Low Cost</t>
        </is>
      </c>
      <c r="H240" s="2390" t="n">
        <v>135</v>
      </c>
      <c r="I240">
        <f>B240&amp;"~"&amp;F240&amp;"~"&amp;G240</f>
        <v/>
      </c>
      <c r="J240" t="inlineStr">
        <is>
          <t>15</t>
        </is>
      </c>
      <c r="K240" t="inlineStr">
        <is>
          <t>15</t>
        </is>
      </c>
      <c r="L240" t="inlineStr">
        <is>
          <t>15</t>
        </is>
      </c>
      <c r="M240" t="inlineStr">
        <is>
          <t>MVS Sec.15 p.22</t>
        </is>
      </c>
    </row>
    <row r="241">
      <c r="B241" t="inlineStr">
        <is>
          <t>Banks, Branch</t>
        </is>
      </c>
      <c r="C241" t="inlineStr">
        <is>
          <t>304</t>
        </is>
      </c>
      <c r="D241" t="inlineStr">
        <is>
          <t>15</t>
        </is>
      </c>
      <c r="E241" t="inlineStr">
        <is>
          <t>21</t>
        </is>
      </c>
      <c r="F241" t="inlineStr">
        <is>
          <t>A</t>
        </is>
      </c>
      <c r="G241" t="inlineStr">
        <is>
          <t>Good</t>
        </is>
      </c>
      <c r="H241" s="2390" t="n">
        <v>416</v>
      </c>
      <c r="I241">
        <f>B241&amp;"~"&amp;F241&amp;"~"&amp;G241</f>
        <v/>
      </c>
      <c r="J241" t="inlineStr">
        <is>
          <t>15</t>
        </is>
      </c>
      <c r="K241" t="inlineStr">
        <is>
          <t>15</t>
        </is>
      </c>
      <c r="L241" t="inlineStr">
        <is>
          <t>15</t>
        </is>
      </c>
      <c r="M241" t="inlineStr">
        <is>
          <t>MVS Sec.15 p.21</t>
        </is>
      </c>
    </row>
    <row r="242">
      <c r="B242" t="inlineStr">
        <is>
          <t>Banks, Branch</t>
        </is>
      </c>
      <c r="C242" t="inlineStr">
        <is>
          <t>304</t>
        </is>
      </c>
      <c r="D242" t="inlineStr">
        <is>
          <t>15</t>
        </is>
      </c>
      <c r="E242" t="inlineStr">
        <is>
          <t>21</t>
        </is>
      </c>
      <c r="F242" t="inlineStr">
        <is>
          <t>A</t>
        </is>
      </c>
      <c r="G242" t="inlineStr">
        <is>
          <t>Average</t>
        </is>
      </c>
      <c r="H242" s="2390" t="n">
        <v>327</v>
      </c>
      <c r="I242">
        <f>B242&amp;"~"&amp;F242&amp;"~"&amp;G242</f>
        <v/>
      </c>
      <c r="J242" t="inlineStr">
        <is>
          <t>15</t>
        </is>
      </c>
      <c r="K242" t="inlineStr">
        <is>
          <t>15</t>
        </is>
      </c>
      <c r="L242" t="inlineStr">
        <is>
          <t>15</t>
        </is>
      </c>
      <c r="M242" t="inlineStr">
        <is>
          <t>MVS Sec.15 p.21</t>
        </is>
      </c>
    </row>
    <row r="243">
      <c r="B243" t="inlineStr">
        <is>
          <t>Banks, Branch</t>
        </is>
      </c>
      <c r="C243" t="inlineStr">
        <is>
          <t>304</t>
        </is>
      </c>
      <c r="D243" t="inlineStr">
        <is>
          <t>15</t>
        </is>
      </c>
      <c r="E243" t="inlineStr">
        <is>
          <t>21</t>
        </is>
      </c>
      <c r="F243" t="inlineStr">
        <is>
          <t>A</t>
        </is>
      </c>
      <c r="G243" t="inlineStr">
        <is>
          <t>Low Cost</t>
        </is>
      </c>
      <c r="H243" s="2390" t="n">
        <v>260</v>
      </c>
      <c r="I243">
        <f>B243&amp;"~"&amp;F243&amp;"~"&amp;G243</f>
        <v/>
      </c>
      <c r="J243" t="inlineStr">
        <is>
          <t>15</t>
        </is>
      </c>
      <c r="K243" t="inlineStr">
        <is>
          <t>15</t>
        </is>
      </c>
      <c r="L243" t="inlineStr">
        <is>
          <t>15</t>
        </is>
      </c>
      <c r="M243" t="inlineStr">
        <is>
          <t>MVS Sec.15 p.21</t>
        </is>
      </c>
    </row>
    <row r="244">
      <c r="B244" t="inlineStr">
        <is>
          <t>Banks, Branch</t>
        </is>
      </c>
      <c r="C244" t="inlineStr">
        <is>
          <t>304</t>
        </is>
      </c>
      <c r="D244" t="inlineStr">
        <is>
          <t>15</t>
        </is>
      </c>
      <c r="E244" t="inlineStr">
        <is>
          <t>21</t>
        </is>
      </c>
      <c r="F244" t="inlineStr">
        <is>
          <t>B</t>
        </is>
      </c>
      <c r="G244" t="inlineStr">
        <is>
          <t>Good</t>
        </is>
      </c>
      <c r="H244" s="2390" t="n">
        <v>378</v>
      </c>
      <c r="I244">
        <f>B244&amp;"~"&amp;F244&amp;"~"&amp;G244</f>
        <v/>
      </c>
      <c r="J244" t="inlineStr">
        <is>
          <t>15</t>
        </is>
      </c>
      <c r="K244" t="inlineStr">
        <is>
          <t>15</t>
        </is>
      </c>
      <c r="L244" t="inlineStr">
        <is>
          <t>15</t>
        </is>
      </c>
      <c r="M244" t="inlineStr">
        <is>
          <t>MVS Sec.15 p.21</t>
        </is>
      </c>
    </row>
    <row r="245">
      <c r="B245" t="inlineStr">
        <is>
          <t>Banks, Branch</t>
        </is>
      </c>
      <c r="C245" t="inlineStr">
        <is>
          <t>304</t>
        </is>
      </c>
      <c r="D245" t="inlineStr">
        <is>
          <t>15</t>
        </is>
      </c>
      <c r="E245" t="inlineStr">
        <is>
          <t>21</t>
        </is>
      </c>
      <c r="F245" t="inlineStr">
        <is>
          <t>B</t>
        </is>
      </c>
      <c r="G245" t="inlineStr">
        <is>
          <t>Average</t>
        </is>
      </c>
      <c r="H245" s="2390" t="n">
        <v>296</v>
      </c>
      <c r="I245">
        <f>B245&amp;"~"&amp;F245&amp;"~"&amp;G245</f>
        <v/>
      </c>
      <c r="J245" t="inlineStr">
        <is>
          <t>15</t>
        </is>
      </c>
      <c r="K245" t="inlineStr">
        <is>
          <t>15</t>
        </is>
      </c>
      <c r="L245" t="inlineStr">
        <is>
          <t>15</t>
        </is>
      </c>
      <c r="M245" t="inlineStr">
        <is>
          <t>MVS Sec.15 p.21</t>
        </is>
      </c>
    </row>
    <row r="246">
      <c r="B246" t="inlineStr">
        <is>
          <t>Banks, Branch</t>
        </is>
      </c>
      <c r="C246" t="inlineStr">
        <is>
          <t>304</t>
        </is>
      </c>
      <c r="D246" t="inlineStr">
        <is>
          <t>15</t>
        </is>
      </c>
      <c r="E246" t="inlineStr">
        <is>
          <t>21</t>
        </is>
      </c>
      <c r="F246" t="inlineStr">
        <is>
          <t>B</t>
        </is>
      </c>
      <c r="G246" t="inlineStr">
        <is>
          <t>Low Cost</t>
        </is>
      </c>
      <c r="H246" s="2390" t="n">
        <v>234</v>
      </c>
      <c r="I246">
        <f>B246&amp;"~"&amp;F246&amp;"~"&amp;G246</f>
        <v/>
      </c>
      <c r="J246" t="inlineStr">
        <is>
          <t>15</t>
        </is>
      </c>
      <c r="K246" t="inlineStr">
        <is>
          <t>15</t>
        </is>
      </c>
      <c r="L246" t="inlineStr">
        <is>
          <t>15</t>
        </is>
      </c>
      <c r="M246" t="inlineStr">
        <is>
          <t>MVS Sec.15 p.21</t>
        </is>
      </c>
    </row>
    <row r="247">
      <c r="B247" t="inlineStr">
        <is>
          <t>Banks, Branch</t>
        </is>
      </c>
      <c r="C247" t="inlineStr">
        <is>
          <t>304</t>
        </is>
      </c>
      <c r="D247" t="inlineStr">
        <is>
          <t>15</t>
        </is>
      </c>
      <c r="E247" t="inlineStr">
        <is>
          <t>21</t>
        </is>
      </c>
      <c r="F247" t="inlineStr">
        <is>
          <t>C</t>
        </is>
      </c>
      <c r="G247" t="inlineStr">
        <is>
          <t>Excellent</t>
        </is>
      </c>
      <c r="H247" s="2390" t="n">
        <v>448</v>
      </c>
      <c r="I247">
        <f>B247&amp;"~"&amp;F247&amp;"~"&amp;G247</f>
        <v/>
      </c>
      <c r="J247" t="inlineStr">
        <is>
          <t>15</t>
        </is>
      </c>
      <c r="K247" t="inlineStr">
        <is>
          <t>15</t>
        </is>
      </c>
      <c r="L247" t="inlineStr">
        <is>
          <t>15</t>
        </is>
      </c>
      <c r="M247" t="inlineStr">
        <is>
          <t>MVS Sec.15 p.21</t>
        </is>
      </c>
    </row>
    <row r="248">
      <c r="B248" t="inlineStr">
        <is>
          <t>Banks, Branch</t>
        </is>
      </c>
      <c r="C248" t="inlineStr">
        <is>
          <t>304</t>
        </is>
      </c>
      <c r="D248" t="inlineStr">
        <is>
          <t>15</t>
        </is>
      </c>
      <c r="E248" t="inlineStr">
        <is>
          <t>21</t>
        </is>
      </c>
      <c r="F248" t="inlineStr">
        <is>
          <t>C</t>
        </is>
      </c>
      <c r="G248" t="inlineStr">
        <is>
          <t>Good</t>
        </is>
      </c>
      <c r="H248" s="2390" t="n">
        <v>326</v>
      </c>
      <c r="I248">
        <f>B248&amp;"~"&amp;F248&amp;"~"&amp;G248</f>
        <v/>
      </c>
      <c r="J248" t="inlineStr">
        <is>
          <t>15</t>
        </is>
      </c>
      <c r="K248" t="inlineStr">
        <is>
          <t>15</t>
        </is>
      </c>
      <c r="L248" t="inlineStr">
        <is>
          <t>15</t>
        </is>
      </c>
      <c r="M248" t="inlineStr">
        <is>
          <t>MVS Sec.15 p.21</t>
        </is>
      </c>
    </row>
    <row r="249">
      <c r="B249" t="inlineStr">
        <is>
          <t>Banks, Branch</t>
        </is>
      </c>
      <c r="C249" t="inlineStr">
        <is>
          <t>304</t>
        </is>
      </c>
      <c r="D249" t="inlineStr">
        <is>
          <t>15</t>
        </is>
      </c>
      <c r="E249" t="inlineStr">
        <is>
          <t>21</t>
        </is>
      </c>
      <c r="F249" t="inlineStr">
        <is>
          <t>C</t>
        </is>
      </c>
      <c r="G249" t="inlineStr">
        <is>
          <t>Average</t>
        </is>
      </c>
      <c r="H249" s="2390" t="n">
        <v>236</v>
      </c>
      <c r="I249">
        <f>B249&amp;"~"&amp;F249&amp;"~"&amp;G249</f>
        <v/>
      </c>
      <c r="J249" t="inlineStr">
        <is>
          <t>15</t>
        </is>
      </c>
      <c r="K249" t="inlineStr">
        <is>
          <t>15</t>
        </is>
      </c>
      <c r="L249" t="inlineStr">
        <is>
          <t>15</t>
        </is>
      </c>
      <c r="M249" t="inlineStr">
        <is>
          <t>MVS Sec.15 p.21</t>
        </is>
      </c>
    </row>
    <row r="250">
      <c r="B250" t="inlineStr">
        <is>
          <t>Banks, Branch</t>
        </is>
      </c>
      <c r="C250" t="inlineStr">
        <is>
          <t>304</t>
        </is>
      </c>
      <c r="D250" t="inlineStr">
        <is>
          <t>15</t>
        </is>
      </c>
      <c r="E250" t="inlineStr">
        <is>
          <t>21</t>
        </is>
      </c>
      <c r="F250" t="inlineStr">
        <is>
          <t>C</t>
        </is>
      </c>
      <c r="G250" t="inlineStr">
        <is>
          <t>Low Cost</t>
        </is>
      </c>
      <c r="H250" s="2390" t="n">
        <v>177</v>
      </c>
      <c r="I250">
        <f>B250&amp;"~"&amp;F250&amp;"~"&amp;G250</f>
        <v/>
      </c>
      <c r="J250" t="inlineStr">
        <is>
          <t>15</t>
        </is>
      </c>
      <c r="K250" t="inlineStr">
        <is>
          <t>15</t>
        </is>
      </c>
      <c r="L250" t="inlineStr">
        <is>
          <t>15</t>
        </is>
      </c>
      <c r="M250" t="inlineStr">
        <is>
          <t>MVS Sec.15 p.21</t>
        </is>
      </c>
    </row>
    <row r="251">
      <c r="B251" t="inlineStr">
        <is>
          <t>Banks, Branch</t>
        </is>
      </c>
      <c r="C251" t="inlineStr">
        <is>
          <t>304</t>
        </is>
      </c>
      <c r="D251" t="inlineStr">
        <is>
          <t>15</t>
        </is>
      </c>
      <c r="E251" t="inlineStr">
        <is>
          <t>21</t>
        </is>
      </c>
      <c r="F251" t="inlineStr">
        <is>
          <t>D</t>
        </is>
      </c>
      <c r="G251" t="inlineStr">
        <is>
          <t>Excellent</t>
        </is>
      </c>
      <c r="H251" s="2390" t="n">
        <v>423</v>
      </c>
      <c r="I251">
        <f>B251&amp;"~"&amp;F251&amp;"~"&amp;G251</f>
        <v/>
      </c>
      <c r="J251" t="inlineStr">
        <is>
          <t>15</t>
        </is>
      </c>
      <c r="K251" t="inlineStr">
        <is>
          <t>15</t>
        </is>
      </c>
      <c r="L251" t="inlineStr">
        <is>
          <t>15</t>
        </is>
      </c>
      <c r="M251" t="inlineStr">
        <is>
          <t>MVS Sec.15 p.21</t>
        </is>
      </c>
    </row>
    <row r="252">
      <c r="B252" t="inlineStr">
        <is>
          <t>Banks, Branch</t>
        </is>
      </c>
      <c r="C252" t="inlineStr">
        <is>
          <t>304</t>
        </is>
      </c>
      <c r="D252" t="inlineStr">
        <is>
          <t>15</t>
        </is>
      </c>
      <c r="E252" t="inlineStr">
        <is>
          <t>21</t>
        </is>
      </c>
      <c r="F252" t="inlineStr">
        <is>
          <t>D</t>
        </is>
      </c>
      <c r="G252" t="inlineStr">
        <is>
          <t>Good</t>
        </is>
      </c>
      <c r="H252" s="2390" t="n">
        <v>308</v>
      </c>
      <c r="I252">
        <f>B252&amp;"~"&amp;F252&amp;"~"&amp;G252</f>
        <v/>
      </c>
      <c r="J252" t="inlineStr">
        <is>
          <t>15</t>
        </is>
      </c>
      <c r="K252" t="inlineStr">
        <is>
          <t>15</t>
        </is>
      </c>
      <c r="L252" t="inlineStr">
        <is>
          <t>15</t>
        </is>
      </c>
      <c r="M252" t="inlineStr">
        <is>
          <t>MVS Sec.15 p.21</t>
        </is>
      </c>
    </row>
    <row r="253">
      <c r="B253" t="inlineStr">
        <is>
          <t>Banks, Branch</t>
        </is>
      </c>
      <c r="C253" t="inlineStr">
        <is>
          <t>304</t>
        </is>
      </c>
      <c r="D253" t="inlineStr">
        <is>
          <t>15</t>
        </is>
      </c>
      <c r="E253" t="inlineStr">
        <is>
          <t>21</t>
        </is>
      </c>
      <c r="F253" t="inlineStr">
        <is>
          <t>D</t>
        </is>
      </c>
      <c r="G253" t="inlineStr">
        <is>
          <t>Average</t>
        </is>
      </c>
      <c r="H253" s="2390" t="n">
        <v>223</v>
      </c>
      <c r="I253">
        <f>B253&amp;"~"&amp;F253&amp;"~"&amp;G253</f>
        <v/>
      </c>
      <c r="J253" t="inlineStr">
        <is>
          <t>15</t>
        </is>
      </c>
      <c r="K253" t="inlineStr">
        <is>
          <t>15</t>
        </is>
      </c>
      <c r="L253" t="inlineStr">
        <is>
          <t>15</t>
        </is>
      </c>
      <c r="M253" t="inlineStr">
        <is>
          <t>MVS Sec.15 p.21</t>
        </is>
      </c>
    </row>
    <row r="254">
      <c r="B254" t="inlineStr">
        <is>
          <t>Banks, Branch</t>
        </is>
      </c>
      <c r="C254" t="inlineStr">
        <is>
          <t>304</t>
        </is>
      </c>
      <c r="D254" t="inlineStr">
        <is>
          <t>15</t>
        </is>
      </c>
      <c r="E254" t="inlineStr">
        <is>
          <t>21</t>
        </is>
      </c>
      <c r="F254" t="inlineStr">
        <is>
          <t>D</t>
        </is>
      </c>
      <c r="G254" t="inlineStr">
        <is>
          <t>Low Cost</t>
        </is>
      </c>
      <c r="H254" s="2390" t="n">
        <v>168</v>
      </c>
      <c r="I254">
        <f>B254&amp;"~"&amp;F254&amp;"~"&amp;G254</f>
        <v/>
      </c>
      <c r="J254" t="inlineStr">
        <is>
          <t>15</t>
        </is>
      </c>
      <c r="K254" t="inlineStr">
        <is>
          <t>15</t>
        </is>
      </c>
      <c r="L254" t="inlineStr">
        <is>
          <t>15</t>
        </is>
      </c>
      <c r="M254" t="inlineStr">
        <is>
          <t>MVS Sec.15 p.21</t>
        </is>
      </c>
    </row>
    <row r="255">
      <c r="B255" t="inlineStr">
        <is>
          <t>Banks, Branch</t>
        </is>
      </c>
      <c r="C255" t="inlineStr">
        <is>
          <t>304</t>
        </is>
      </c>
      <c r="D255" t="inlineStr">
        <is>
          <t>15</t>
        </is>
      </c>
      <c r="E255" t="inlineStr">
        <is>
          <t>21</t>
        </is>
      </c>
      <c r="F255" t="inlineStr">
        <is>
          <t>S</t>
        </is>
      </c>
      <c r="G255" t="inlineStr">
        <is>
          <t>Good</t>
        </is>
      </c>
      <c r="H255" s="2390" t="n">
        <v>288</v>
      </c>
      <c r="I255">
        <f>B255&amp;"~"&amp;F255&amp;"~"&amp;G255</f>
        <v/>
      </c>
      <c r="J255" t="inlineStr">
        <is>
          <t>15</t>
        </is>
      </c>
      <c r="K255" t="inlineStr">
        <is>
          <t>15</t>
        </is>
      </c>
      <c r="L255" t="inlineStr">
        <is>
          <t>15</t>
        </is>
      </c>
      <c r="M255" t="inlineStr">
        <is>
          <t>MVS Sec.15 p.21</t>
        </is>
      </c>
    </row>
    <row r="256">
      <c r="B256" t="inlineStr">
        <is>
          <t>Banks, Branch</t>
        </is>
      </c>
      <c r="C256" t="inlineStr">
        <is>
          <t>304</t>
        </is>
      </c>
      <c r="D256" t="inlineStr">
        <is>
          <t>15</t>
        </is>
      </c>
      <c r="E256" t="inlineStr">
        <is>
          <t>21</t>
        </is>
      </c>
      <c r="F256" t="inlineStr">
        <is>
          <t>S</t>
        </is>
      </c>
      <c r="G256" t="inlineStr">
        <is>
          <t>Average</t>
        </is>
      </c>
      <c r="H256" s="2390" t="n">
        <v>218</v>
      </c>
      <c r="I256">
        <f>B256&amp;"~"&amp;F256&amp;"~"&amp;G256</f>
        <v/>
      </c>
      <c r="J256" t="inlineStr">
        <is>
          <t>15</t>
        </is>
      </c>
      <c r="K256" t="inlineStr">
        <is>
          <t>15</t>
        </is>
      </c>
      <c r="L256" t="inlineStr">
        <is>
          <t>15</t>
        </is>
      </c>
      <c r="M256" t="inlineStr">
        <is>
          <t>MVS Sec.15 p.21</t>
        </is>
      </c>
    </row>
    <row r="257">
      <c r="B257" t="inlineStr">
        <is>
          <t>Banks, Branch</t>
        </is>
      </c>
      <c r="C257" t="inlineStr">
        <is>
          <t>304</t>
        </is>
      </c>
      <c r="D257" t="inlineStr">
        <is>
          <t>15</t>
        </is>
      </c>
      <c r="E257" t="inlineStr">
        <is>
          <t>21</t>
        </is>
      </c>
      <c r="F257" t="inlineStr">
        <is>
          <t>S</t>
        </is>
      </c>
      <c r="G257" t="inlineStr">
        <is>
          <t>Low Cost</t>
        </is>
      </c>
      <c r="H257" s="2390" t="n">
        <v>167</v>
      </c>
      <c r="I257">
        <f>B257&amp;"~"&amp;F257&amp;"~"&amp;G257</f>
        <v/>
      </c>
      <c r="J257" t="inlineStr">
        <is>
          <t>15</t>
        </is>
      </c>
      <c r="K257" t="inlineStr">
        <is>
          <t>15</t>
        </is>
      </c>
      <c r="L257" t="inlineStr">
        <is>
          <t>15</t>
        </is>
      </c>
      <c r="M257" t="inlineStr">
        <is>
          <t>MVS Sec.15 p.21</t>
        </is>
      </c>
    </row>
    <row r="258">
      <c r="B258" t="inlineStr">
        <is>
          <t>Hotels, Full Service</t>
        </is>
      </c>
      <c r="C258" t="inlineStr">
        <is>
          <t>594</t>
        </is>
      </c>
      <c r="D258" t="inlineStr">
        <is>
          <t>11</t>
        </is>
      </c>
      <c r="E258" t="inlineStr">
        <is>
          <t>25</t>
        </is>
      </c>
      <c r="F258" t="inlineStr">
        <is>
          <t>A</t>
        </is>
      </c>
      <c r="G258" t="inlineStr">
        <is>
          <t>Excellent</t>
        </is>
      </c>
      <c r="H258" s="2390" t="n">
        <v>380</v>
      </c>
      <c r="I258">
        <f>B258&amp;"~"&amp;F258&amp;"~"&amp;G258</f>
        <v/>
      </c>
      <c r="J258" t="inlineStr">
        <is>
          <t>11</t>
        </is>
      </c>
      <c r="K258" t="inlineStr">
        <is>
          <t>11</t>
        </is>
      </c>
      <c r="L258" t="inlineStr">
        <is>
          <t>11</t>
        </is>
      </c>
      <c r="M258" t="inlineStr">
        <is>
          <t>MVS Sec.11 p.25</t>
        </is>
      </c>
    </row>
    <row r="259">
      <c r="B259" t="inlineStr">
        <is>
          <t>Hotels, Full Service</t>
        </is>
      </c>
      <c r="C259" t="inlineStr">
        <is>
          <t>594</t>
        </is>
      </c>
      <c r="D259" t="inlineStr">
        <is>
          <t>11</t>
        </is>
      </c>
      <c r="E259" t="inlineStr">
        <is>
          <t>25</t>
        </is>
      </c>
      <c r="F259" t="inlineStr">
        <is>
          <t>A</t>
        </is>
      </c>
      <c r="G259" t="inlineStr">
        <is>
          <t>Good</t>
        </is>
      </c>
      <c r="H259" s="2390" t="n">
        <v>310</v>
      </c>
      <c r="I259">
        <f>B259&amp;"~"&amp;F259&amp;"~"&amp;G259</f>
        <v/>
      </c>
      <c r="J259" t="inlineStr">
        <is>
          <t>11</t>
        </is>
      </c>
      <c r="K259" t="inlineStr">
        <is>
          <t>11</t>
        </is>
      </c>
      <c r="L259" t="inlineStr">
        <is>
          <t>11</t>
        </is>
      </c>
      <c r="M259" t="inlineStr">
        <is>
          <t>MVS Sec.11 p.25</t>
        </is>
      </c>
    </row>
    <row r="260">
      <c r="B260" t="inlineStr">
        <is>
          <t>Hotels, Full Service</t>
        </is>
      </c>
      <c r="C260" t="inlineStr">
        <is>
          <t>594</t>
        </is>
      </c>
      <c r="D260" t="inlineStr">
        <is>
          <t>11</t>
        </is>
      </c>
      <c r="E260" t="inlineStr">
        <is>
          <t>25</t>
        </is>
      </c>
      <c r="F260" t="inlineStr">
        <is>
          <t>A</t>
        </is>
      </c>
      <c r="G260" t="inlineStr">
        <is>
          <t>Average</t>
        </is>
      </c>
      <c r="H260" s="2390" t="n">
        <v>244</v>
      </c>
      <c r="I260">
        <f>B260&amp;"~"&amp;F260&amp;"~"&amp;G260</f>
        <v/>
      </c>
      <c r="J260" t="inlineStr">
        <is>
          <t>11</t>
        </is>
      </c>
      <c r="K260" t="inlineStr">
        <is>
          <t>11</t>
        </is>
      </c>
      <c r="L260" t="inlineStr">
        <is>
          <t>11</t>
        </is>
      </c>
      <c r="M260" t="inlineStr">
        <is>
          <t>MVS Sec.11 p.25</t>
        </is>
      </c>
    </row>
    <row r="261">
      <c r="B261" t="inlineStr">
        <is>
          <t>Hotels, Full Service</t>
        </is>
      </c>
      <c r="C261" t="inlineStr">
        <is>
          <t>594</t>
        </is>
      </c>
      <c r="D261" t="inlineStr">
        <is>
          <t>11</t>
        </is>
      </c>
      <c r="E261" t="inlineStr">
        <is>
          <t>25</t>
        </is>
      </c>
      <c r="F261" t="inlineStr">
        <is>
          <t>A</t>
        </is>
      </c>
      <c r="G261" t="inlineStr">
        <is>
          <t>Low Cost</t>
        </is>
      </c>
      <c r="H261" s="2390" t="n">
        <v>194</v>
      </c>
      <c r="I261">
        <f>B261&amp;"~"&amp;F261&amp;"~"&amp;G261</f>
        <v/>
      </c>
      <c r="J261" t="inlineStr">
        <is>
          <t>11</t>
        </is>
      </c>
      <c r="K261" t="inlineStr">
        <is>
          <t>11</t>
        </is>
      </c>
      <c r="L261" t="inlineStr">
        <is>
          <t>11</t>
        </is>
      </c>
      <c r="M261" t="inlineStr">
        <is>
          <t>MVS Sec.11 p.25</t>
        </is>
      </c>
    </row>
    <row r="262">
      <c r="B262" t="inlineStr">
        <is>
          <t>Hotels, Full Service</t>
        </is>
      </c>
      <c r="C262" t="inlineStr">
        <is>
          <t>594</t>
        </is>
      </c>
      <c r="D262" t="inlineStr">
        <is>
          <t>11</t>
        </is>
      </c>
      <c r="E262" t="inlineStr">
        <is>
          <t>25</t>
        </is>
      </c>
      <c r="F262" t="inlineStr">
        <is>
          <t>B</t>
        </is>
      </c>
      <c r="G262" t="inlineStr">
        <is>
          <t>Excellent</t>
        </is>
      </c>
      <c r="H262" s="2390" t="n">
        <v>343</v>
      </c>
      <c r="I262">
        <f>B262&amp;"~"&amp;F262&amp;"~"&amp;G262</f>
        <v/>
      </c>
      <c r="J262" t="inlineStr">
        <is>
          <t>11</t>
        </is>
      </c>
      <c r="K262" t="inlineStr">
        <is>
          <t>11</t>
        </is>
      </c>
      <c r="L262" t="inlineStr">
        <is>
          <t>11</t>
        </is>
      </c>
      <c r="M262" t="inlineStr">
        <is>
          <t>MVS Sec.11 p.25</t>
        </is>
      </c>
    </row>
    <row r="263">
      <c r="B263" t="inlineStr">
        <is>
          <t>Hotels, Full Service</t>
        </is>
      </c>
      <c r="C263" t="inlineStr">
        <is>
          <t>594</t>
        </is>
      </c>
      <c r="D263" t="inlineStr">
        <is>
          <t>11</t>
        </is>
      </c>
      <c r="E263" t="inlineStr">
        <is>
          <t>25</t>
        </is>
      </c>
      <c r="F263" t="inlineStr">
        <is>
          <t>B</t>
        </is>
      </c>
      <c r="G263" t="inlineStr">
        <is>
          <t>Good</t>
        </is>
      </c>
      <c r="H263" s="2390" t="n">
        <v>280</v>
      </c>
      <c r="I263">
        <f>B263&amp;"~"&amp;F263&amp;"~"&amp;G263</f>
        <v/>
      </c>
      <c r="J263" t="inlineStr">
        <is>
          <t>11</t>
        </is>
      </c>
      <c r="K263" t="inlineStr">
        <is>
          <t>11</t>
        </is>
      </c>
      <c r="L263" t="inlineStr">
        <is>
          <t>11</t>
        </is>
      </c>
      <c r="M263" t="inlineStr">
        <is>
          <t>MVS Sec.11 p.25</t>
        </is>
      </c>
    </row>
    <row r="264">
      <c r="B264" t="inlineStr">
        <is>
          <t>Hotels, Full Service</t>
        </is>
      </c>
      <c r="C264" t="inlineStr">
        <is>
          <t>594</t>
        </is>
      </c>
      <c r="D264" t="inlineStr">
        <is>
          <t>11</t>
        </is>
      </c>
      <c r="E264" t="inlineStr">
        <is>
          <t>25</t>
        </is>
      </c>
      <c r="F264" t="inlineStr">
        <is>
          <t>B</t>
        </is>
      </c>
      <c r="G264" t="inlineStr">
        <is>
          <t>Average</t>
        </is>
      </c>
      <c r="H264" s="2390" t="n">
        <v>219</v>
      </c>
      <c r="I264">
        <f>B264&amp;"~"&amp;F264&amp;"~"&amp;G264</f>
        <v/>
      </c>
      <c r="J264" t="inlineStr">
        <is>
          <t>11</t>
        </is>
      </c>
      <c r="K264" t="inlineStr">
        <is>
          <t>11</t>
        </is>
      </c>
      <c r="L264" t="inlineStr">
        <is>
          <t>11</t>
        </is>
      </c>
      <c r="M264" t="inlineStr">
        <is>
          <t>MVS Sec.11 p.25</t>
        </is>
      </c>
    </row>
    <row r="265">
      <c r="B265" t="inlineStr">
        <is>
          <t>Hotels, Full Service</t>
        </is>
      </c>
      <c r="C265" t="inlineStr">
        <is>
          <t>594</t>
        </is>
      </c>
      <c r="D265" t="inlineStr">
        <is>
          <t>11</t>
        </is>
      </c>
      <c r="E265" t="inlineStr">
        <is>
          <t>25</t>
        </is>
      </c>
      <c r="F265" t="inlineStr">
        <is>
          <t>B</t>
        </is>
      </c>
      <c r="G265" t="inlineStr">
        <is>
          <t>Low Cost</t>
        </is>
      </c>
      <c r="H265" s="2390" t="n">
        <v>173</v>
      </c>
      <c r="I265">
        <f>B265&amp;"~"&amp;F265&amp;"~"&amp;G265</f>
        <v/>
      </c>
      <c r="J265" t="inlineStr">
        <is>
          <t>11</t>
        </is>
      </c>
      <c r="K265" t="inlineStr">
        <is>
          <t>11</t>
        </is>
      </c>
      <c r="L265" t="inlineStr">
        <is>
          <t>11</t>
        </is>
      </c>
      <c r="M265" t="inlineStr">
        <is>
          <t>MVS Sec.11 p.25</t>
        </is>
      </c>
    </row>
    <row r="266">
      <c r="B266" t="inlineStr">
        <is>
          <t>Hotels, Full Service</t>
        </is>
      </c>
      <c r="C266" t="inlineStr">
        <is>
          <t>594</t>
        </is>
      </c>
      <c r="D266" t="inlineStr">
        <is>
          <t>11</t>
        </is>
      </c>
      <c r="E266" t="inlineStr">
        <is>
          <t>25</t>
        </is>
      </c>
      <c r="F266" t="inlineStr">
        <is>
          <t>C</t>
        </is>
      </c>
      <c r="G266" t="inlineStr">
        <is>
          <t>Excellent</t>
        </is>
      </c>
      <c r="H266" s="2390" t="n">
        <v>281</v>
      </c>
      <c r="I266">
        <f>B266&amp;"~"&amp;F266&amp;"~"&amp;G266</f>
        <v/>
      </c>
      <c r="J266" t="inlineStr">
        <is>
          <t>11</t>
        </is>
      </c>
      <c r="K266" t="inlineStr">
        <is>
          <t>11</t>
        </is>
      </c>
      <c r="L266" t="inlineStr">
        <is>
          <t>11</t>
        </is>
      </c>
      <c r="M266" t="inlineStr">
        <is>
          <t>MVS Sec.11 p.25</t>
        </is>
      </c>
    </row>
    <row r="267">
      <c r="B267" t="inlineStr">
        <is>
          <t>Hotels, Full Service</t>
        </is>
      </c>
      <c r="C267" t="inlineStr">
        <is>
          <t>594</t>
        </is>
      </c>
      <c r="D267" t="inlineStr">
        <is>
          <t>11</t>
        </is>
      </c>
      <c r="E267" t="inlineStr">
        <is>
          <t>25</t>
        </is>
      </c>
      <c r="F267" t="inlineStr">
        <is>
          <t>C</t>
        </is>
      </c>
      <c r="G267" t="inlineStr">
        <is>
          <t>Good</t>
        </is>
      </c>
      <c r="H267" s="2390" t="n">
        <v>228</v>
      </c>
      <c r="I267">
        <f>B267&amp;"~"&amp;F267&amp;"~"&amp;G267</f>
        <v/>
      </c>
      <c r="J267" t="inlineStr">
        <is>
          <t>11</t>
        </is>
      </c>
      <c r="K267" t="inlineStr">
        <is>
          <t>11</t>
        </is>
      </c>
      <c r="L267" t="inlineStr">
        <is>
          <t>11</t>
        </is>
      </c>
      <c r="M267" t="inlineStr">
        <is>
          <t>MVS Sec.11 p.25</t>
        </is>
      </c>
    </row>
    <row r="268">
      <c r="B268" t="inlineStr">
        <is>
          <t>Hotels, Full Service</t>
        </is>
      </c>
      <c r="C268" t="inlineStr">
        <is>
          <t>594</t>
        </is>
      </c>
      <c r="D268" t="inlineStr">
        <is>
          <t>11</t>
        </is>
      </c>
      <c r="E268" t="inlineStr">
        <is>
          <t>25</t>
        </is>
      </c>
      <c r="F268" t="inlineStr">
        <is>
          <t>C</t>
        </is>
      </c>
      <c r="G268" t="inlineStr">
        <is>
          <t>Average</t>
        </is>
      </c>
      <c r="H268" s="2390" t="n">
        <v>191</v>
      </c>
      <c r="I268">
        <f>B268&amp;"~"&amp;F268&amp;"~"&amp;G268</f>
        <v/>
      </c>
      <c r="J268" t="inlineStr">
        <is>
          <t>11</t>
        </is>
      </c>
      <c r="K268" t="inlineStr">
        <is>
          <t>11</t>
        </is>
      </c>
      <c r="L268" t="inlineStr">
        <is>
          <t>11</t>
        </is>
      </c>
      <c r="M268" t="inlineStr">
        <is>
          <t>MVS Sec.11 p.25</t>
        </is>
      </c>
    </row>
    <row r="269">
      <c r="B269" t="inlineStr">
        <is>
          <t>Hotels, Full Service</t>
        </is>
      </c>
      <c r="C269" t="inlineStr">
        <is>
          <t>594</t>
        </is>
      </c>
      <c r="D269" t="inlineStr">
        <is>
          <t>11</t>
        </is>
      </c>
      <c r="E269" t="inlineStr">
        <is>
          <t>25</t>
        </is>
      </c>
      <c r="F269" t="inlineStr">
        <is>
          <t>C</t>
        </is>
      </c>
      <c r="G269" t="inlineStr">
        <is>
          <t>Low Cost</t>
        </is>
      </c>
      <c r="H269" s="2390" t="n">
        <v>154</v>
      </c>
      <c r="I269">
        <f>B269&amp;"~"&amp;F269&amp;"~"&amp;G269</f>
        <v/>
      </c>
      <c r="J269" t="inlineStr">
        <is>
          <t>11</t>
        </is>
      </c>
      <c r="K269" t="inlineStr">
        <is>
          <t>11</t>
        </is>
      </c>
      <c r="L269" t="inlineStr">
        <is>
          <t>11</t>
        </is>
      </c>
      <c r="M269" t="inlineStr">
        <is>
          <t>MVS Sec.11 p.25</t>
        </is>
      </c>
    </row>
    <row r="270">
      <c r="B270" t="inlineStr">
        <is>
          <t>Hotels, Full Service</t>
        </is>
      </c>
      <c r="C270" t="inlineStr">
        <is>
          <t>594</t>
        </is>
      </c>
      <c r="D270" t="inlineStr">
        <is>
          <t>11</t>
        </is>
      </c>
      <c r="E270" t="inlineStr">
        <is>
          <t>25</t>
        </is>
      </c>
      <c r="F270" t="inlineStr">
        <is>
          <t>D</t>
        </is>
      </c>
      <c r="G270" t="inlineStr">
        <is>
          <t>Excellent</t>
        </is>
      </c>
      <c r="H270" s="2390" t="n">
        <v>268</v>
      </c>
      <c r="I270">
        <f>B270&amp;"~"&amp;F270&amp;"~"&amp;G270</f>
        <v/>
      </c>
      <c r="J270" t="inlineStr">
        <is>
          <t>11</t>
        </is>
      </c>
      <c r="K270" t="inlineStr">
        <is>
          <t>11</t>
        </is>
      </c>
      <c r="L270" t="inlineStr">
        <is>
          <t>11</t>
        </is>
      </c>
      <c r="M270" t="inlineStr">
        <is>
          <t>MVS Sec.11 p.25</t>
        </is>
      </c>
    </row>
    <row r="271">
      <c r="B271" t="inlineStr">
        <is>
          <t>Hotels, Full Service</t>
        </is>
      </c>
      <c r="C271" t="inlineStr">
        <is>
          <t>594</t>
        </is>
      </c>
      <c r="D271" t="inlineStr">
        <is>
          <t>11</t>
        </is>
      </c>
      <c r="E271" t="inlineStr">
        <is>
          <t>25</t>
        </is>
      </c>
      <c r="F271" t="inlineStr">
        <is>
          <t>D</t>
        </is>
      </c>
      <c r="G271" t="inlineStr">
        <is>
          <t>Good</t>
        </is>
      </c>
      <c r="H271" s="2390" t="n">
        <v>216</v>
      </c>
      <c r="I271">
        <f>B271&amp;"~"&amp;F271&amp;"~"&amp;G271</f>
        <v/>
      </c>
      <c r="J271" t="inlineStr">
        <is>
          <t>11</t>
        </is>
      </c>
      <c r="K271" t="inlineStr">
        <is>
          <t>11</t>
        </is>
      </c>
      <c r="L271" t="inlineStr">
        <is>
          <t>11</t>
        </is>
      </c>
      <c r="M271" t="inlineStr">
        <is>
          <t>MVS Sec.11 p.25</t>
        </is>
      </c>
    </row>
    <row r="272">
      <c r="B272" t="inlineStr">
        <is>
          <t>Hotels, Full Service</t>
        </is>
      </c>
      <c r="C272" t="inlineStr">
        <is>
          <t>594</t>
        </is>
      </c>
      <c r="D272" t="inlineStr">
        <is>
          <t>11</t>
        </is>
      </c>
      <c r="E272" t="inlineStr">
        <is>
          <t>25</t>
        </is>
      </c>
      <c r="F272" t="inlineStr">
        <is>
          <t>D</t>
        </is>
      </c>
      <c r="G272" t="inlineStr">
        <is>
          <t>Average</t>
        </is>
      </c>
      <c r="H272" s="2390" t="n">
        <v>180</v>
      </c>
      <c r="I272">
        <f>B272&amp;"~"&amp;F272&amp;"~"&amp;G272</f>
        <v/>
      </c>
      <c r="J272" t="inlineStr">
        <is>
          <t>11</t>
        </is>
      </c>
      <c r="K272" t="inlineStr">
        <is>
          <t>11</t>
        </is>
      </c>
      <c r="L272" t="inlineStr">
        <is>
          <t>11</t>
        </is>
      </c>
      <c r="M272" t="inlineStr">
        <is>
          <t>MVS Sec.11 p.25</t>
        </is>
      </c>
    </row>
    <row r="273">
      <c r="B273" t="inlineStr">
        <is>
          <t>Hotels, Full Service</t>
        </is>
      </c>
      <c r="C273" t="inlineStr">
        <is>
          <t>594</t>
        </is>
      </c>
      <c r="D273" t="inlineStr">
        <is>
          <t>11</t>
        </is>
      </c>
      <c r="E273" t="inlineStr">
        <is>
          <t>25</t>
        </is>
      </c>
      <c r="F273" t="inlineStr">
        <is>
          <t>D</t>
        </is>
      </c>
      <c r="G273" t="inlineStr">
        <is>
          <t>Low Cost</t>
        </is>
      </c>
      <c r="H273" s="2390" t="n">
        <v>144</v>
      </c>
      <c r="I273">
        <f>B273&amp;"~"&amp;F273&amp;"~"&amp;G273</f>
        <v/>
      </c>
      <c r="J273" t="inlineStr">
        <is>
          <t>11</t>
        </is>
      </c>
      <c r="K273" t="inlineStr">
        <is>
          <t>11</t>
        </is>
      </c>
      <c r="L273" t="inlineStr">
        <is>
          <t>11</t>
        </is>
      </c>
      <c r="M273" t="inlineStr">
        <is>
          <t>MVS Sec.11 p.25</t>
        </is>
      </c>
    </row>
    <row r="274">
      <c r="B274" t="inlineStr">
        <is>
          <t>Hotels, Limited Service</t>
        </is>
      </c>
      <c r="C274" t="inlineStr">
        <is>
          <t>595</t>
        </is>
      </c>
      <c r="D274" t="inlineStr">
        <is>
          <t>11</t>
        </is>
      </c>
      <c r="E274" t="inlineStr">
        <is>
          <t>22</t>
        </is>
      </c>
      <c r="F274" t="inlineStr">
        <is>
          <t>A</t>
        </is>
      </c>
      <c r="G274" t="inlineStr">
        <is>
          <t>Excellent</t>
        </is>
      </c>
      <c r="H274" s="2390" t="n">
        <v>271</v>
      </c>
      <c r="I274">
        <f>B274&amp;"~"&amp;F274&amp;"~"&amp;G274</f>
        <v/>
      </c>
      <c r="J274" t="inlineStr">
        <is>
          <t>11</t>
        </is>
      </c>
      <c r="K274" t="inlineStr">
        <is>
          <t>11</t>
        </is>
      </c>
      <c r="L274" t="inlineStr">
        <is>
          <t>11</t>
        </is>
      </c>
      <c r="M274" t="inlineStr">
        <is>
          <t>MVS Sec.11 p.22</t>
        </is>
      </c>
    </row>
    <row r="275">
      <c r="B275" t="inlineStr">
        <is>
          <t>Hotels, Limited Service</t>
        </is>
      </c>
      <c r="C275" t="inlineStr">
        <is>
          <t>595</t>
        </is>
      </c>
      <c r="D275" t="inlineStr">
        <is>
          <t>11</t>
        </is>
      </c>
      <c r="E275" t="inlineStr">
        <is>
          <t>22</t>
        </is>
      </c>
      <c r="F275" t="inlineStr">
        <is>
          <t>A</t>
        </is>
      </c>
      <c r="G275" t="inlineStr">
        <is>
          <t>Good</t>
        </is>
      </c>
      <c r="H275" s="2390" t="n">
        <v>228</v>
      </c>
      <c r="I275">
        <f>B275&amp;"~"&amp;F275&amp;"~"&amp;G275</f>
        <v/>
      </c>
      <c r="J275" t="inlineStr">
        <is>
          <t>11</t>
        </is>
      </c>
      <c r="K275" t="inlineStr">
        <is>
          <t>11</t>
        </is>
      </c>
      <c r="L275" t="inlineStr">
        <is>
          <t>11</t>
        </is>
      </c>
      <c r="M275" t="inlineStr">
        <is>
          <t>MVS Sec.11 p.22</t>
        </is>
      </c>
    </row>
    <row r="276">
      <c r="B276" t="inlineStr">
        <is>
          <t>Hotels, Limited Service</t>
        </is>
      </c>
      <c r="C276" t="inlineStr">
        <is>
          <t>595</t>
        </is>
      </c>
      <c r="D276" t="inlineStr">
        <is>
          <t>11</t>
        </is>
      </c>
      <c r="E276" t="inlineStr">
        <is>
          <t>22</t>
        </is>
      </c>
      <c r="F276" t="inlineStr">
        <is>
          <t>A</t>
        </is>
      </c>
      <c r="G276" t="inlineStr">
        <is>
          <t>Average</t>
        </is>
      </c>
      <c r="H276" s="2390" t="n">
        <v>197</v>
      </c>
      <c r="I276">
        <f>B276&amp;"~"&amp;F276&amp;"~"&amp;G276</f>
        <v/>
      </c>
      <c r="J276" t="inlineStr">
        <is>
          <t>11</t>
        </is>
      </c>
      <c r="K276" t="inlineStr">
        <is>
          <t>11</t>
        </is>
      </c>
      <c r="L276" t="inlineStr">
        <is>
          <t>11</t>
        </is>
      </c>
      <c r="M276" t="inlineStr">
        <is>
          <t>MVS Sec.11 p.22</t>
        </is>
      </c>
    </row>
    <row r="277">
      <c r="B277" t="inlineStr">
        <is>
          <t>Hotels, Limited Service</t>
        </is>
      </c>
      <c r="C277" t="inlineStr">
        <is>
          <t>595</t>
        </is>
      </c>
      <c r="D277" t="inlineStr">
        <is>
          <t>11</t>
        </is>
      </c>
      <c r="E277" t="inlineStr">
        <is>
          <t>22</t>
        </is>
      </c>
      <c r="F277" t="inlineStr">
        <is>
          <t>A</t>
        </is>
      </c>
      <c r="G277" t="inlineStr">
        <is>
          <t>Low Cost</t>
        </is>
      </c>
      <c r="H277" s="2390" t="n">
        <v>165</v>
      </c>
      <c r="I277">
        <f>B277&amp;"~"&amp;F277&amp;"~"&amp;G277</f>
        <v/>
      </c>
      <c r="J277" t="inlineStr">
        <is>
          <t>11</t>
        </is>
      </c>
      <c r="K277" t="inlineStr">
        <is>
          <t>11</t>
        </is>
      </c>
      <c r="L277" t="inlineStr">
        <is>
          <t>11</t>
        </is>
      </c>
      <c r="M277" t="inlineStr">
        <is>
          <t>MVS Sec.11 p.22</t>
        </is>
      </c>
    </row>
    <row r="278">
      <c r="B278" t="inlineStr">
        <is>
          <t>Hotels, Limited Service</t>
        </is>
      </c>
      <c r="C278" t="inlineStr">
        <is>
          <t>595</t>
        </is>
      </c>
      <c r="D278" t="inlineStr">
        <is>
          <t>11</t>
        </is>
      </c>
      <c r="E278" t="inlineStr">
        <is>
          <t>22</t>
        </is>
      </c>
      <c r="F278" t="inlineStr">
        <is>
          <t>B</t>
        </is>
      </c>
      <c r="G278" t="inlineStr">
        <is>
          <t>Excellent</t>
        </is>
      </c>
      <c r="H278" s="2390" t="n">
        <v>245</v>
      </c>
      <c r="I278">
        <f>B278&amp;"~"&amp;F278&amp;"~"&amp;G278</f>
        <v/>
      </c>
      <c r="J278" t="inlineStr">
        <is>
          <t>11</t>
        </is>
      </c>
      <c r="K278" t="inlineStr">
        <is>
          <t>11</t>
        </is>
      </c>
      <c r="L278" t="inlineStr">
        <is>
          <t>11</t>
        </is>
      </c>
      <c r="M278" t="inlineStr">
        <is>
          <t>MVS Sec.11 p.22</t>
        </is>
      </c>
    </row>
    <row r="279">
      <c r="B279" t="inlineStr">
        <is>
          <t>Hotels, Limited Service</t>
        </is>
      </c>
      <c r="C279" t="inlineStr">
        <is>
          <t>595</t>
        </is>
      </c>
      <c r="D279" t="inlineStr">
        <is>
          <t>11</t>
        </is>
      </c>
      <c r="E279" t="inlineStr">
        <is>
          <t>22</t>
        </is>
      </c>
      <c r="F279" t="inlineStr">
        <is>
          <t>B</t>
        </is>
      </c>
      <c r="G279" t="inlineStr">
        <is>
          <t>Good</t>
        </is>
      </c>
      <c r="H279" s="2390" t="n">
        <v>205</v>
      </c>
      <c r="I279">
        <f>B279&amp;"~"&amp;F279&amp;"~"&amp;G279</f>
        <v/>
      </c>
      <c r="J279" t="inlineStr">
        <is>
          <t>11</t>
        </is>
      </c>
      <c r="K279" t="inlineStr">
        <is>
          <t>11</t>
        </is>
      </c>
      <c r="L279" t="inlineStr">
        <is>
          <t>11</t>
        </is>
      </c>
      <c r="M279" t="inlineStr">
        <is>
          <t>MVS Sec.11 p.22</t>
        </is>
      </c>
    </row>
    <row r="280">
      <c r="B280" t="inlineStr">
        <is>
          <t>Hotels, Limited Service</t>
        </is>
      </c>
      <c r="C280" t="inlineStr">
        <is>
          <t>595</t>
        </is>
      </c>
      <c r="D280" t="inlineStr">
        <is>
          <t>11</t>
        </is>
      </c>
      <c r="E280" t="inlineStr">
        <is>
          <t>22</t>
        </is>
      </c>
      <c r="F280" t="inlineStr">
        <is>
          <t>B</t>
        </is>
      </c>
      <c r="G280" t="inlineStr">
        <is>
          <t>Average</t>
        </is>
      </c>
      <c r="H280" s="2390" t="n">
        <v>177</v>
      </c>
      <c r="I280">
        <f>B280&amp;"~"&amp;F280&amp;"~"&amp;G280</f>
        <v/>
      </c>
      <c r="J280" t="inlineStr">
        <is>
          <t>11</t>
        </is>
      </c>
      <c r="K280" t="inlineStr">
        <is>
          <t>11</t>
        </is>
      </c>
      <c r="L280" t="inlineStr">
        <is>
          <t>11</t>
        </is>
      </c>
      <c r="M280" t="inlineStr">
        <is>
          <t>MVS Sec.11 p.22</t>
        </is>
      </c>
    </row>
    <row r="281">
      <c r="B281" t="inlineStr">
        <is>
          <t>Hotels, Limited Service</t>
        </is>
      </c>
      <c r="C281" t="inlineStr">
        <is>
          <t>595</t>
        </is>
      </c>
      <c r="D281" t="inlineStr">
        <is>
          <t>11</t>
        </is>
      </c>
      <c r="E281" t="inlineStr">
        <is>
          <t>22</t>
        </is>
      </c>
      <c r="F281" t="inlineStr">
        <is>
          <t>B</t>
        </is>
      </c>
      <c r="G281" t="inlineStr">
        <is>
          <t>Low Cost</t>
        </is>
      </c>
      <c r="H281" s="2390" t="n">
        <v>147</v>
      </c>
      <c r="I281">
        <f>B281&amp;"~"&amp;F281&amp;"~"&amp;G281</f>
        <v/>
      </c>
      <c r="J281" t="inlineStr">
        <is>
          <t>11</t>
        </is>
      </c>
      <c r="K281" t="inlineStr">
        <is>
          <t>11</t>
        </is>
      </c>
      <c r="L281" t="inlineStr">
        <is>
          <t>11</t>
        </is>
      </c>
      <c r="M281" t="inlineStr">
        <is>
          <t>MVS Sec.11 p.22</t>
        </is>
      </c>
    </row>
    <row r="282">
      <c r="B282" t="inlineStr">
        <is>
          <t>Hotels, Limited Service</t>
        </is>
      </c>
      <c r="C282" t="inlineStr">
        <is>
          <t>595</t>
        </is>
      </c>
      <c r="D282" t="inlineStr">
        <is>
          <t>11</t>
        </is>
      </c>
      <c r="E282" t="inlineStr">
        <is>
          <t>22</t>
        </is>
      </c>
      <c r="F282" t="inlineStr">
        <is>
          <t>C</t>
        </is>
      </c>
      <c r="G282" t="inlineStr">
        <is>
          <t>Excellent</t>
        </is>
      </c>
      <c r="H282" s="2390" t="n">
        <v>222</v>
      </c>
      <c r="I282">
        <f>B282&amp;"~"&amp;F282&amp;"~"&amp;G282</f>
        <v/>
      </c>
      <c r="J282" t="inlineStr">
        <is>
          <t>11</t>
        </is>
      </c>
      <c r="K282" t="inlineStr">
        <is>
          <t>11</t>
        </is>
      </c>
      <c r="L282" t="inlineStr">
        <is>
          <t>11</t>
        </is>
      </c>
      <c r="M282" t="inlineStr">
        <is>
          <t>MVS Sec.11 p.22</t>
        </is>
      </c>
    </row>
    <row r="283">
      <c r="B283" t="inlineStr">
        <is>
          <t>Hotels, Limited Service</t>
        </is>
      </c>
      <c r="C283" t="inlineStr">
        <is>
          <t>595</t>
        </is>
      </c>
      <c r="D283" t="inlineStr">
        <is>
          <t>11</t>
        </is>
      </c>
      <c r="E283" t="inlineStr">
        <is>
          <t>22</t>
        </is>
      </c>
      <c r="F283" t="inlineStr">
        <is>
          <t>C</t>
        </is>
      </c>
      <c r="G283" t="inlineStr">
        <is>
          <t>Good</t>
        </is>
      </c>
      <c r="H283" s="2390" t="n">
        <v>183</v>
      </c>
      <c r="I283">
        <f>B283&amp;"~"&amp;F283&amp;"~"&amp;G283</f>
        <v/>
      </c>
      <c r="J283" t="inlineStr">
        <is>
          <t>11</t>
        </is>
      </c>
      <c r="K283" t="inlineStr">
        <is>
          <t>11</t>
        </is>
      </c>
      <c r="L283" t="inlineStr">
        <is>
          <t>11</t>
        </is>
      </c>
      <c r="M283" t="inlineStr">
        <is>
          <t>MVS Sec.11 p.22</t>
        </is>
      </c>
    </row>
    <row r="284">
      <c r="B284" t="inlineStr">
        <is>
          <t>Hotels, Limited Service</t>
        </is>
      </c>
      <c r="C284" t="inlineStr">
        <is>
          <t>595</t>
        </is>
      </c>
      <c r="D284" t="inlineStr">
        <is>
          <t>11</t>
        </is>
      </c>
      <c r="E284" t="inlineStr">
        <is>
          <t>22</t>
        </is>
      </c>
      <c r="F284" t="inlineStr">
        <is>
          <t>C</t>
        </is>
      </c>
      <c r="G284" t="inlineStr">
        <is>
          <t>Average</t>
        </is>
      </c>
      <c r="H284" s="2390" t="n">
        <v>145</v>
      </c>
      <c r="I284">
        <f>B284&amp;"~"&amp;F284&amp;"~"&amp;G284</f>
        <v/>
      </c>
      <c r="J284" t="inlineStr">
        <is>
          <t>11</t>
        </is>
      </c>
      <c r="K284" t="inlineStr">
        <is>
          <t>11</t>
        </is>
      </c>
      <c r="L284" t="inlineStr">
        <is>
          <t>11</t>
        </is>
      </c>
      <c r="M284" t="inlineStr">
        <is>
          <t>MVS Sec.11 p.22</t>
        </is>
      </c>
    </row>
    <row r="285">
      <c r="B285" t="inlineStr">
        <is>
          <t>Hotels, Limited Service</t>
        </is>
      </c>
      <c r="C285" t="inlineStr">
        <is>
          <t>595</t>
        </is>
      </c>
      <c r="D285" t="inlineStr">
        <is>
          <t>11</t>
        </is>
      </c>
      <c r="E285" t="inlineStr">
        <is>
          <t>22</t>
        </is>
      </c>
      <c r="F285" t="inlineStr">
        <is>
          <t>C</t>
        </is>
      </c>
      <c r="G285" t="inlineStr">
        <is>
          <t>Low Cost</t>
        </is>
      </c>
      <c r="H285" s="2390" t="n">
        <v>121</v>
      </c>
      <c r="I285">
        <f>B285&amp;"~"&amp;F285&amp;"~"&amp;G285</f>
        <v/>
      </c>
      <c r="J285" t="inlineStr">
        <is>
          <t>11</t>
        </is>
      </c>
      <c r="K285" t="inlineStr">
        <is>
          <t>11</t>
        </is>
      </c>
      <c r="L285" t="inlineStr">
        <is>
          <t>11</t>
        </is>
      </c>
      <c r="M285" t="inlineStr">
        <is>
          <t>MVS Sec.11 p.22</t>
        </is>
      </c>
    </row>
    <row r="286">
      <c r="B286" t="inlineStr">
        <is>
          <t>Hotels, Limited Service</t>
        </is>
      </c>
      <c r="C286" t="inlineStr">
        <is>
          <t>595</t>
        </is>
      </c>
      <c r="D286" t="inlineStr">
        <is>
          <t>11</t>
        </is>
      </c>
      <c r="E286" t="inlineStr">
        <is>
          <t>22</t>
        </is>
      </c>
      <c r="F286" t="inlineStr">
        <is>
          <t>D</t>
        </is>
      </c>
      <c r="G286" t="inlineStr">
        <is>
          <t>Good</t>
        </is>
      </c>
      <c r="H286" s="2390" t="n">
        <v>174</v>
      </c>
      <c r="I286">
        <f>B286&amp;"~"&amp;F286&amp;"~"&amp;G286</f>
        <v/>
      </c>
      <c r="J286" t="inlineStr">
        <is>
          <t>11</t>
        </is>
      </c>
      <c r="K286" t="inlineStr">
        <is>
          <t>11</t>
        </is>
      </c>
      <c r="L286" t="inlineStr">
        <is>
          <t>11</t>
        </is>
      </c>
      <c r="M286" t="inlineStr">
        <is>
          <t>MVS Sec.11 p.22</t>
        </is>
      </c>
    </row>
    <row r="287">
      <c r="B287" t="inlineStr">
        <is>
          <t>Hotels, Limited Service</t>
        </is>
      </c>
      <c r="C287" t="inlineStr">
        <is>
          <t>595</t>
        </is>
      </c>
      <c r="D287" t="inlineStr">
        <is>
          <t>11</t>
        </is>
      </c>
      <c r="E287" t="inlineStr">
        <is>
          <t>22</t>
        </is>
      </c>
      <c r="F287" t="inlineStr">
        <is>
          <t>D</t>
        </is>
      </c>
      <c r="G287" t="inlineStr">
        <is>
          <t>Average</t>
        </is>
      </c>
      <c r="H287" s="2390" t="n">
        <v>137</v>
      </c>
      <c r="I287">
        <f>B287&amp;"~"&amp;F287&amp;"~"&amp;G287</f>
        <v/>
      </c>
      <c r="J287" t="inlineStr">
        <is>
          <t>11</t>
        </is>
      </c>
      <c r="K287" t="inlineStr">
        <is>
          <t>11</t>
        </is>
      </c>
      <c r="L287" t="inlineStr">
        <is>
          <t>11</t>
        </is>
      </c>
      <c r="M287" t="inlineStr">
        <is>
          <t>MVS Sec.11 p.22</t>
        </is>
      </c>
    </row>
    <row r="288">
      <c r="B288" t="inlineStr">
        <is>
          <t>Hotels, Limited Service</t>
        </is>
      </c>
      <c r="C288" t="inlineStr">
        <is>
          <t>595</t>
        </is>
      </c>
      <c r="D288" t="inlineStr">
        <is>
          <t>11</t>
        </is>
      </c>
      <c r="E288" t="inlineStr">
        <is>
          <t>22</t>
        </is>
      </c>
      <c r="F288" t="inlineStr">
        <is>
          <t>D</t>
        </is>
      </c>
      <c r="G288" t="inlineStr">
        <is>
          <t>Low Cost</t>
        </is>
      </c>
      <c r="H288" s="2390" t="n">
        <v>114</v>
      </c>
      <c r="I288">
        <f>B288&amp;"~"&amp;F288&amp;"~"&amp;G288</f>
        <v/>
      </c>
      <c r="J288" t="inlineStr">
        <is>
          <t>11</t>
        </is>
      </c>
      <c r="K288" t="inlineStr">
        <is>
          <t>11</t>
        </is>
      </c>
      <c r="L288" t="inlineStr">
        <is>
          <t>11</t>
        </is>
      </c>
      <c r="M288" t="inlineStr">
        <is>
          <t>MVS Sec.11 p.22</t>
        </is>
      </c>
    </row>
    <row r="289">
      <c r="B289" t="inlineStr">
        <is>
          <t>Hotels, Limited Service</t>
        </is>
      </c>
      <c r="C289" t="inlineStr">
        <is>
          <t>595</t>
        </is>
      </c>
      <c r="D289" t="inlineStr">
        <is>
          <t>11</t>
        </is>
      </c>
      <c r="E289" t="inlineStr">
        <is>
          <t>22</t>
        </is>
      </c>
      <c r="F289" t="inlineStr">
        <is>
          <t>S</t>
        </is>
      </c>
      <c r="G289" t="inlineStr">
        <is>
          <t>Average</t>
        </is>
      </c>
      <c r="H289" s="2390" t="n">
        <v>135</v>
      </c>
      <c r="I289">
        <f>B289&amp;"~"&amp;F289&amp;"~"&amp;G289</f>
        <v/>
      </c>
      <c r="J289" t="inlineStr">
        <is>
          <t>11</t>
        </is>
      </c>
      <c r="K289" t="inlineStr">
        <is>
          <t>11</t>
        </is>
      </c>
      <c r="L289" t="inlineStr">
        <is>
          <t>11</t>
        </is>
      </c>
      <c r="M289" t="inlineStr">
        <is>
          <t>MVS Sec.11 p.22</t>
        </is>
      </c>
    </row>
    <row r="291">
      <c r="B291" s="2387" t="inlineStr">
        <is>
          <t>REFERENCE 4 -- Occupancy Master List (dropdown source)</t>
        </is>
      </c>
      <c r="C291" s="2387" t="n"/>
      <c r="D291" s="2387" t="n"/>
      <c r="E291" s="2387" t="n"/>
      <c r="F291" s="2387" t="n"/>
      <c r="G291" s="2387" t="n"/>
      <c r="H291" s="2387" t="n"/>
    </row>
    <row r="292">
      <c r="B292" s="2388" t="inlineStr">
        <is>
          <t>Occupancy Name</t>
        </is>
      </c>
      <c r="C292" s="2388" t="inlineStr">
        <is>
          <t>Occ. Code</t>
        </is>
      </c>
      <c r="D292" s="2388" t="inlineStr">
        <is>
          <t>Section</t>
        </is>
      </c>
      <c r="E292" s="2388" t="inlineStr">
        <is>
          <t>Page</t>
        </is>
      </c>
      <c r="F292" s="2388" t="inlineStr">
        <is>
          <t>Story Table Section</t>
        </is>
      </c>
    </row>
    <row r="293">
      <c r="B293" t="inlineStr">
        <is>
          <t>Storage Warehouses</t>
        </is>
      </c>
      <c r="C293" t="inlineStr">
        <is>
          <t>406</t>
        </is>
      </c>
      <c r="D293" t="inlineStr">
        <is>
          <t>14</t>
        </is>
      </c>
      <c r="E293" t="inlineStr">
        <is>
          <t>26</t>
        </is>
      </c>
      <c r="F293" t="inlineStr">
        <is>
          <t>14</t>
        </is>
      </c>
    </row>
    <row r="294">
      <c r="B294" t="inlineStr">
        <is>
          <t>Distribution Warehouses</t>
        </is>
      </c>
      <c r="C294" t="inlineStr">
        <is>
          <t>407</t>
        </is>
      </c>
      <c r="D294" t="inlineStr">
        <is>
          <t>14</t>
        </is>
      </c>
      <c r="E294" t="inlineStr">
        <is>
          <t>23</t>
        </is>
      </c>
      <c r="F294" t="inlineStr">
        <is>
          <t>14</t>
        </is>
      </c>
    </row>
    <row r="295">
      <c r="B295" t="inlineStr">
        <is>
          <t>Mini-Warehouses / Self-Storage</t>
        </is>
      </c>
      <c r="C295" t="inlineStr">
        <is>
          <t>386</t>
        </is>
      </c>
      <c r="D295" t="inlineStr">
        <is>
          <t>14</t>
        </is>
      </c>
      <c r="E295" t="inlineStr">
        <is>
          <t>28</t>
        </is>
      </c>
      <c r="F295" t="inlineStr">
        <is>
          <t>14</t>
        </is>
      </c>
    </row>
    <row r="296">
      <c r="B296" t="inlineStr">
        <is>
          <t>Mini-Warehouses, High-Rise</t>
        </is>
      </c>
      <c r="C296" t="inlineStr">
        <is>
          <t>525</t>
        </is>
      </c>
      <c r="D296" t="inlineStr">
        <is>
          <t>14</t>
        </is>
      </c>
      <c r="E296" t="inlineStr">
        <is>
          <t>28</t>
        </is>
      </c>
      <c r="F296" t="inlineStr">
        <is>
          <t>14</t>
        </is>
      </c>
    </row>
    <row r="297">
      <c r="B297" t="inlineStr">
        <is>
          <t>Industrials, Light Manufacturing</t>
        </is>
      </c>
      <c r="C297" t="inlineStr">
        <is>
          <t>494</t>
        </is>
      </c>
      <c r="D297" t="inlineStr">
        <is>
          <t>14</t>
        </is>
      </c>
      <c r="E297" t="inlineStr">
        <is>
          <t>14</t>
        </is>
      </c>
      <c r="F297" t="inlineStr">
        <is>
          <t>14</t>
        </is>
      </c>
    </row>
    <row r="298">
      <c r="B298" t="inlineStr">
        <is>
          <t>Industrials, Heavy (Process) Manufacturing</t>
        </is>
      </c>
      <c r="C298" t="inlineStr">
        <is>
          <t>495</t>
        </is>
      </c>
      <c r="D298" t="inlineStr">
        <is>
          <t>14</t>
        </is>
      </c>
      <c r="E298" t="inlineStr">
        <is>
          <t>15</t>
        </is>
      </c>
      <c r="F298" t="inlineStr">
        <is>
          <t>14</t>
        </is>
      </c>
    </row>
    <row r="299">
      <c r="B299" t="inlineStr">
        <is>
          <t>Service Garages (Commercial/Repair)</t>
        </is>
      </c>
      <c r="C299" t="inlineStr">
        <is>
          <t>528</t>
        </is>
      </c>
      <c r="D299" t="inlineStr">
        <is>
          <t>14</t>
        </is>
      </c>
      <c r="E299" t="inlineStr">
        <is>
          <t>32</t>
        </is>
      </c>
      <c r="F299" t="inlineStr">
        <is>
          <t>14</t>
        </is>
      </c>
    </row>
    <row r="300">
      <c r="B300" t="inlineStr">
        <is>
          <t>Retail Stores</t>
        </is>
      </c>
      <c r="C300" t="inlineStr">
        <is>
          <t>353</t>
        </is>
      </c>
      <c r="D300" t="inlineStr">
        <is>
          <t>13</t>
        </is>
      </c>
      <c r="E300" t="inlineStr">
        <is>
          <t>26</t>
        </is>
      </c>
      <c r="F300" t="inlineStr">
        <is>
          <t>13</t>
        </is>
      </c>
    </row>
    <row r="301">
      <c r="B301" t="inlineStr">
        <is>
          <t>Neighborhood Shopping Centers</t>
        </is>
      </c>
      <c r="C301" t="inlineStr">
        <is>
          <t>412</t>
        </is>
      </c>
      <c r="D301" t="inlineStr">
        <is>
          <t>13</t>
        </is>
      </c>
      <c r="E301" t="inlineStr">
        <is>
          <t>33</t>
        </is>
      </c>
      <c r="F301" t="inlineStr">
        <is>
          <t>13</t>
        </is>
      </c>
    </row>
    <row r="302">
      <c r="B302" t="inlineStr">
        <is>
          <t>Community Shopping Centers</t>
        </is>
      </c>
      <c r="C302" t="inlineStr">
        <is>
          <t>413</t>
        </is>
      </c>
      <c r="D302" t="inlineStr">
        <is>
          <t>13</t>
        </is>
      </c>
      <c r="E302" t="inlineStr">
        <is>
          <t>34</t>
        </is>
      </c>
      <c r="F302" t="inlineStr">
        <is>
          <t>13</t>
        </is>
      </c>
    </row>
    <row r="303">
      <c r="B303" t="inlineStr">
        <is>
          <t>Regional Shopping Centers</t>
        </is>
      </c>
      <c r="C303" t="inlineStr">
        <is>
          <t>414</t>
        </is>
      </c>
      <c r="D303" t="inlineStr">
        <is>
          <t>13</t>
        </is>
      </c>
      <c r="E303" t="inlineStr">
        <is>
          <t>35</t>
        </is>
      </c>
      <c r="F303" t="inlineStr">
        <is>
          <t>13</t>
        </is>
      </c>
    </row>
    <row r="304">
      <c r="B304" t="inlineStr">
        <is>
          <t>Department Stores</t>
        </is>
      </c>
      <c r="C304" t="inlineStr">
        <is>
          <t>318</t>
        </is>
      </c>
      <c r="D304" t="inlineStr">
        <is>
          <t>13</t>
        </is>
      </c>
      <c r="E304" t="inlineStr">
        <is>
          <t>27</t>
        </is>
      </c>
      <c r="F304" t="inlineStr">
        <is>
          <t>13</t>
        </is>
      </c>
    </row>
    <row r="305">
      <c r="B305" t="inlineStr">
        <is>
          <t>Discount Stores</t>
        </is>
      </c>
      <c r="C305" t="inlineStr">
        <is>
          <t>319</t>
        </is>
      </c>
      <c r="D305" t="inlineStr">
        <is>
          <t>13</t>
        </is>
      </c>
      <c r="E305" t="inlineStr">
        <is>
          <t>28</t>
        </is>
      </c>
      <c r="F305" t="inlineStr">
        <is>
          <t>13</t>
        </is>
      </c>
    </row>
    <row r="306">
      <c r="B306" t="inlineStr">
        <is>
          <t>Office Buildings</t>
        </is>
      </c>
      <c r="C306" t="inlineStr">
        <is>
          <t>344</t>
        </is>
      </c>
      <c r="D306" t="inlineStr">
        <is>
          <t>15</t>
        </is>
      </c>
      <c r="E306" t="inlineStr">
        <is>
          <t>17</t>
        </is>
      </c>
      <c r="F306" t="inlineStr">
        <is>
          <t>15</t>
        </is>
      </c>
    </row>
    <row r="307">
      <c r="B307" t="inlineStr">
        <is>
          <t>Medical Office Buildings</t>
        </is>
      </c>
      <c r="C307" t="inlineStr">
        <is>
          <t>341</t>
        </is>
      </c>
      <c r="D307" t="inlineStr">
        <is>
          <t>15</t>
        </is>
      </c>
      <c r="E307" t="inlineStr">
        <is>
          <t>22</t>
        </is>
      </c>
      <c r="F307" t="inlineStr">
        <is>
          <t>15</t>
        </is>
      </c>
    </row>
    <row r="308">
      <c r="B308" t="inlineStr">
        <is>
          <t>Banks, Branch</t>
        </is>
      </c>
      <c r="C308" t="inlineStr">
        <is>
          <t>304</t>
        </is>
      </c>
      <c r="D308" t="inlineStr">
        <is>
          <t>15</t>
        </is>
      </c>
      <c r="E308" t="inlineStr">
        <is>
          <t>21</t>
        </is>
      </c>
      <c r="F308" t="inlineStr">
        <is>
          <t>15</t>
        </is>
      </c>
    </row>
    <row r="309">
      <c r="B309" t="inlineStr">
        <is>
          <t>Hotels, Full Service</t>
        </is>
      </c>
      <c r="C309" t="inlineStr">
        <is>
          <t>594</t>
        </is>
      </c>
      <c r="D309" t="inlineStr">
        <is>
          <t>11</t>
        </is>
      </c>
      <c r="E309" t="inlineStr">
        <is>
          <t>25</t>
        </is>
      </c>
      <c r="F309" t="inlineStr">
        <is>
          <t>11</t>
        </is>
      </c>
    </row>
    <row r="310">
      <c r="B310" t="inlineStr">
        <is>
          <t>Hotels, Limited Service</t>
        </is>
      </c>
      <c r="C310" t="inlineStr">
        <is>
          <t>595</t>
        </is>
      </c>
      <c r="D310" t="inlineStr">
        <is>
          <t>11</t>
        </is>
      </c>
      <c r="E310" t="inlineStr">
        <is>
          <t>22</t>
        </is>
      </c>
      <c r="F310" t="inlineStr">
        <is>
          <t>11</t>
        </is>
      </c>
    </row>
    <row r="312">
      <c r="B312" s="2387" t="inlineStr">
        <is>
          <t>REFERENCE 5 -- Story Height Multiplier Tables (per MVS section, single-column for lookup)</t>
        </is>
      </c>
      <c r="C312" s="2387" t="n"/>
      <c r="D312" s="2387" t="n"/>
      <c r="E312" s="2387" t="n"/>
      <c r="F312" s="2387" t="n"/>
      <c r="G312" s="2387" t="n"/>
      <c r="H312" s="2387" t="n"/>
    </row>
    <row r="313">
      <c r="B313" s="2388" t="inlineStr">
        <is>
          <t>Section 14 (base = 14 ft)</t>
        </is>
      </c>
      <c r="C313" s="2388" t="inlineStr">
        <is>
          <t>Height (ft)</t>
        </is>
      </c>
      <c r="D313" s="2388" t="inlineStr">
        <is>
          <t>Multiplier</t>
        </is>
      </c>
    </row>
    <row r="314">
      <c r="C314" t="n">
        <v>8</v>
      </c>
      <c r="D314" s="1901" t="n">
        <v>0.885</v>
      </c>
    </row>
    <row r="315">
      <c r="C315" t="n">
        <v>10</v>
      </c>
      <c r="D315" s="1901" t="n">
        <v>0.921</v>
      </c>
    </row>
    <row r="316">
      <c r="C316" t="n">
        <v>12</v>
      </c>
      <c r="D316" s="1901" t="n">
        <v>0.96</v>
      </c>
    </row>
    <row r="317">
      <c r="C317" t="n">
        <v>14</v>
      </c>
      <c r="D317" s="1901" t="n">
        <v>1</v>
      </c>
    </row>
    <row r="318">
      <c r="C318" t="n">
        <v>16</v>
      </c>
      <c r="D318" s="1901" t="n">
        <v>1.041</v>
      </c>
    </row>
    <row r="319">
      <c r="C319" t="n">
        <v>18</v>
      </c>
      <c r="D319" s="1901" t="n">
        <v>1.086</v>
      </c>
    </row>
    <row r="320">
      <c r="C320" t="n">
        <v>20</v>
      </c>
      <c r="D320" s="1901" t="n">
        <v>1.133</v>
      </c>
    </row>
    <row r="321">
      <c r="C321" t="n">
        <v>22</v>
      </c>
      <c r="D321" s="1901" t="n">
        <v>1.181</v>
      </c>
    </row>
    <row r="322">
      <c r="C322" t="n">
        <v>24</v>
      </c>
      <c r="D322" s="1901" t="n">
        <v>1.231</v>
      </c>
    </row>
    <row r="323">
      <c r="C323" t="n">
        <v>26</v>
      </c>
      <c r="D323" s="1901" t="n">
        <v>1.281</v>
      </c>
    </row>
    <row r="324">
      <c r="C324" t="n">
        <v>28</v>
      </c>
      <c r="D324" s="1901" t="n">
        <v>1.331</v>
      </c>
    </row>
    <row r="325">
      <c r="C325" t="n">
        <v>30</v>
      </c>
      <c r="D325" s="1901" t="n">
        <v>1.382</v>
      </c>
    </row>
    <row r="326">
      <c r="C326" t="n">
        <v>35</v>
      </c>
      <c r="D326" s="1901" t="n">
        <v>1.515</v>
      </c>
    </row>
    <row r="327">
      <c r="C327" t="n">
        <v>40</v>
      </c>
      <c r="D327" s="1901" t="n">
        <v>1.65</v>
      </c>
    </row>
    <row r="328">
      <c r="C328" t="n">
        <v>45</v>
      </c>
      <c r="D328" s="1901" t="n">
        <v>1.788</v>
      </c>
    </row>
    <row r="329">
      <c r="C329" t="n">
        <v>50</v>
      </c>
      <c r="D329" s="1901" t="n">
        <v>1.93</v>
      </c>
    </row>
    <row r="330">
      <c r="C330" t="n">
        <v>55</v>
      </c>
      <c r="D330" s="1901" t="n">
        <v>2.075</v>
      </c>
    </row>
    <row r="331">
      <c r="C331" t="n">
        <v>60</v>
      </c>
      <c r="D331" s="1901" t="n">
        <v>2.225</v>
      </c>
    </row>
    <row r="332">
      <c r="C332" t="n">
        <v>70</v>
      </c>
      <c r="D332" s="1901" t="n">
        <v>2.53</v>
      </c>
    </row>
    <row r="333">
      <c r="C333" t="n">
        <v>80</v>
      </c>
      <c r="D333" s="1901" t="n">
        <v>2.845</v>
      </c>
    </row>
    <row r="334">
      <c r="C334" t="n">
        <v>90</v>
      </c>
      <c r="D334" s="1901" t="n">
        <v>3.161</v>
      </c>
    </row>
    <row r="335">
      <c r="C335" t="n">
        <v>100</v>
      </c>
      <c r="D335" s="1901" t="n">
        <v>3.461</v>
      </c>
    </row>
    <row r="336">
      <c r="C336" t="n">
        <v>110</v>
      </c>
      <c r="D336" s="1901" t="n">
        <v>3.738</v>
      </c>
    </row>
    <row r="337">
      <c r="C337" t="n">
        <v>120</v>
      </c>
      <c r="D337" s="1901" t="n">
        <v>3.977</v>
      </c>
    </row>
    <row r="339">
      <c r="B339" s="2388" t="inlineStr">
        <is>
          <t>Section 13 (base = 12 ft)</t>
        </is>
      </c>
      <c r="C339" s="2388" t="inlineStr">
        <is>
          <t>Height (ft)</t>
        </is>
      </c>
      <c r="D339" s="2388" t="inlineStr">
        <is>
          <t>Multiplier</t>
        </is>
      </c>
    </row>
    <row r="340">
      <c r="C340" t="n">
        <v>8</v>
      </c>
      <c r="D340" s="1901" t="n">
        <v>0.915</v>
      </c>
    </row>
    <row r="341">
      <c r="C341" t="n">
        <v>9</v>
      </c>
      <c r="D341" s="1901" t="n">
        <v>0.9360000000000001</v>
      </c>
    </row>
    <row r="342">
      <c r="C342" t="n">
        <v>10</v>
      </c>
      <c r="D342" s="1901" t="n">
        <v>0.957</v>
      </c>
    </row>
    <row r="343">
      <c r="C343" t="n">
        <v>11</v>
      </c>
      <c r="D343" s="1901" t="n">
        <v>0.979</v>
      </c>
    </row>
    <row r="344">
      <c r="C344" t="n">
        <v>12</v>
      </c>
      <c r="D344" s="1901" t="n">
        <v>1</v>
      </c>
    </row>
    <row r="345">
      <c r="C345" t="n">
        <v>13</v>
      </c>
      <c r="D345" s="1901" t="n">
        <v>1.021</v>
      </c>
    </row>
    <row r="346">
      <c r="C346" t="n">
        <v>14</v>
      </c>
      <c r="D346" s="1901" t="n">
        <v>1.042</v>
      </c>
    </row>
    <row r="347">
      <c r="C347" t="n">
        <v>15</v>
      </c>
      <c r="D347" s="1901" t="n">
        <v>1.064</v>
      </c>
    </row>
    <row r="348">
      <c r="C348" t="n">
        <v>16</v>
      </c>
      <c r="D348" s="1901" t="n">
        <v>1.085</v>
      </c>
    </row>
    <row r="349">
      <c r="C349" t="n">
        <v>18</v>
      </c>
      <c r="D349" s="1901" t="n">
        <v>1.127</v>
      </c>
    </row>
    <row r="350">
      <c r="C350" t="n">
        <v>20</v>
      </c>
      <c r="D350" s="1901" t="n">
        <v>1.17</v>
      </c>
    </row>
    <row r="351">
      <c r="C351" t="n">
        <v>22</v>
      </c>
      <c r="D351" s="1901" t="n">
        <v>1.213</v>
      </c>
    </row>
    <row r="352">
      <c r="C352" t="n">
        <v>24</v>
      </c>
      <c r="D352" s="1901" t="n">
        <v>1.255</v>
      </c>
    </row>
    <row r="353">
      <c r="C353" t="n">
        <v>26</v>
      </c>
      <c r="D353" s="1901" t="n">
        <v>1.298</v>
      </c>
    </row>
    <row r="354">
      <c r="C354" t="n">
        <v>28</v>
      </c>
      <c r="D354" s="1901" t="n">
        <v>1.34</v>
      </c>
    </row>
    <row r="355">
      <c r="C355" t="n">
        <v>30</v>
      </c>
      <c r="D355" s="1901" t="n">
        <v>1.383</v>
      </c>
    </row>
    <row r="356">
      <c r="C356" t="n">
        <v>32</v>
      </c>
      <c r="D356" s="1901" t="n">
        <v>1.425</v>
      </c>
    </row>
    <row r="357">
      <c r="C357" t="n">
        <v>34</v>
      </c>
      <c r="D357" s="1901" t="n">
        <v>1.468</v>
      </c>
    </row>
    <row r="359">
      <c r="B359" s="2388" t="inlineStr">
        <is>
          <t>Section 15 (base = 12 ft)</t>
        </is>
      </c>
      <c r="C359" s="2388" t="inlineStr">
        <is>
          <t>Height (ft)</t>
        </is>
      </c>
      <c r="D359" s="2388" t="inlineStr">
        <is>
          <t>Multiplier</t>
        </is>
      </c>
    </row>
    <row r="360">
      <c r="C360" t="n">
        <v>8</v>
      </c>
      <c r="D360" s="1901" t="n">
        <v>0.9</v>
      </c>
    </row>
    <row r="361">
      <c r="C361" t="n">
        <v>9</v>
      </c>
      <c r="D361" s="1901" t="n">
        <v>0.928</v>
      </c>
    </row>
    <row r="362">
      <c r="C362" t="n">
        <v>10</v>
      </c>
      <c r="D362" s="1901" t="n">
        <v>0.953</v>
      </c>
    </row>
    <row r="363">
      <c r="C363" t="n">
        <v>11</v>
      </c>
      <c r="D363" s="1901" t="n">
        <v>0.977</v>
      </c>
    </row>
    <row r="364">
      <c r="C364" t="n">
        <v>12</v>
      </c>
      <c r="D364" s="1901" t="n">
        <v>1</v>
      </c>
    </row>
    <row r="365">
      <c r="C365" t="n">
        <v>13</v>
      </c>
      <c r="D365" s="1901" t="n">
        <v>1.023</v>
      </c>
    </row>
    <row r="366">
      <c r="C366" t="n">
        <v>14</v>
      </c>
      <c r="D366" s="1901" t="n">
        <v>1.046</v>
      </c>
    </row>
    <row r="367">
      <c r="C367" t="n">
        <v>15</v>
      </c>
      <c r="D367" s="1901" t="n">
        <v>1.069</v>
      </c>
    </row>
    <row r="368">
      <c r="C368" t="n">
        <v>16</v>
      </c>
      <c r="D368" s="1901" t="n">
        <v>1.092</v>
      </c>
    </row>
    <row r="369">
      <c r="C369" t="n">
        <v>18</v>
      </c>
      <c r="D369" s="1901" t="n">
        <v>1.138</v>
      </c>
    </row>
    <row r="370">
      <c r="C370" t="n">
        <v>20</v>
      </c>
      <c r="D370" s="1901" t="n">
        <v>1.184</v>
      </c>
    </row>
    <row r="371">
      <c r="C371" t="n">
        <v>24</v>
      </c>
      <c r="D371" s="1901" t="n">
        <v>1.276</v>
      </c>
    </row>
    <row r="372">
      <c r="C372" t="n">
        <v>28</v>
      </c>
      <c r="D372" s="1901" t="n">
        <v>1.367</v>
      </c>
    </row>
    <row r="373">
      <c r="C373" t="n">
        <v>32</v>
      </c>
      <c r="D373" s="1901" t="n">
        <v>1.459</v>
      </c>
    </row>
    <row r="374">
      <c r="C374" t="n">
        <v>36</v>
      </c>
      <c r="D374" s="1901" t="n">
        <v>1.552</v>
      </c>
    </row>
    <row r="376">
      <c r="B376" s="2388" t="inlineStr">
        <is>
          <t>Section 11 (base = 10 ft)</t>
        </is>
      </c>
      <c r="C376" s="2388" t="inlineStr">
        <is>
          <t>Height (ft)</t>
        </is>
      </c>
      <c r="D376" s="2388" t="inlineStr">
        <is>
          <t>Multiplier</t>
        </is>
      </c>
    </row>
    <row r="377">
      <c r="C377" t="n">
        <v>7</v>
      </c>
      <c r="D377" s="1901" t="n">
        <v>0.922</v>
      </c>
    </row>
    <row r="378">
      <c r="C378" t="n">
        <v>8</v>
      </c>
      <c r="D378" s="1901" t="n">
        <v>0.947</v>
      </c>
    </row>
    <row r="379">
      <c r="C379" t="n">
        <v>9</v>
      </c>
      <c r="D379" s="1901" t="n">
        <v>0.973</v>
      </c>
    </row>
    <row r="380">
      <c r="C380" t="n">
        <v>10</v>
      </c>
      <c r="D380" s="1901" t="n">
        <v>1</v>
      </c>
    </row>
    <row r="381">
      <c r="C381" t="n">
        <v>11</v>
      </c>
      <c r="D381" s="1901" t="n">
        <v>1.027</v>
      </c>
    </row>
    <row r="382">
      <c r="C382" t="n">
        <v>12</v>
      </c>
      <c r="D382" s="1901" t="n">
        <v>1.055</v>
      </c>
    </row>
    <row r="383">
      <c r="C383" t="n">
        <v>13</v>
      </c>
      <c r="D383" s="1901" t="n">
        <v>1.084</v>
      </c>
    </row>
    <row r="384">
      <c r="C384" t="n">
        <v>14</v>
      </c>
      <c r="D384" s="1901" t="n">
        <v>1.114</v>
      </c>
    </row>
    <row r="385">
      <c r="C385" t="n">
        <v>15</v>
      </c>
      <c r="D385" s="1901" t="n">
        <v>1.144</v>
      </c>
    </row>
    <row r="386">
      <c r="C386" t="n">
        <v>16</v>
      </c>
      <c r="D386" s="1901" t="n">
        <v>1.175</v>
      </c>
    </row>
    <row r="387">
      <c r="C387" t="n">
        <v>17</v>
      </c>
      <c r="D387" s="1901" t="n">
        <v>1.207</v>
      </c>
    </row>
    <row r="388">
      <c r="C388" t="n">
        <v>18</v>
      </c>
      <c r="D388" s="1901" t="n">
        <v>1.24</v>
      </c>
    </row>
    <row r="389">
      <c r="C389" t="n">
        <v>19</v>
      </c>
      <c r="D389" s="1901" t="n">
        <v>1.274</v>
      </c>
    </row>
    <row r="390">
      <c r="C390" t="n">
        <v>20</v>
      </c>
      <c r="D390" s="1901" t="n">
        <v>1.309</v>
      </c>
    </row>
    <row r="391">
      <c r="C391" t="n">
        <v>22</v>
      </c>
      <c r="D391" s="1901" t="n">
        <v>1.381</v>
      </c>
    </row>
    <row r="392">
      <c r="C392" t="n">
        <v>24</v>
      </c>
      <c r="D392" s="1901" t="n">
        <v>1.458</v>
      </c>
    </row>
    <row r="395">
      <c r="B395" s="2387" t="inlineStr">
        <is>
          <t>REFERENCE 6 -- Sprinkler Add-On Cost Tables ($/SF, per MVS section)</t>
        </is>
      </c>
      <c r="C395" s="2387" t="n"/>
      <c r="D395" s="2387" t="n"/>
      <c r="E395" s="2387" t="n"/>
      <c r="F395" s="2387" t="n"/>
      <c r="G395" s="2387" t="n"/>
      <c r="H395" s="2387" t="n"/>
    </row>
    <row r="396">
      <c r="B396" t="inlineStr">
        <is>
          <t>(quality header row, used by lookup formulas)</t>
        </is>
      </c>
      <c r="C396" t="inlineStr">
        <is>
          <t>Low Cost</t>
        </is>
      </c>
      <c r="D396" t="inlineStr">
        <is>
          <t>Average</t>
        </is>
      </c>
      <c r="E396" t="inlineStr">
        <is>
          <t>Good</t>
        </is>
      </c>
      <c r="F396" t="inlineStr">
        <is>
          <t>Excellent</t>
        </is>
      </c>
    </row>
    <row r="397">
      <c r="B397" s="2388" t="inlineStr">
        <is>
          <t>Section 14</t>
        </is>
      </c>
      <c r="C397" s="2388" t="inlineStr">
        <is>
          <t>Coverage (SF)</t>
        </is>
      </c>
      <c r="D397" s="2388" t="inlineStr">
        <is>
          <t>Wet-Low</t>
        </is>
      </c>
      <c r="E397" s="2388" t="inlineStr">
        <is>
          <t>Wet-Avg</t>
        </is>
      </c>
      <c r="F397" s="2388" t="inlineStr">
        <is>
          <t>Wet-Good</t>
        </is>
      </c>
      <c r="G397" s="2388" t="inlineStr">
        <is>
          <t>Wet-Excl</t>
        </is>
      </c>
      <c r="H397" s="2388" t="inlineStr">
        <is>
          <t>Dry-Low</t>
        </is>
      </c>
      <c r="I397" s="2388" t="inlineStr">
        <is>
          <t>Dry-Avg</t>
        </is>
      </c>
      <c r="J397" s="2388" t="inlineStr">
        <is>
          <t>Dry-Good</t>
        </is>
      </c>
      <c r="K397" s="2388" t="inlineStr">
        <is>
          <t>Dry-Excl</t>
        </is>
      </c>
    </row>
    <row r="398">
      <c r="C398" t="n">
        <v>2500</v>
      </c>
      <c r="D398" s="2390" t="n">
        <v>4.64</v>
      </c>
      <c r="E398" s="2390" t="n">
        <v>5.62</v>
      </c>
      <c r="F398" s="2390" t="n">
        <v>6.8</v>
      </c>
      <c r="G398" s="2390" t="n">
        <v>8.24</v>
      </c>
      <c r="H398" s="2390" t="n">
        <v>6.17</v>
      </c>
      <c r="I398" s="2390" t="n">
        <v>7.47</v>
      </c>
      <c r="J398" s="2390" t="n">
        <v>9.039999999999999</v>
      </c>
      <c r="K398" s="2390" t="n">
        <v>10.95</v>
      </c>
    </row>
    <row r="399">
      <c r="C399" t="n">
        <v>5000</v>
      </c>
      <c r="D399" s="2390" t="n">
        <v>4.17</v>
      </c>
      <c r="E399" s="2390" t="n">
        <v>5.02</v>
      </c>
      <c r="F399" s="2390" t="n">
        <v>6.05</v>
      </c>
      <c r="G399" s="2390" t="n">
        <v>7.28</v>
      </c>
      <c r="H399" s="2390" t="n">
        <v>5.51</v>
      </c>
      <c r="I399" s="2390" t="n">
        <v>6.64</v>
      </c>
      <c r="J399" s="2390" t="n">
        <v>7.99</v>
      </c>
      <c r="K399" s="2390" t="n">
        <v>9.630000000000001</v>
      </c>
    </row>
    <row r="400">
      <c r="C400" t="n">
        <v>10000</v>
      </c>
      <c r="D400" s="2390" t="n">
        <v>3.77</v>
      </c>
      <c r="E400" s="2390" t="n">
        <v>4.52</v>
      </c>
      <c r="F400" s="2390" t="n">
        <v>5.41</v>
      </c>
      <c r="G400" s="2390" t="n">
        <v>6.48</v>
      </c>
      <c r="H400" s="2390" t="n">
        <v>4.95</v>
      </c>
      <c r="I400" s="2390" t="n">
        <v>5.93</v>
      </c>
      <c r="J400" s="2390" t="n">
        <v>7.09</v>
      </c>
      <c r="K400" s="2390" t="n">
        <v>8.49</v>
      </c>
    </row>
    <row r="401">
      <c r="C401" t="n">
        <v>15000</v>
      </c>
      <c r="D401" s="2390" t="n">
        <v>3.54</v>
      </c>
      <c r="E401" s="2390" t="n">
        <v>4.23</v>
      </c>
      <c r="F401" s="2390" t="n">
        <v>5.05</v>
      </c>
      <c r="G401" s="2390" t="n">
        <v>6.03</v>
      </c>
      <c r="H401" s="2390" t="n">
        <v>4.62</v>
      </c>
      <c r="I401" s="2390" t="n">
        <v>5.52</v>
      </c>
      <c r="J401" s="2390" t="n">
        <v>6.6</v>
      </c>
      <c r="K401" s="2390" t="n">
        <v>7.88</v>
      </c>
    </row>
    <row r="402">
      <c r="C402" t="n">
        <v>20000</v>
      </c>
      <c r="D402" s="2390" t="n">
        <v>3.37</v>
      </c>
      <c r="E402" s="2390" t="n">
        <v>4.02</v>
      </c>
      <c r="F402" s="2390" t="n">
        <v>4.78</v>
      </c>
      <c r="G402" s="2390" t="n">
        <v>5.7</v>
      </c>
      <c r="H402" s="2390" t="n">
        <v>4.37</v>
      </c>
      <c r="I402" s="2390" t="n">
        <v>5.21</v>
      </c>
      <c r="J402" s="2390" t="n">
        <v>6.22</v>
      </c>
      <c r="K402" s="2390" t="n">
        <v>7.42</v>
      </c>
    </row>
    <row r="403">
      <c r="C403" t="n">
        <v>30000</v>
      </c>
      <c r="D403" s="2390" t="n">
        <v>3.18</v>
      </c>
      <c r="E403" s="2390" t="n">
        <v>3.78</v>
      </c>
      <c r="F403" s="2390" t="n">
        <v>4.49</v>
      </c>
      <c r="G403" s="2390" t="n">
        <v>5.34</v>
      </c>
      <c r="H403" s="2390" t="n">
        <v>4.12</v>
      </c>
      <c r="I403" s="2390" t="n">
        <v>4.89</v>
      </c>
      <c r="J403" s="2390" t="n">
        <v>5.8</v>
      </c>
      <c r="K403" s="2390" t="n">
        <v>6.89</v>
      </c>
    </row>
    <row r="404">
      <c r="C404" t="n">
        <v>40000</v>
      </c>
      <c r="D404" s="2390" t="n">
        <v>3.04</v>
      </c>
      <c r="E404" s="2390" t="n">
        <v>3.6</v>
      </c>
      <c r="F404" s="2390" t="n">
        <v>4.27</v>
      </c>
      <c r="G404" s="2390" t="n">
        <v>5.06</v>
      </c>
      <c r="H404" s="2390" t="n">
        <v>3.93</v>
      </c>
      <c r="I404" s="2390" t="n">
        <v>4.65</v>
      </c>
      <c r="J404" s="2390" t="n">
        <v>5.51</v>
      </c>
      <c r="K404" s="2390" t="n">
        <v>6.53</v>
      </c>
    </row>
    <row r="405">
      <c r="C405" t="n">
        <v>50000</v>
      </c>
      <c r="D405" s="2390" t="n">
        <v>2.96</v>
      </c>
      <c r="E405" s="2390" t="n">
        <v>3.5</v>
      </c>
      <c r="F405" s="2390" t="n">
        <v>4.14</v>
      </c>
      <c r="G405" s="2390" t="n">
        <v>4.89</v>
      </c>
      <c r="H405" s="2390" t="n">
        <v>3.79</v>
      </c>
      <c r="I405" s="2390" t="n">
        <v>4.48</v>
      </c>
      <c r="J405" s="2390" t="n">
        <v>5.3</v>
      </c>
      <c r="K405" s="2390" t="n">
        <v>6.27</v>
      </c>
    </row>
    <row r="406">
      <c r="C406" t="n">
        <v>60000</v>
      </c>
      <c r="D406" s="2390" t="n">
        <v>2.87</v>
      </c>
      <c r="E406" s="2390" t="n">
        <v>3.39</v>
      </c>
      <c r="F406" s="2390" t="n">
        <v>3.99</v>
      </c>
      <c r="G406" s="2390" t="n">
        <v>4.71</v>
      </c>
      <c r="H406" s="2390" t="n">
        <v>3.67</v>
      </c>
      <c r="I406" s="2390" t="n">
        <v>4.33</v>
      </c>
      <c r="J406" s="2390" t="n">
        <v>5.11</v>
      </c>
      <c r="K406" s="2390" t="n">
        <v>6.03</v>
      </c>
    </row>
    <row r="407">
      <c r="C407" t="n">
        <v>80000</v>
      </c>
      <c r="D407" s="2390" t="n">
        <v>2.74</v>
      </c>
      <c r="E407" s="2390" t="n">
        <v>3.22</v>
      </c>
      <c r="F407" s="2390" t="n">
        <v>3.79</v>
      </c>
      <c r="G407" s="2390" t="n">
        <v>4.46</v>
      </c>
      <c r="H407" s="2390" t="n">
        <v>3.49</v>
      </c>
      <c r="I407" s="2390" t="n">
        <v>4.11</v>
      </c>
      <c r="J407" s="2390" t="n">
        <v>4.85</v>
      </c>
      <c r="K407" s="2390" t="n">
        <v>5.72</v>
      </c>
    </row>
    <row r="408">
      <c r="C408" t="n">
        <v>100000</v>
      </c>
      <c r="D408" s="2390" t="n">
        <v>2.66</v>
      </c>
      <c r="E408" s="2390" t="n">
        <v>3.13</v>
      </c>
      <c r="F408" s="2390" t="n">
        <v>3.68</v>
      </c>
      <c r="G408" s="2390" t="n">
        <v>4.32</v>
      </c>
      <c r="H408" s="2390" t="n">
        <v>3.4</v>
      </c>
      <c r="I408" s="2390" t="n">
        <v>3.99</v>
      </c>
      <c r="J408" s="2390" t="n">
        <v>4.69</v>
      </c>
      <c r="K408" s="2390" t="n">
        <v>5.51</v>
      </c>
    </row>
    <row r="409">
      <c r="C409" t="n">
        <v>125000</v>
      </c>
      <c r="D409" s="2390" t="n">
        <v>2.57</v>
      </c>
      <c r="E409" s="2390" t="n">
        <v>3.02</v>
      </c>
      <c r="F409" s="2390" t="n">
        <v>3.54</v>
      </c>
      <c r="G409" s="2390" t="n">
        <v>4.15</v>
      </c>
      <c r="H409" s="2390" t="n">
        <v>3.26</v>
      </c>
      <c r="I409" s="2390" t="n">
        <v>3.83</v>
      </c>
      <c r="J409" s="2390" t="n">
        <v>4.5</v>
      </c>
      <c r="K409" s="2390" t="n">
        <v>5.28</v>
      </c>
    </row>
    <row r="410">
      <c r="C410" t="n">
        <v>150000</v>
      </c>
      <c r="D410" s="2390" t="n">
        <v>2.49</v>
      </c>
      <c r="E410" s="2390" t="n">
        <v>2.92</v>
      </c>
      <c r="F410" s="2390" t="n">
        <v>3.43</v>
      </c>
      <c r="G410" s="2390" t="n">
        <v>4.03</v>
      </c>
      <c r="H410" s="2390" t="n">
        <v>3.16</v>
      </c>
      <c r="I410" s="2390" t="n">
        <v>3.71</v>
      </c>
      <c r="J410" s="2390" t="n">
        <v>4.35</v>
      </c>
      <c r="K410" s="2390" t="n">
        <v>5.11</v>
      </c>
    </row>
    <row r="411">
      <c r="C411" t="n">
        <v>200000</v>
      </c>
      <c r="D411" s="2390" t="n">
        <v>2.4</v>
      </c>
      <c r="E411" s="2390" t="n">
        <v>2.81</v>
      </c>
      <c r="F411" s="2390" t="n">
        <v>3.28</v>
      </c>
      <c r="G411" s="2390" t="n">
        <v>3.84</v>
      </c>
      <c r="H411" s="2390" t="n">
        <v>3.04</v>
      </c>
      <c r="I411" s="2390" t="n">
        <v>3.55</v>
      </c>
      <c r="J411" s="2390" t="n">
        <v>4.16</v>
      </c>
      <c r="K411" s="2390" t="n">
        <v>4.86</v>
      </c>
    </row>
    <row r="412">
      <c r="C412" t="n">
        <v>250000</v>
      </c>
      <c r="D412" s="2390" t="n">
        <v>2.32</v>
      </c>
      <c r="E412" s="2390" t="n">
        <v>2.71</v>
      </c>
      <c r="F412" s="2390" t="n">
        <v>3.16</v>
      </c>
      <c r="G412" s="2390" t="n">
        <v>3.68</v>
      </c>
      <c r="H412" s="2390" t="n">
        <v>2.91</v>
      </c>
      <c r="I412" s="2390" t="n">
        <v>3.4</v>
      </c>
      <c r="J412" s="2390" t="n">
        <v>3.97</v>
      </c>
      <c r="K412" s="2390" t="n">
        <v>4.64</v>
      </c>
    </row>
    <row r="413">
      <c r="C413" t="n">
        <v>300000</v>
      </c>
      <c r="D413" s="2390" t="n">
        <v>2.26</v>
      </c>
      <c r="E413" s="2390" t="n">
        <v>2.63</v>
      </c>
      <c r="F413" s="2390" t="n">
        <v>3.06</v>
      </c>
      <c r="G413" s="2390" t="n">
        <v>3.56</v>
      </c>
      <c r="H413" s="2390" t="n">
        <v>2.83</v>
      </c>
      <c r="I413" s="2390" t="n">
        <v>3.29</v>
      </c>
      <c r="J413" s="2390" t="n">
        <v>3.83</v>
      </c>
      <c r="K413" s="2390" t="n">
        <v>4.45</v>
      </c>
    </row>
    <row r="414">
      <c r="C414" t="n">
        <v>400000</v>
      </c>
      <c r="D414" s="2390" t="n">
        <v>2.18</v>
      </c>
      <c r="E414" s="2390" t="n">
        <v>2.53</v>
      </c>
      <c r="F414" s="2390" t="n">
        <v>2.93</v>
      </c>
      <c r="G414" s="2390" t="n">
        <v>3.4</v>
      </c>
      <c r="H414" s="2390" t="n">
        <v>2.73</v>
      </c>
      <c r="I414" s="2390" t="n">
        <v>3.16</v>
      </c>
      <c r="J414" s="2390" t="n">
        <v>3.66</v>
      </c>
      <c r="K414" s="2390" t="n">
        <v>4.23</v>
      </c>
    </row>
    <row r="415">
      <c r="C415" t="n">
        <v>600000</v>
      </c>
      <c r="D415" s="2390" t="n">
        <v>2.02</v>
      </c>
      <c r="E415" s="2390" t="n">
        <v>2.34</v>
      </c>
      <c r="F415" s="2390" t="n">
        <v>2.72</v>
      </c>
      <c r="G415" s="2390" t="n">
        <v>3.15</v>
      </c>
      <c r="H415" s="2390" t="n">
        <v>2.52</v>
      </c>
      <c r="I415" s="2390" t="n">
        <v>2.93</v>
      </c>
      <c r="J415" s="2390" t="n">
        <v>3.4</v>
      </c>
      <c r="K415" s="2390" t="n">
        <v>3.95</v>
      </c>
    </row>
    <row r="416">
      <c r="C416" t="n">
        <v>800000</v>
      </c>
      <c r="D416" s="2390" t="n">
        <v>1.94</v>
      </c>
      <c r="E416" s="2390" t="n">
        <v>2.25</v>
      </c>
      <c r="F416" s="2390" t="n">
        <v>2.61</v>
      </c>
      <c r="G416" s="2390" t="n">
        <v>3.02</v>
      </c>
      <c r="H416" s="2390" t="n">
        <v>2.43</v>
      </c>
      <c r="I416" s="2390" t="n">
        <v>2.81</v>
      </c>
      <c r="J416" s="2390" t="n">
        <v>3.25</v>
      </c>
      <c r="K416" s="2390" t="n">
        <v>3.76</v>
      </c>
    </row>
    <row r="417">
      <c r="C417" t="n">
        <v>1000000</v>
      </c>
      <c r="D417" s="2390" t="n">
        <v>1.86</v>
      </c>
      <c r="E417" s="2390" t="n">
        <v>2.15</v>
      </c>
      <c r="F417" s="2390" t="n">
        <v>2.49</v>
      </c>
      <c r="G417" s="2390" t="n">
        <v>2.88</v>
      </c>
      <c r="H417" s="2390" t="n">
        <v>2.32</v>
      </c>
      <c r="I417" s="2390" t="n">
        <v>2.68</v>
      </c>
      <c r="J417" s="2390" t="n">
        <v>3.1</v>
      </c>
      <c r="K417" s="2390" t="n">
        <v>3.59</v>
      </c>
    </row>
    <row r="419">
      <c r="B419" s="2388" t="inlineStr">
        <is>
          <t>Section 13</t>
        </is>
      </c>
      <c r="C419" s="2388" t="inlineStr">
        <is>
          <t>Coverage (SF)</t>
        </is>
      </c>
      <c r="D419" s="2388" t="inlineStr">
        <is>
          <t>Wet-Low</t>
        </is>
      </c>
      <c r="E419" s="2388" t="inlineStr">
        <is>
          <t>Wet-Avg</t>
        </is>
      </c>
      <c r="F419" s="2388" t="inlineStr">
        <is>
          <t>Wet-Good</t>
        </is>
      </c>
      <c r="G419" s="2388" t="inlineStr">
        <is>
          <t>Wet-Excl</t>
        </is>
      </c>
      <c r="H419" s="2388" t="inlineStr">
        <is>
          <t>Dry-Low</t>
        </is>
      </c>
      <c r="I419" s="2388" t="inlineStr">
        <is>
          <t>Dry-Avg</t>
        </is>
      </c>
      <c r="J419" s="2388" t="inlineStr">
        <is>
          <t>Dry-Good</t>
        </is>
      </c>
      <c r="K419" s="2388" t="inlineStr">
        <is>
          <t>Dry-Excl</t>
        </is>
      </c>
    </row>
    <row r="420">
      <c r="C420" t="n">
        <v>1000</v>
      </c>
      <c r="D420" s="2390" t="n">
        <v>6.05</v>
      </c>
      <c r="E420" s="2390" t="n">
        <v>7.18</v>
      </c>
      <c r="F420" s="2390" t="n">
        <v>8.51</v>
      </c>
      <c r="G420" s="2390" t="n">
        <v>10.1</v>
      </c>
      <c r="H420" s="2390" t="n">
        <v>7.83</v>
      </c>
      <c r="I420" s="2390" t="n">
        <v>9.300000000000001</v>
      </c>
      <c r="J420" s="2390" t="n">
        <v>11.05</v>
      </c>
      <c r="K420" s="2390" t="n">
        <v>13.1</v>
      </c>
    </row>
    <row r="421">
      <c r="C421" t="n">
        <v>2000</v>
      </c>
      <c r="D421" s="2390" t="n">
        <v>5.46</v>
      </c>
      <c r="E421" s="2390" t="n">
        <v>6.43</v>
      </c>
      <c r="F421" s="2390" t="n">
        <v>7.57</v>
      </c>
      <c r="G421" s="2390" t="n">
        <v>8.92</v>
      </c>
      <c r="H421" s="2390" t="n">
        <v>6.99</v>
      </c>
      <c r="I421" s="2390" t="n">
        <v>8.24</v>
      </c>
      <c r="J421" s="2390" t="n">
        <v>9.710000000000001</v>
      </c>
      <c r="K421" s="2390" t="n">
        <v>11.45</v>
      </c>
    </row>
    <row r="422">
      <c r="C422" t="n">
        <v>3000</v>
      </c>
      <c r="D422" s="2390" t="n">
        <v>5.13</v>
      </c>
      <c r="E422" s="2390" t="n">
        <v>6.03</v>
      </c>
      <c r="F422" s="2390" t="n">
        <v>7.08</v>
      </c>
      <c r="G422" s="2390" t="n">
        <v>8.32</v>
      </c>
      <c r="H422" s="2390" t="n">
        <v>6.53</v>
      </c>
      <c r="I422" s="2390" t="n">
        <v>7.67</v>
      </c>
      <c r="J422" s="2390" t="n">
        <v>9.02</v>
      </c>
      <c r="K422" s="2390" t="n">
        <v>10.6</v>
      </c>
    </row>
    <row r="423">
      <c r="C423" t="n">
        <v>5000</v>
      </c>
      <c r="D423" s="2390" t="n">
        <v>4.73</v>
      </c>
      <c r="E423" s="2390" t="n">
        <v>5.54</v>
      </c>
      <c r="F423" s="2390" t="n">
        <v>6.5</v>
      </c>
      <c r="G423" s="2390" t="n">
        <v>7.62</v>
      </c>
      <c r="H423" s="2390" t="n">
        <v>6.02</v>
      </c>
      <c r="I423" s="2390" t="n">
        <v>7.05</v>
      </c>
      <c r="J423" s="2390" t="n">
        <v>8.26</v>
      </c>
      <c r="K423" s="2390" t="n">
        <v>9.67</v>
      </c>
    </row>
    <row r="424">
      <c r="C424" t="n">
        <v>10000</v>
      </c>
      <c r="D424" s="2390" t="n">
        <v>4.26</v>
      </c>
      <c r="E424" s="2390" t="n">
        <v>4.96</v>
      </c>
      <c r="F424" s="2390" t="n">
        <v>5.77</v>
      </c>
      <c r="G424" s="2390" t="n">
        <v>6.72</v>
      </c>
      <c r="H424" s="2390" t="n">
        <v>5.35</v>
      </c>
      <c r="I424" s="2390" t="n">
        <v>6.23</v>
      </c>
      <c r="J424" s="2390" t="n">
        <v>7.26</v>
      </c>
      <c r="K424" s="2390" t="n">
        <v>8.449999999999999</v>
      </c>
    </row>
    <row r="425">
      <c r="C425" t="n">
        <v>15000</v>
      </c>
      <c r="D425" s="2390" t="n">
        <v>3.99</v>
      </c>
      <c r="E425" s="2390" t="n">
        <v>4.64</v>
      </c>
      <c r="F425" s="2390" t="n">
        <v>5.39</v>
      </c>
      <c r="G425" s="2390" t="n">
        <v>6.26</v>
      </c>
      <c r="H425" s="2390" t="n">
        <v>5</v>
      </c>
      <c r="I425" s="2390" t="n">
        <v>5.81</v>
      </c>
      <c r="J425" s="2390" t="n">
        <v>6.74</v>
      </c>
      <c r="K425" s="2390" t="n">
        <v>7.83</v>
      </c>
    </row>
    <row r="426">
      <c r="C426" t="n">
        <v>20000</v>
      </c>
      <c r="D426" s="2390" t="n">
        <v>3.83</v>
      </c>
      <c r="E426" s="2390" t="n">
        <v>4.44</v>
      </c>
      <c r="F426" s="2390" t="n">
        <v>5.15</v>
      </c>
      <c r="G426" s="2390" t="n">
        <v>5.97</v>
      </c>
      <c r="H426" s="2390" t="n">
        <v>4.78</v>
      </c>
      <c r="I426" s="2390" t="n">
        <v>5.54</v>
      </c>
      <c r="J426" s="2390" t="n">
        <v>6.41</v>
      </c>
      <c r="K426" s="2390" t="n">
        <v>7.43</v>
      </c>
    </row>
    <row r="427">
      <c r="C427" t="n">
        <v>30000</v>
      </c>
      <c r="D427" s="2390" t="n">
        <v>3.6</v>
      </c>
      <c r="E427" s="2390" t="n">
        <v>4.16</v>
      </c>
      <c r="F427" s="2390" t="n">
        <v>4.8</v>
      </c>
      <c r="G427" s="2390" t="n">
        <v>5.54</v>
      </c>
      <c r="H427" s="2390" t="n">
        <v>4.48</v>
      </c>
      <c r="I427" s="2390" t="n">
        <v>5.17</v>
      </c>
      <c r="J427" s="2390" t="n">
        <v>5.97</v>
      </c>
      <c r="K427" s="2390" t="n">
        <v>6.89</v>
      </c>
    </row>
    <row r="428">
      <c r="C428" t="n">
        <v>50000</v>
      </c>
      <c r="D428" s="2390" t="n">
        <v>3.35</v>
      </c>
      <c r="E428" s="2390" t="n">
        <v>3.85</v>
      </c>
      <c r="F428" s="2390" t="n">
        <v>4.42</v>
      </c>
      <c r="G428" s="2390" t="n">
        <v>5.07</v>
      </c>
      <c r="H428" s="2390" t="n">
        <v>4.13</v>
      </c>
      <c r="I428" s="2390" t="n">
        <v>4.73</v>
      </c>
      <c r="J428" s="2390" t="n">
        <v>5.43</v>
      </c>
      <c r="K428" s="2390" t="n">
        <v>6.22</v>
      </c>
    </row>
    <row r="429">
      <c r="C429" t="n">
        <v>75000</v>
      </c>
      <c r="D429" s="2390" t="n">
        <v>3.11</v>
      </c>
      <c r="E429" s="2390" t="n">
        <v>3.57</v>
      </c>
      <c r="F429" s="2390" t="n">
        <v>4.1</v>
      </c>
      <c r="G429" s="2390" t="n">
        <v>4.7</v>
      </c>
      <c r="H429" s="2390" t="n">
        <v>3.83</v>
      </c>
      <c r="I429" s="2390" t="n">
        <v>4.39</v>
      </c>
      <c r="J429" s="2390" t="n">
        <v>5.03</v>
      </c>
      <c r="K429" s="2390" t="n">
        <v>5.76</v>
      </c>
    </row>
    <row r="430">
      <c r="C430" t="n">
        <v>100000</v>
      </c>
      <c r="D430" s="2390" t="n">
        <v>2.97</v>
      </c>
      <c r="E430" s="2390" t="n">
        <v>3.41</v>
      </c>
      <c r="F430" s="2390" t="n">
        <v>3.91</v>
      </c>
      <c r="G430" s="2390" t="n">
        <v>4.48</v>
      </c>
      <c r="H430" s="2390" t="n">
        <v>3.65</v>
      </c>
      <c r="I430" s="2390" t="n">
        <v>4.18</v>
      </c>
      <c r="J430" s="2390" t="n">
        <v>4.79</v>
      </c>
      <c r="K430" s="2390" t="n">
        <v>5.49</v>
      </c>
    </row>
    <row r="431">
      <c r="C431" t="n">
        <v>150000</v>
      </c>
      <c r="D431" s="2390" t="n">
        <v>2.79</v>
      </c>
      <c r="E431" s="2390" t="n">
        <v>3.2</v>
      </c>
      <c r="F431" s="2390" t="n">
        <v>3.66</v>
      </c>
      <c r="G431" s="2390" t="n">
        <v>4.19</v>
      </c>
      <c r="H431" s="2390" t="n">
        <v>3.43</v>
      </c>
      <c r="I431" s="2390" t="n">
        <v>3.92</v>
      </c>
      <c r="J431" s="2390" t="n">
        <v>4.49</v>
      </c>
      <c r="K431" s="2390" t="n">
        <v>5.13</v>
      </c>
    </row>
    <row r="432">
      <c r="C432" t="n">
        <v>200000</v>
      </c>
      <c r="D432" s="2390" t="n">
        <v>2.7</v>
      </c>
      <c r="E432" s="2390" t="n">
        <v>3.07</v>
      </c>
      <c r="F432" s="2390" t="n">
        <v>3.49</v>
      </c>
      <c r="G432" s="2390" t="n">
        <v>3.97</v>
      </c>
      <c r="H432" s="2390" t="n">
        <v>3.29</v>
      </c>
      <c r="I432" s="2390" t="n">
        <v>3.73</v>
      </c>
      <c r="J432" s="2390" t="n">
        <v>4.24</v>
      </c>
      <c r="K432" s="2390" t="n">
        <v>4.81</v>
      </c>
    </row>
    <row r="433">
      <c r="C433" t="n">
        <v>300000</v>
      </c>
      <c r="D433" s="2390" t="n">
        <v>2.52</v>
      </c>
      <c r="E433" s="2390" t="n">
        <v>2.86</v>
      </c>
      <c r="F433" s="2390" t="n">
        <v>3.24</v>
      </c>
      <c r="G433" s="2390" t="n">
        <v>3.68</v>
      </c>
      <c r="H433" s="2390" t="n">
        <v>3.05</v>
      </c>
      <c r="I433" s="2390" t="n">
        <v>3.46</v>
      </c>
      <c r="J433" s="2390" t="n">
        <v>3.93</v>
      </c>
      <c r="K433" s="2390" t="n">
        <v>4.46</v>
      </c>
    </row>
    <row r="434">
      <c r="C434" t="n">
        <v>400000</v>
      </c>
      <c r="D434" s="2390" t="n">
        <v>2.43</v>
      </c>
      <c r="E434" s="2390" t="n">
        <v>2.74</v>
      </c>
      <c r="F434" s="2390" t="n">
        <v>3.09</v>
      </c>
      <c r="G434" s="2390" t="n">
        <v>3.49</v>
      </c>
      <c r="H434" s="2390" t="n">
        <v>2.91</v>
      </c>
      <c r="I434" s="2390" t="n">
        <v>3.29</v>
      </c>
      <c r="J434" s="2390" t="n">
        <v>3.71</v>
      </c>
      <c r="K434" s="2390" t="n">
        <v>4.19</v>
      </c>
    </row>
    <row r="435">
      <c r="C435" t="n">
        <v>600000</v>
      </c>
      <c r="D435" s="2390" t="n">
        <v>2.27</v>
      </c>
      <c r="E435" s="2390" t="n">
        <v>2.56</v>
      </c>
      <c r="F435" s="2390" t="n">
        <v>2.9</v>
      </c>
      <c r="G435" s="2390" t="n">
        <v>3.27</v>
      </c>
      <c r="H435" s="2390" t="n">
        <v>2.72</v>
      </c>
      <c r="I435" s="2390" t="n">
        <v>3.07</v>
      </c>
      <c r="J435" s="2390" t="n">
        <v>3.46</v>
      </c>
      <c r="K435" s="2390" t="n">
        <v>3.91</v>
      </c>
    </row>
    <row r="436">
      <c r="C436" t="n">
        <v>800000</v>
      </c>
      <c r="D436" s="2390" t="n">
        <v>2.19</v>
      </c>
      <c r="E436" s="2390" t="n">
        <v>2.46</v>
      </c>
      <c r="F436" s="2390" t="n">
        <v>2.77</v>
      </c>
      <c r="G436" s="2390" t="n">
        <v>3.11</v>
      </c>
      <c r="H436" s="2390" t="n">
        <v>2.62</v>
      </c>
      <c r="I436" s="2390" t="n">
        <v>2.94</v>
      </c>
      <c r="J436" s="2390" t="n">
        <v>3.31</v>
      </c>
      <c r="K436" s="2390" t="n">
        <v>3.72</v>
      </c>
    </row>
    <row r="437">
      <c r="C437" t="n">
        <v>1000000</v>
      </c>
      <c r="D437" s="2390" t="n">
        <v>2.11</v>
      </c>
      <c r="E437" s="2390" t="n">
        <v>2.37</v>
      </c>
      <c r="F437" s="2390" t="n">
        <v>2.66</v>
      </c>
      <c r="G437" s="2390" t="n">
        <v>2.99</v>
      </c>
      <c r="H437" s="2390" t="n">
        <v>2.52</v>
      </c>
      <c r="I437" s="2390" t="n">
        <v>2.83</v>
      </c>
      <c r="J437" s="2390" t="n">
        <v>3.17</v>
      </c>
      <c r="K437" s="2390" t="n">
        <v>3.56</v>
      </c>
    </row>
    <row r="439">
      <c r="B439" s="2388" t="inlineStr">
        <is>
          <t>Section 15</t>
        </is>
      </c>
      <c r="C439" s="2388" t="inlineStr">
        <is>
          <t>Coverage (SF)</t>
        </is>
      </c>
      <c r="D439" s="2388" t="inlineStr">
        <is>
          <t>Wet-Low</t>
        </is>
      </c>
      <c r="E439" s="2388" t="inlineStr">
        <is>
          <t>Wet-Avg</t>
        </is>
      </c>
      <c r="F439" s="2388" t="inlineStr">
        <is>
          <t>Wet-Good</t>
        </is>
      </c>
      <c r="G439" s="2388" t="inlineStr">
        <is>
          <t>Wet-Excl</t>
        </is>
      </c>
      <c r="H439" s="2388" t="inlineStr">
        <is>
          <t>Dry-Low</t>
        </is>
      </c>
      <c r="I439" s="2388" t="inlineStr">
        <is>
          <t>Dry-Avg</t>
        </is>
      </c>
      <c r="J439" s="2388" t="inlineStr">
        <is>
          <t>Dry-Good</t>
        </is>
      </c>
      <c r="K439" s="2388" t="inlineStr">
        <is>
          <t>Dry-Excl</t>
        </is>
      </c>
    </row>
    <row r="440">
      <c r="C440" t="n">
        <v>1500</v>
      </c>
      <c r="D440" s="2390" t="n">
        <v>6.24</v>
      </c>
      <c r="E440" s="2390" t="n">
        <v>7.41</v>
      </c>
      <c r="F440" s="2390" t="n">
        <v>8.800000000000001</v>
      </c>
      <c r="G440" s="2390" t="n">
        <v>10.45</v>
      </c>
      <c r="H440" s="2390" t="n">
        <v>8.08</v>
      </c>
      <c r="I440" s="2390" t="n">
        <v>9.6</v>
      </c>
      <c r="J440" s="2390" t="n">
        <v>11.4</v>
      </c>
      <c r="K440" s="2390" t="n">
        <v>13.55</v>
      </c>
    </row>
    <row r="441">
      <c r="C441" t="n">
        <v>5000</v>
      </c>
      <c r="D441" s="2390" t="n">
        <v>5.17</v>
      </c>
      <c r="E441" s="2390" t="n">
        <v>6.09</v>
      </c>
      <c r="F441" s="2390" t="n">
        <v>7.16</v>
      </c>
      <c r="G441" s="2390" t="n">
        <v>8.43</v>
      </c>
      <c r="H441" s="2390" t="n">
        <v>6.58</v>
      </c>
      <c r="I441" s="2390" t="n">
        <v>7.75</v>
      </c>
      <c r="J441" s="2390" t="n">
        <v>9.130000000000001</v>
      </c>
      <c r="K441" s="2390" t="n">
        <v>10.75</v>
      </c>
    </row>
    <row r="442">
      <c r="C442" t="n">
        <v>10000</v>
      </c>
      <c r="D442" s="2390" t="n">
        <v>4.65</v>
      </c>
      <c r="E442" s="2390" t="n">
        <v>5.45</v>
      </c>
      <c r="F442" s="2390" t="n">
        <v>6.38</v>
      </c>
      <c r="G442" s="2390" t="n">
        <v>7.47</v>
      </c>
      <c r="H442" s="2390" t="n">
        <v>5.89</v>
      </c>
      <c r="I442" s="2390" t="n">
        <v>6.9</v>
      </c>
      <c r="J442" s="2390" t="n">
        <v>8.07</v>
      </c>
      <c r="K442" s="2390" t="n">
        <v>9.449999999999999</v>
      </c>
    </row>
    <row r="443">
      <c r="C443" t="n">
        <v>20000</v>
      </c>
      <c r="D443" s="2390" t="n">
        <v>4.14</v>
      </c>
      <c r="E443" s="2390" t="n">
        <v>4.83</v>
      </c>
      <c r="F443" s="2390" t="n">
        <v>5.64</v>
      </c>
      <c r="G443" s="2390" t="n">
        <v>6.58</v>
      </c>
      <c r="H443" s="2390" t="n">
        <v>5.23</v>
      </c>
      <c r="I443" s="2390" t="n">
        <v>6.1</v>
      </c>
      <c r="J443" s="2390" t="n">
        <v>7.12</v>
      </c>
      <c r="K443" s="2390" t="n">
        <v>8.300000000000001</v>
      </c>
    </row>
    <row r="444">
      <c r="C444" t="n">
        <v>50000</v>
      </c>
      <c r="D444" s="2390" t="n">
        <v>3.61</v>
      </c>
      <c r="E444" s="2390" t="n">
        <v>4.17</v>
      </c>
      <c r="F444" s="2390" t="n">
        <v>4.83</v>
      </c>
      <c r="G444" s="2390" t="n">
        <v>5.58</v>
      </c>
      <c r="H444" s="2390" t="n">
        <v>4.47</v>
      </c>
      <c r="I444" s="2390" t="n">
        <v>5.18</v>
      </c>
      <c r="J444" s="2390" t="n">
        <v>6</v>
      </c>
      <c r="K444" s="2390" t="n">
        <v>6.96</v>
      </c>
    </row>
    <row r="445">
      <c r="C445" t="n">
        <v>100000</v>
      </c>
      <c r="D445" s="2390" t="n">
        <v>3.26</v>
      </c>
      <c r="E445" s="2390" t="n">
        <v>3.75</v>
      </c>
      <c r="F445" s="2390" t="n">
        <v>4.31</v>
      </c>
      <c r="G445" s="2390" t="n">
        <v>4.95</v>
      </c>
      <c r="H445" s="2390" t="n">
        <v>4</v>
      </c>
      <c r="I445" s="2390" t="n">
        <v>4.61</v>
      </c>
      <c r="J445" s="2390" t="n">
        <v>5.31</v>
      </c>
      <c r="K445" s="2390" t="n">
        <v>6.11</v>
      </c>
    </row>
    <row r="446">
      <c r="C446" t="n">
        <v>250000</v>
      </c>
      <c r="D446" s="2390" t="n">
        <v>2.8</v>
      </c>
      <c r="E446" s="2390" t="n">
        <v>3.21</v>
      </c>
      <c r="F446" s="2390" t="n">
        <v>3.67</v>
      </c>
      <c r="G446" s="2390" t="n">
        <v>4.21</v>
      </c>
      <c r="H446" s="2390" t="n">
        <v>3.43</v>
      </c>
      <c r="I446" s="2390" t="n">
        <v>3.93</v>
      </c>
      <c r="J446" s="2390" t="n">
        <v>4.5</v>
      </c>
      <c r="K446" s="2390" t="n">
        <v>5.15</v>
      </c>
    </row>
    <row r="447">
      <c r="C447" t="n">
        <v>500000</v>
      </c>
      <c r="D447" s="2390" t="n">
        <v>2.52</v>
      </c>
      <c r="E447" s="2390" t="n">
        <v>2.87</v>
      </c>
      <c r="F447" s="2390" t="n">
        <v>3.27</v>
      </c>
      <c r="G447" s="2390" t="n">
        <v>3.72</v>
      </c>
      <c r="H447" s="2390" t="n">
        <v>3.06</v>
      </c>
      <c r="I447" s="2390" t="n">
        <v>3.48</v>
      </c>
      <c r="J447" s="2390" t="n">
        <v>3.95</v>
      </c>
      <c r="K447" s="2390" t="n">
        <v>4.49</v>
      </c>
    </row>
    <row r="450">
      <c r="B450" s="2387" t="inlineStr">
        <is>
          <t>REFERENCE 7 -- Elevator Lump-Sum + Per-Stop Cost Tables (per MVS section) -- for manual add/deduct</t>
        </is>
      </c>
      <c r="C450" s="2387" t="n"/>
      <c r="D450" s="2387" t="n"/>
      <c r="E450" s="2387" t="n"/>
      <c r="F450" s="2387" t="n"/>
      <c r="G450" s="2387" t="n"/>
      <c r="H450" s="2387" t="n"/>
    </row>
    <row r="451">
      <c r="B451" s="2388" t="inlineStr">
        <is>
          <t>Section 14</t>
        </is>
      </c>
      <c r="C451" s="2388" t="inlineStr">
        <is>
          <t>Type</t>
        </is>
      </c>
      <c r="D451" s="2388" t="inlineStr">
        <is>
          <t>Low</t>
        </is>
      </c>
      <c r="E451" s="2388" t="inlineStr">
        <is>
          <t>Average</t>
        </is>
      </c>
      <c r="F451" s="2388" t="inlineStr">
        <is>
          <t>Good</t>
        </is>
      </c>
      <c r="G451" s="2388" t="inlineStr">
        <is>
          <t>Excellent</t>
        </is>
      </c>
    </row>
    <row r="452">
      <c r="C452" t="inlineStr">
        <is>
          <t>Passenger, 2-3 story (base)</t>
        </is>
      </c>
      <c r="D452" t="n">
        <v>66250</v>
      </c>
      <c r="E452" t="n">
        <v>78000</v>
      </c>
      <c r="F452" t="n">
        <v>92000</v>
      </c>
      <c r="G452" t="n">
        <v>108000</v>
      </c>
    </row>
    <row r="453">
      <c r="C453" t="inlineStr">
        <is>
          <t>Passenger, 4-story+ (base)</t>
        </is>
      </c>
      <c r="D453" t="n">
        <v>116000</v>
      </c>
      <c r="E453" t="n">
        <v>133000</v>
      </c>
      <c r="F453" t="n">
        <v>152000</v>
      </c>
      <c r="G453" t="n">
        <v>175000</v>
      </c>
    </row>
    <row r="454">
      <c r="C454" t="inlineStr">
        <is>
          <t>Passenger, per stop</t>
        </is>
      </c>
      <c r="D454" t="n">
        <v>9650</v>
      </c>
      <c r="E454" t="n">
        <v>11100</v>
      </c>
      <c r="F454" t="n">
        <v>12700</v>
      </c>
      <c r="G454" t="n">
        <v>14600</v>
      </c>
    </row>
    <row r="455">
      <c r="C455" t="inlineStr">
        <is>
          <t>Freight, 2-3 story (base)</t>
        </is>
      </c>
      <c r="D455" t="n">
        <v>51250</v>
      </c>
      <c r="E455" t="n">
        <v>67750</v>
      </c>
      <c r="F455" t="n">
        <v>89500</v>
      </c>
      <c r="G455" t="n">
        <v>118000</v>
      </c>
    </row>
    <row r="456">
      <c r="C456" t="inlineStr">
        <is>
          <t>Freight, 4-story+ (base)</t>
        </is>
      </c>
      <c r="D456" t="n">
        <v>101000</v>
      </c>
      <c r="E456" t="n">
        <v>127000</v>
      </c>
      <c r="F456" t="n">
        <v>160000</v>
      </c>
      <c r="G456" t="n">
        <v>203000</v>
      </c>
    </row>
    <row r="457">
      <c r="C457" t="inlineStr">
        <is>
          <t>Freight, per stop (manual doors)</t>
        </is>
      </c>
      <c r="D457" t="n">
        <v>13000</v>
      </c>
      <c r="E457" t="n">
        <v>14100</v>
      </c>
      <c r="F457" t="n">
        <v>15400</v>
      </c>
      <c r="G457" t="n">
        <v>16700</v>
      </c>
    </row>
    <row r="458">
      <c r="C458" t="inlineStr">
        <is>
          <t>Freight, per stop (power doors)</t>
        </is>
      </c>
      <c r="D458" t="n">
        <v>22600</v>
      </c>
      <c r="E458" t="n">
        <v>24600</v>
      </c>
      <c r="F458" t="n">
        <v>26900</v>
      </c>
      <c r="G458" t="n">
        <v>29300</v>
      </c>
    </row>
    <row r="459">
      <c r="C459" t="inlineStr">
        <is>
          <t>Escalator, per stairway</t>
        </is>
      </c>
      <c r="D459" t="n">
        <v>270000</v>
      </c>
      <c r="E459" t="n">
        <v>289000</v>
      </c>
      <c r="F459" t="n">
        <v>309000</v>
      </c>
      <c r="G459" t="n">
        <v>330000</v>
      </c>
    </row>
    <row r="460">
      <c r="C460" t="inlineStr">
        <is>
          <t>Vertical wheelchair lift, each</t>
        </is>
      </c>
      <c r="D460" t="n">
        <v>17500</v>
      </c>
      <c r="E460" t="n">
        <v>22200</v>
      </c>
      <c r="F460" t="n">
        <v>28300</v>
      </c>
      <c r="G460" t="n">
        <v>36000</v>
      </c>
    </row>
    <row r="462">
      <c r="B462" s="2388" t="inlineStr">
        <is>
          <t>Section 15</t>
        </is>
      </c>
      <c r="C462" s="2388" t="inlineStr">
        <is>
          <t>Type</t>
        </is>
      </c>
      <c r="D462" s="2388" t="inlineStr">
        <is>
          <t>Low</t>
        </is>
      </c>
      <c r="E462" s="2388" t="inlineStr">
        <is>
          <t>Average</t>
        </is>
      </c>
      <c r="F462" s="2388" t="inlineStr">
        <is>
          <t>Good</t>
        </is>
      </c>
      <c r="G462" s="2388" t="inlineStr">
        <is>
          <t>Excellent</t>
        </is>
      </c>
    </row>
    <row r="463">
      <c r="C463" t="inlineStr">
        <is>
          <t>Passenger, 2-3 story (base)</t>
        </is>
      </c>
      <c r="D463" t="n">
        <v>67500</v>
      </c>
      <c r="E463" t="n">
        <v>80000</v>
      </c>
      <c r="F463" t="n">
        <v>94250</v>
      </c>
      <c r="G463" t="n">
        <v>111000</v>
      </c>
    </row>
    <row r="464">
      <c r="C464" t="inlineStr">
        <is>
          <t>Passenger, 4-7 story (base)</t>
        </is>
      </c>
      <c r="D464" t="n">
        <v>117000</v>
      </c>
      <c r="E464" t="n">
        <v>134000</v>
      </c>
      <c r="F464" t="n">
        <v>154000</v>
      </c>
      <c r="G464" t="n">
        <v>176000</v>
      </c>
    </row>
    <row r="465">
      <c r="C465" t="inlineStr">
        <is>
          <t>Passenger, 8-story+ (base)</t>
        </is>
      </c>
      <c r="D465" t="n">
        <v>179000</v>
      </c>
      <c r="E465" t="n">
        <v>227000</v>
      </c>
      <c r="F465" t="n">
        <v>285000</v>
      </c>
      <c r="G465" t="n">
        <v>362000</v>
      </c>
    </row>
    <row r="466">
      <c r="C466" t="inlineStr">
        <is>
          <t>Passenger, per stop</t>
        </is>
      </c>
      <c r="D466" t="n">
        <v>9350</v>
      </c>
      <c r="E466" t="n">
        <v>10800</v>
      </c>
      <c r="F466" t="n">
        <v>12500</v>
      </c>
      <c r="G466" t="n">
        <v>14300</v>
      </c>
    </row>
    <row r="467">
      <c r="C467" t="inlineStr">
        <is>
          <t>Freight, 2-3 story (base)</t>
        </is>
      </c>
      <c r="D467" t="n">
        <v>49800</v>
      </c>
      <c r="E467" t="n">
        <v>66000</v>
      </c>
      <c r="F467" t="n">
        <v>87500</v>
      </c>
      <c r="G467" t="n">
        <v>115000</v>
      </c>
    </row>
    <row r="468">
      <c r="C468" t="inlineStr">
        <is>
          <t>Freight, 4-story+ (base)</t>
        </is>
      </c>
      <c r="D468" t="n">
        <v>97500</v>
      </c>
      <c r="E468" t="n">
        <v>123000</v>
      </c>
      <c r="F468" t="n">
        <v>157000</v>
      </c>
      <c r="G468" t="n">
        <v>199000</v>
      </c>
    </row>
    <row r="469">
      <c r="C469" t="inlineStr">
        <is>
          <t>Freight, per stop (manual doors)</t>
        </is>
      </c>
      <c r="D469" t="n">
        <v>12600</v>
      </c>
      <c r="E469" t="n">
        <v>13700</v>
      </c>
      <c r="F469" t="n">
        <v>15100</v>
      </c>
      <c r="G469" t="n">
        <v>16400</v>
      </c>
    </row>
    <row r="470">
      <c r="C470" t="inlineStr">
        <is>
          <t>Freight, per stop (power doors)</t>
        </is>
      </c>
      <c r="D470" t="n">
        <v>22000</v>
      </c>
      <c r="E470" t="n">
        <v>23900</v>
      </c>
      <c r="F470" t="n">
        <v>26200</v>
      </c>
      <c r="G470" t="n">
        <v>28400</v>
      </c>
    </row>
    <row r="471">
      <c r="C471" t="inlineStr">
        <is>
          <t>Escalator, per stairway</t>
        </is>
      </c>
      <c r="D471" t="n">
        <v>262000</v>
      </c>
      <c r="E471" t="n">
        <v>278000</v>
      </c>
      <c r="F471" t="n">
        <v>296000</v>
      </c>
      <c r="G471" t="n">
        <v>315000</v>
      </c>
    </row>
    <row r="472">
      <c r="C472" t="inlineStr">
        <is>
          <t>Vertical wheelchair lift, each</t>
        </is>
      </c>
      <c r="D472" t="n">
        <v>18100</v>
      </c>
      <c r="E472" t="n">
        <v>23300</v>
      </c>
      <c r="F472" t="n">
        <v>30300</v>
      </c>
      <c r="G472" t="n">
        <v>39000</v>
      </c>
    </row>
    <row r="474">
      <c r="B474" s="2388" t="inlineStr">
        <is>
          <t>Section 11</t>
        </is>
      </c>
      <c r="C474" s="2388" t="inlineStr">
        <is>
          <t>Type</t>
        </is>
      </c>
      <c r="D474" s="2388" t="inlineStr">
        <is>
          <t>Low</t>
        </is>
      </c>
      <c r="E474" s="2388" t="inlineStr">
        <is>
          <t>Average</t>
        </is>
      </c>
      <c r="F474" s="2388" t="inlineStr">
        <is>
          <t>Good</t>
        </is>
      </c>
      <c r="G474" s="2388" t="inlineStr">
        <is>
          <t>Excellent</t>
        </is>
      </c>
    </row>
    <row r="475">
      <c r="C475" t="inlineStr">
        <is>
          <t>Passenger, 2-3 story (base)</t>
        </is>
      </c>
      <c r="D475" t="n">
        <v>67500</v>
      </c>
      <c r="E475" t="n">
        <v>79500</v>
      </c>
      <c r="F475" t="n">
        <v>93750</v>
      </c>
      <c r="G475" t="n">
        <v>110000</v>
      </c>
    </row>
    <row r="476">
      <c r="C476" t="inlineStr">
        <is>
          <t>Passenger, 4-7 story (base)</t>
        </is>
      </c>
      <c r="D476" t="n">
        <v>117000</v>
      </c>
      <c r="E476" t="n">
        <v>135000</v>
      </c>
      <c r="F476" t="n">
        <v>154000</v>
      </c>
      <c r="G476" t="n">
        <v>177000</v>
      </c>
    </row>
    <row r="477">
      <c r="C477" t="inlineStr">
        <is>
          <t>Passenger, 8-story+ (base)</t>
        </is>
      </c>
      <c r="D477" t="n">
        <v>180000</v>
      </c>
      <c r="E477" t="n">
        <v>228000</v>
      </c>
      <c r="F477" t="n">
        <v>287000</v>
      </c>
      <c r="G477" t="n">
        <v>363000</v>
      </c>
    </row>
    <row r="478">
      <c r="C478" t="inlineStr">
        <is>
          <t>Passenger, per stop</t>
        </is>
      </c>
      <c r="D478" t="n">
        <v>9700</v>
      </c>
      <c r="E478" t="n">
        <v>11100</v>
      </c>
      <c r="F478" t="n">
        <v>12800</v>
      </c>
      <c r="G478" t="n">
        <v>14700</v>
      </c>
    </row>
    <row r="479">
      <c r="C479" t="inlineStr">
        <is>
          <t>Freight, 2-3 story (base)</t>
        </is>
      </c>
      <c r="D479" t="n">
        <v>51000</v>
      </c>
      <c r="E479" t="n">
        <v>67500</v>
      </c>
      <c r="F479" t="n">
        <v>89000</v>
      </c>
      <c r="G479" t="n">
        <v>118000</v>
      </c>
    </row>
    <row r="480">
      <c r="C480" t="inlineStr">
        <is>
          <t>Freight, 4-story+ (base)</t>
        </is>
      </c>
      <c r="D480" t="n">
        <v>100000</v>
      </c>
      <c r="E480" t="n">
        <v>126000</v>
      </c>
      <c r="F480" t="n">
        <v>160000</v>
      </c>
      <c r="G480" t="n">
        <v>202000</v>
      </c>
    </row>
    <row r="481">
      <c r="C481" t="inlineStr">
        <is>
          <t>Freight, per stop (manual doors)</t>
        </is>
      </c>
      <c r="D481" t="n">
        <v>12900</v>
      </c>
      <c r="E481" t="n">
        <v>14100</v>
      </c>
      <c r="F481" t="n">
        <v>15300</v>
      </c>
      <c r="G481" t="n">
        <v>16700</v>
      </c>
    </row>
    <row r="482">
      <c r="C482" t="inlineStr">
        <is>
          <t>Freight, per stop (power doors)</t>
        </is>
      </c>
      <c r="D482" t="n">
        <v>22400</v>
      </c>
      <c r="E482" t="n">
        <v>24400</v>
      </c>
      <c r="F482" t="n">
        <v>26600</v>
      </c>
      <c r="G482" t="n">
        <v>29000</v>
      </c>
    </row>
    <row r="483">
      <c r="C483" t="inlineStr">
        <is>
          <t>Escalator, per stairway</t>
        </is>
      </c>
      <c r="D483" t="n">
        <v>260000</v>
      </c>
      <c r="E483" t="n">
        <v>276000</v>
      </c>
      <c r="F483" t="n">
        <v>294000</v>
      </c>
      <c r="G483" t="n">
        <v>312000</v>
      </c>
    </row>
    <row r="484">
      <c r="C484" t="inlineStr">
        <is>
          <t>Vertical wheelchair lift, each</t>
        </is>
      </c>
      <c r="D484" t="n">
        <v>17200</v>
      </c>
      <c r="E484" t="n">
        <v>22300</v>
      </c>
      <c r="F484" t="n">
        <v>29000</v>
      </c>
      <c r="G484" t="n">
        <v>37600</v>
      </c>
    </row>
    <row r="486">
      <c r="B486" s="2388" t="inlineStr">
        <is>
          <t>Section 13</t>
        </is>
      </c>
      <c r="C486" s="2388" t="inlineStr">
        <is>
          <t>Type</t>
        </is>
      </c>
      <c r="D486" s="2388" t="inlineStr">
        <is>
          <t>Low</t>
        </is>
      </c>
      <c r="E486" s="2388" t="inlineStr">
        <is>
          <t>Average</t>
        </is>
      </c>
      <c r="F486" s="2388" t="inlineStr">
        <is>
          <t>Good</t>
        </is>
      </c>
      <c r="G486" s="2388" t="inlineStr">
        <is>
          <t>Excellent</t>
        </is>
      </c>
    </row>
    <row r="487">
      <c r="C487" t="inlineStr">
        <is>
          <t>Passenger, 2-3 story (base) [see Sec.14 sched.]</t>
        </is>
      </c>
      <c r="D487" t="n">
        <v>66250</v>
      </c>
      <c r="E487" t="n">
        <v>78000</v>
      </c>
      <c r="F487" t="n">
        <v>92000</v>
      </c>
      <c r="G487" t="n">
        <v>108000</v>
      </c>
    </row>
    <row r="488">
      <c r="C488" t="inlineStr">
        <is>
          <t>Passenger, per stop [see Sec.14 sched.]</t>
        </is>
      </c>
      <c r="D488" t="n">
        <v>9650</v>
      </c>
      <c r="E488" t="n">
        <v>11100</v>
      </c>
      <c r="F488" t="n">
        <v>12700</v>
      </c>
      <c r="G488" t="n">
        <v>14600</v>
      </c>
    </row>
    <row r="491">
      <c r="B491" s="2387" t="inlineStr">
        <is>
          <t>REFERENCE 8 -- Current Cost Multipliers, by Region x Class x Calculator Section (MVS Sec.99 p.3, Jan 2025 insert). Colorado assumed WESTERN region.</t>
        </is>
      </c>
      <c r="C491" s="2387" t="n"/>
      <c r="D491" s="2387" t="n"/>
      <c r="E491" s="2387" t="n"/>
      <c r="F491" s="2387" t="n"/>
      <c r="G491" s="2387" t="n"/>
      <c r="H491" s="2387" t="n"/>
    </row>
    <row r="492">
      <c r="B492" s="2388" t="inlineStr">
        <is>
          <t>Region</t>
        </is>
      </c>
      <c r="C492" s="2388" t="inlineStr">
        <is>
          <t>Class</t>
        </is>
      </c>
      <c r="D492" s="2388" t="inlineStr">
        <is>
          <t>Sec.11</t>
        </is>
      </c>
      <c r="E492" s="2388" t="inlineStr">
        <is>
          <t>Sec.12</t>
        </is>
      </c>
      <c r="F492" s="2388" t="inlineStr">
        <is>
          <t>Sec.13</t>
        </is>
      </c>
      <c r="G492" s="2388" t="inlineStr">
        <is>
          <t>Sec.14</t>
        </is>
      </c>
      <c r="H492" s="2388" t="inlineStr">
        <is>
          <t>Sec.15</t>
        </is>
      </c>
      <c r="I492" s="2388" t="inlineStr">
        <is>
          <t>Sec.16</t>
        </is>
      </c>
      <c r="J492" s="2388" t="inlineStr">
        <is>
          <t>Sec.17</t>
        </is>
      </c>
      <c r="K492" s="2388" t="inlineStr">
        <is>
          <t>Sec.18</t>
        </is>
      </c>
    </row>
    <row r="493">
      <c r="B493" t="inlineStr">
        <is>
          <t>EASTERN</t>
        </is>
      </c>
      <c r="C493" t="inlineStr">
        <is>
          <t>A</t>
        </is>
      </c>
      <c r="D493" s="2390" t="n">
        <v>1.04</v>
      </c>
      <c r="E493" s="2390" t="n">
        <v>1.04</v>
      </c>
      <c r="F493" s="2390" t="n">
        <v>1.04</v>
      </c>
      <c r="G493" s="2390" t="n">
        <v>1.02</v>
      </c>
      <c r="H493" s="2390" t="n">
        <v>1.04</v>
      </c>
      <c r="I493" s="2390" t="n">
        <v>1.06</v>
      </c>
      <c r="J493" s="2390" t="n">
        <v>1.08</v>
      </c>
      <c r="K493" s="2390" t="n">
        <v>1.1</v>
      </c>
    </row>
    <row r="494">
      <c r="B494" t="inlineStr">
        <is>
          <t>EASTERN</t>
        </is>
      </c>
      <c r="C494" t="inlineStr">
        <is>
          <t>B</t>
        </is>
      </c>
      <c r="D494" s="2390" t="n">
        <v>1.04</v>
      </c>
      <c r="E494" s="2390" t="n">
        <v>1.05</v>
      </c>
      <c r="F494" s="2390" t="n">
        <v>1.02</v>
      </c>
      <c r="G494" s="2390" t="n">
        <v>1.04</v>
      </c>
      <c r="H494" s="2390" t="n">
        <v>1.01</v>
      </c>
      <c r="I494" s="2390" t="n">
        <v>1.02</v>
      </c>
      <c r="J494" s="2390" t="n">
        <v>1.05</v>
      </c>
      <c r="K494" s="2390" t="n">
        <v>1.07</v>
      </c>
    </row>
    <row r="495">
      <c r="B495" t="inlineStr">
        <is>
          <t>EASTERN</t>
        </is>
      </c>
      <c r="C495" t="inlineStr">
        <is>
          <t>C</t>
        </is>
      </c>
      <c r="D495" s="2390" t="n">
        <v>1.02</v>
      </c>
      <c r="E495" s="2390" t="n">
        <v>1.01</v>
      </c>
      <c r="F495" s="2390" t="n">
        <v>1.03</v>
      </c>
      <c r="G495" s="2390" t="n">
        <v>1.03</v>
      </c>
      <c r="H495" s="2390" t="n">
        <v>1.04</v>
      </c>
      <c r="I495" s="2390" t="n">
        <v>1.05</v>
      </c>
      <c r="J495" s="2390" t="n">
        <v>1.06</v>
      </c>
      <c r="K495" s="2390" t="n">
        <v>1.01</v>
      </c>
    </row>
    <row r="496">
      <c r="B496" t="inlineStr">
        <is>
          <t>EASTERN</t>
        </is>
      </c>
      <c r="C496" t="inlineStr">
        <is>
          <t>D</t>
        </is>
      </c>
      <c r="D496" s="2390" t="n">
        <v>1.01</v>
      </c>
      <c r="E496" s="2390" t="n">
        <v>1.02</v>
      </c>
      <c r="F496" s="2390" t="n">
        <v>1.02</v>
      </c>
      <c r="G496" s="2390" t="n">
        <v>1.01</v>
      </c>
      <c r="H496" s="2390" t="n">
        <v>1.01</v>
      </c>
      <c r="I496" s="2390" t="n">
        <v>1.02</v>
      </c>
      <c r="J496" s="2390" t="n">
        <v>1</v>
      </c>
      <c r="K496" s="2390" t="n">
        <v>0.99</v>
      </c>
    </row>
    <row r="497">
      <c r="B497" t="inlineStr">
        <is>
          <t>EASTERN</t>
        </is>
      </c>
      <c r="C497" t="inlineStr">
        <is>
          <t>S</t>
        </is>
      </c>
      <c r="D497" s="2390" t="n">
        <v>1.07</v>
      </c>
      <c r="E497" s="2390" t="n">
        <v>1.06</v>
      </c>
      <c r="F497" s="2390" t="n">
        <v>1.04</v>
      </c>
      <c r="G497" s="2390" t="n">
        <v>1.03</v>
      </c>
      <c r="H497" s="2390" t="n">
        <v>1.05</v>
      </c>
      <c r="I497" s="2390" t="n">
        <v>1.02</v>
      </c>
      <c r="J497" s="2390" t="n">
        <v>1.01</v>
      </c>
      <c r="K497" s="2390" t="n">
        <v>1.05</v>
      </c>
    </row>
    <row r="498">
      <c r="B498" t="inlineStr">
        <is>
          <t>CENTRAL</t>
        </is>
      </c>
      <c r="C498" t="inlineStr">
        <is>
          <t>A</t>
        </is>
      </c>
      <c r="D498" s="2390" t="n">
        <v>0.99</v>
      </c>
      <c r="E498" s="2390" t="n">
        <v>0.98</v>
      </c>
      <c r="F498" s="2390" t="n">
        <v>0.98</v>
      </c>
      <c r="G498" s="2390" t="n">
        <v>1</v>
      </c>
      <c r="H498" s="2390" t="n">
        <v>1</v>
      </c>
      <c r="I498" s="2390" t="n">
        <v>1.02</v>
      </c>
      <c r="J498" s="2390" t="n">
        <v>1.02</v>
      </c>
      <c r="K498" s="2390" t="n">
        <v>1.02</v>
      </c>
    </row>
    <row r="499">
      <c r="B499" t="inlineStr">
        <is>
          <t>CENTRAL</t>
        </is>
      </c>
      <c r="C499" t="inlineStr">
        <is>
          <t>B</t>
        </is>
      </c>
      <c r="D499" s="2390" t="n">
        <v>0.98</v>
      </c>
      <c r="E499" s="2390" t="n">
        <v>0.99</v>
      </c>
      <c r="F499" s="2390" t="n">
        <v>0.98</v>
      </c>
      <c r="G499" s="2390" t="n">
        <v>0.99</v>
      </c>
      <c r="H499" s="2390" t="n">
        <v>1.01</v>
      </c>
      <c r="I499" s="2390" t="n">
        <v>0.99</v>
      </c>
      <c r="J499" s="2390" t="n">
        <v>0.98</v>
      </c>
      <c r="K499" s="2390" t="n">
        <v>0.99</v>
      </c>
    </row>
    <row r="500">
      <c r="B500" t="inlineStr">
        <is>
          <t>CENTRAL</t>
        </is>
      </c>
      <c r="C500" t="inlineStr">
        <is>
          <t>C</t>
        </is>
      </c>
      <c r="D500" s="2390" t="n">
        <v>0.99</v>
      </c>
      <c r="E500" s="2390" t="n">
        <v>0.99</v>
      </c>
      <c r="F500" s="2390" t="n">
        <v>1</v>
      </c>
      <c r="G500" s="2390" t="n">
        <v>0.99</v>
      </c>
      <c r="H500" s="2390" t="n">
        <v>1</v>
      </c>
      <c r="I500" s="2390" t="n">
        <v>0.98</v>
      </c>
      <c r="J500" s="2390" t="n">
        <v>0.99</v>
      </c>
      <c r="K500" s="2390" t="n">
        <v>0.98</v>
      </c>
    </row>
    <row r="501">
      <c r="B501" t="inlineStr">
        <is>
          <t>CENTRAL</t>
        </is>
      </c>
      <c r="C501" t="inlineStr">
        <is>
          <t>D</t>
        </is>
      </c>
      <c r="D501" s="2390" t="n">
        <v>0.97</v>
      </c>
      <c r="E501" s="2390" t="n">
        <v>0.99</v>
      </c>
      <c r="F501" s="2390" t="n">
        <v>0.99</v>
      </c>
      <c r="G501" s="2390" t="n">
        <v>0.99</v>
      </c>
      <c r="H501" s="2390" t="n">
        <v>1.02</v>
      </c>
      <c r="I501" s="2390" t="n">
        <v>1.02</v>
      </c>
      <c r="J501" s="2390" t="n">
        <v>0.97</v>
      </c>
      <c r="K501" s="2390" t="n">
        <v>0.97</v>
      </c>
    </row>
    <row r="502">
      <c r="B502" t="inlineStr">
        <is>
          <t>CENTRAL</t>
        </is>
      </c>
      <c r="C502" t="inlineStr">
        <is>
          <t>S</t>
        </is>
      </c>
      <c r="D502" s="2390" t="n">
        <v>0.95</v>
      </c>
      <c r="E502" s="2390" t="n">
        <v>0.98</v>
      </c>
      <c r="F502" s="2390" t="n">
        <v>0.95</v>
      </c>
      <c r="G502" s="2390" t="n">
        <v>0.99</v>
      </c>
      <c r="H502" s="2390" t="n">
        <v>0.99</v>
      </c>
      <c r="I502" s="2390" t="n">
        <v>0.97</v>
      </c>
      <c r="J502" s="2390" t="n">
        <v>1</v>
      </c>
      <c r="K502" s="2390" t="n">
        <v>0.97</v>
      </c>
    </row>
    <row r="503">
      <c r="B503" t="inlineStr">
        <is>
          <t>WESTERN</t>
        </is>
      </c>
      <c r="C503" t="inlineStr">
        <is>
          <t>A</t>
        </is>
      </c>
      <c r="D503" s="2390" t="n">
        <v>0.99</v>
      </c>
      <c r="E503" s="2390" t="n">
        <v>1.03</v>
      </c>
      <c r="F503" s="2390" t="n">
        <v>1.05</v>
      </c>
      <c r="G503" s="2390" t="n">
        <v>1.07</v>
      </c>
      <c r="H503" s="2390" t="n">
        <v>1.06</v>
      </c>
      <c r="I503" s="2390" t="n">
        <v>1.05</v>
      </c>
      <c r="J503" s="2390" t="n">
        <v>1.05</v>
      </c>
      <c r="K503" s="2390" t="n">
        <v>1.01</v>
      </c>
    </row>
    <row r="504">
      <c r="B504" t="inlineStr">
        <is>
          <t>WESTERN</t>
        </is>
      </c>
      <c r="C504" t="inlineStr">
        <is>
          <t>B</t>
        </is>
      </c>
      <c r="D504" s="2390" t="n">
        <v>0.99</v>
      </c>
      <c r="E504" s="2390" t="n">
        <v>1</v>
      </c>
      <c r="F504" s="2390" t="n">
        <v>1.06</v>
      </c>
      <c r="G504" s="2390" t="n">
        <v>1.04</v>
      </c>
      <c r="H504" s="2390" t="n">
        <v>1.05</v>
      </c>
      <c r="I504" s="2390" t="n">
        <v>1.06</v>
      </c>
      <c r="J504" s="2390" t="n">
        <v>1.05</v>
      </c>
      <c r="K504" s="2390" t="n">
        <v>1.02</v>
      </c>
    </row>
    <row r="505">
      <c r="B505" t="inlineStr">
        <is>
          <t>WESTERN</t>
        </is>
      </c>
      <c r="C505" t="inlineStr">
        <is>
          <t>C</t>
        </is>
      </c>
      <c r="D505" s="2390" t="n">
        <v>1</v>
      </c>
      <c r="E505" s="2390" t="n">
        <v>1.03</v>
      </c>
      <c r="F505" s="2390" t="n">
        <v>1.02</v>
      </c>
      <c r="G505" s="2390" t="n">
        <v>1.06</v>
      </c>
      <c r="H505" s="2390" t="n">
        <v>1.04</v>
      </c>
      <c r="I505" s="2390" t="n">
        <v>1.05</v>
      </c>
      <c r="J505" s="2390" t="n">
        <v>1.03</v>
      </c>
      <c r="K505" s="2390" t="n">
        <v>1.04</v>
      </c>
    </row>
    <row r="506">
      <c r="B506" t="inlineStr">
        <is>
          <t>WESTERN</t>
        </is>
      </c>
      <c r="C506" t="inlineStr">
        <is>
          <t>D</t>
        </is>
      </c>
      <c r="D506" s="2390" t="n">
        <v>1.03</v>
      </c>
      <c r="E506" s="2390" t="n">
        <v>1.02</v>
      </c>
      <c r="F506" s="2390" t="n">
        <v>1.03</v>
      </c>
      <c r="G506" s="2390" t="n">
        <v>1.05</v>
      </c>
      <c r="H506" s="2390" t="n">
        <v>1.02</v>
      </c>
      <c r="I506" s="2390" t="n">
        <v>1.01</v>
      </c>
      <c r="J506" s="2390" t="n">
        <v>1.05</v>
      </c>
      <c r="K506" s="2390" t="n">
        <v>1.01</v>
      </c>
    </row>
    <row r="507">
      <c r="B507" t="inlineStr">
        <is>
          <t>WESTERN</t>
        </is>
      </c>
      <c r="C507" t="inlineStr">
        <is>
          <t>S</t>
        </is>
      </c>
      <c r="D507" s="2390" t="n">
        <v>1</v>
      </c>
      <c r="E507" s="2390" t="n">
        <v>1</v>
      </c>
      <c r="F507" s="2390" t="n">
        <v>1.05</v>
      </c>
      <c r="G507" s="2390" t="n">
        <v>1.04</v>
      </c>
      <c r="H507" s="2390" t="n">
        <v>1.02</v>
      </c>
      <c r="I507" s="2390" t="n">
        <v>1.07</v>
      </c>
      <c r="J507" s="2390" t="n">
        <v>1.04</v>
      </c>
      <c r="K507" s="2390" t="n">
        <v>0.98</v>
      </c>
    </row>
    <row r="509">
      <c r="B509" s="2387" t="inlineStr">
        <is>
          <t>REFERENCE 9 -- Local Area Multipliers, Colorado (MVS Sec.99 p.7, Jan 2025 insert)</t>
        </is>
      </c>
      <c r="C509" s="2387" t="n"/>
      <c r="D509" s="2387" t="n"/>
      <c r="E509" s="2387" t="n"/>
      <c r="F509" s="2387" t="n"/>
      <c r="G509" s="2387" t="n"/>
      <c r="H509" s="2387" t="n"/>
    </row>
    <row r="510">
      <c r="B510" s="2388" t="inlineStr">
        <is>
          <t>City / Area</t>
        </is>
      </c>
      <c r="C510" s="2388" t="inlineStr">
        <is>
          <t>Class A</t>
        </is>
      </c>
      <c r="D510" s="2388" t="inlineStr">
        <is>
          <t>Class B</t>
        </is>
      </c>
      <c r="E510" s="2388" t="inlineStr">
        <is>
          <t>Class C</t>
        </is>
      </c>
      <c r="F510" s="2388" t="inlineStr">
        <is>
          <t>Class D</t>
        </is>
      </c>
      <c r="G510" s="2388" t="inlineStr">
        <is>
          <t>Class S</t>
        </is>
      </c>
    </row>
    <row r="511">
      <c r="B511" t="inlineStr">
        <is>
          <t>Colorado (statewide average)</t>
        </is>
      </c>
      <c r="C511" s="2390" t="n">
        <v>1</v>
      </c>
      <c r="D511" s="2390" t="n">
        <v>1.02</v>
      </c>
      <c r="E511" s="2390" t="n">
        <v>1.02</v>
      </c>
      <c r="F511" s="2390" t="n">
        <v>1.01</v>
      </c>
      <c r="G511" s="2390" t="n">
        <v>1.02</v>
      </c>
    </row>
    <row r="512">
      <c r="B512" t="inlineStr">
        <is>
          <t>Aspen</t>
        </is>
      </c>
      <c r="C512" s="2390" t="n">
        <v>1.08</v>
      </c>
      <c r="D512" s="2390" t="n">
        <v>1.13</v>
      </c>
      <c r="E512" s="2390" t="n">
        <v>1.11</v>
      </c>
      <c r="F512" s="2390" t="n">
        <v>1.11</v>
      </c>
      <c r="G512" s="2390" t="n">
        <v>1.1</v>
      </c>
    </row>
    <row r="513">
      <c r="B513" t="inlineStr">
        <is>
          <t>Boulder</t>
        </is>
      </c>
      <c r="C513" s="2390" t="n">
        <v>0.98</v>
      </c>
      <c r="D513" s="2390" t="n">
        <v>0.98</v>
      </c>
      <c r="E513" s="2390" t="n">
        <v>0.98</v>
      </c>
      <c r="F513" s="2390" t="n">
        <v>0.97</v>
      </c>
      <c r="G513" s="2390" t="n">
        <v>0.99</v>
      </c>
    </row>
    <row r="514">
      <c r="B514" t="inlineStr">
        <is>
          <t>Colorado Springs</t>
        </is>
      </c>
      <c r="C514" s="2390" t="n">
        <v>0.98</v>
      </c>
      <c r="D514" s="2390" t="n">
        <v>0.99</v>
      </c>
      <c r="E514" s="2390" t="n">
        <v>0.96</v>
      </c>
      <c r="F514" s="2390" t="n">
        <v>0.98</v>
      </c>
      <c r="G514" s="2390" t="n">
        <v>1</v>
      </c>
    </row>
    <row r="515">
      <c r="B515" t="inlineStr">
        <is>
          <t>Costilla County</t>
        </is>
      </c>
      <c r="C515" s="2390" t="n">
        <v>0.86</v>
      </c>
      <c r="D515" s="2390" t="n">
        <v>0.88</v>
      </c>
      <c r="E515" s="2390" t="n">
        <v>0.88</v>
      </c>
      <c r="F515" s="2390" t="n">
        <v>0.87</v>
      </c>
      <c r="G515" s="2390" t="n">
        <v>0.89</v>
      </c>
    </row>
    <row r="516">
      <c r="B516" t="inlineStr">
        <is>
          <t>Denver</t>
        </is>
      </c>
      <c r="C516" s="2390" t="n">
        <v>1.01</v>
      </c>
      <c r="D516" s="2390" t="n">
        <v>1</v>
      </c>
      <c r="E516" s="2390" t="n">
        <v>1</v>
      </c>
      <c r="F516" s="2390" t="n">
        <v>1</v>
      </c>
      <c r="G516" s="2390" t="n">
        <v>1.03</v>
      </c>
    </row>
    <row r="517">
      <c r="B517" t="inlineStr">
        <is>
          <t>Durango</t>
        </is>
      </c>
      <c r="C517" s="2390" t="n">
        <v>0.9</v>
      </c>
      <c r="D517" s="2390" t="n">
        <v>0.92</v>
      </c>
      <c r="E517" s="2390" t="n">
        <v>0.93</v>
      </c>
      <c r="F517" s="2390" t="n">
        <v>0.91</v>
      </c>
      <c r="G517" s="2390" t="n">
        <v>0.9399999999999999</v>
      </c>
    </row>
    <row r="518">
      <c r="B518" t="inlineStr">
        <is>
          <t>Eagle County (excl. resort areas)</t>
        </is>
      </c>
      <c r="C518" s="2390" t="n">
        <v>0.9399999999999999</v>
      </c>
      <c r="D518" s="2390" t="n">
        <v>0.95</v>
      </c>
      <c r="E518" s="2390" t="n">
        <v>0.9399999999999999</v>
      </c>
      <c r="F518" s="2390" t="n">
        <v>0.9399999999999999</v>
      </c>
      <c r="G518" s="2390" t="n">
        <v>0.95</v>
      </c>
    </row>
    <row r="519">
      <c r="B519" t="inlineStr">
        <is>
          <t>Fort Collins</t>
        </is>
      </c>
      <c r="C519" s="2390" t="n">
        <v>0.98</v>
      </c>
      <c r="D519" s="2390" t="n">
        <v>1</v>
      </c>
      <c r="E519" s="2390" t="n">
        <v>1.01</v>
      </c>
      <c r="F519" s="2390" t="n">
        <v>0.99</v>
      </c>
      <c r="G519" s="2390" t="n">
        <v>1.01</v>
      </c>
    </row>
    <row r="520">
      <c r="B520" t="inlineStr">
        <is>
          <t>Grand Junction</t>
        </is>
      </c>
      <c r="C520" s="2390" t="n">
        <v>0.98</v>
      </c>
      <c r="D520" s="2390" t="n">
        <v>0.99</v>
      </c>
      <c r="E520" s="2390" t="n">
        <v>1</v>
      </c>
      <c r="F520" s="2390" t="n">
        <v>1</v>
      </c>
      <c r="G520" s="2390" t="n">
        <v>1.02</v>
      </c>
    </row>
    <row r="521">
      <c r="B521" t="inlineStr">
        <is>
          <t>Greeley</t>
        </is>
      </c>
      <c r="C521" s="2390" t="n">
        <v>0.98</v>
      </c>
      <c r="D521" s="2390" t="n">
        <v>1</v>
      </c>
      <c r="E521" s="2390" t="n">
        <v>1.01</v>
      </c>
      <c r="F521" s="2390" t="n">
        <v>0.99</v>
      </c>
      <c r="G521" s="2390" t="n">
        <v>0.99</v>
      </c>
    </row>
    <row r="522">
      <c r="B522" t="inlineStr">
        <is>
          <t>Gunnison County</t>
        </is>
      </c>
      <c r="C522" s="2390" t="n">
        <v>0.93</v>
      </c>
      <c r="D522" s="2390" t="n">
        <v>0.99</v>
      </c>
      <c r="E522" s="2390" t="n">
        <v>0.97</v>
      </c>
      <c r="F522" s="2390" t="n">
        <v>0.96</v>
      </c>
      <c r="G522" s="2390" t="n">
        <v>0.97</v>
      </c>
    </row>
    <row r="523">
      <c r="B523" t="inlineStr">
        <is>
          <t>Kit Carson County</t>
        </is>
      </c>
      <c r="C523" s="2390" t="n">
        <v>0.89</v>
      </c>
      <c r="D523" s="2390" t="n">
        <v>0.89</v>
      </c>
      <c r="E523" s="2390" t="n">
        <v>0.9</v>
      </c>
      <c r="F523" s="2390" t="n">
        <v>0.89</v>
      </c>
      <c r="G523" s="2390" t="n">
        <v>0.91</v>
      </c>
    </row>
    <row r="524">
      <c r="B524" t="inlineStr">
        <is>
          <t>Logan County</t>
        </is>
      </c>
      <c r="C524" s="2390" t="n">
        <v>0.91</v>
      </c>
      <c r="D524" s="2390" t="n">
        <v>0.91</v>
      </c>
      <c r="E524" s="2390" t="n">
        <v>0.92</v>
      </c>
      <c r="F524" s="2390" t="n">
        <v>0.9</v>
      </c>
      <c r="G524" s="2390" t="n">
        <v>0.92</v>
      </c>
    </row>
    <row r="525">
      <c r="B525" t="inlineStr">
        <is>
          <t>Longmont</t>
        </is>
      </c>
      <c r="C525" s="2390" t="n">
        <v>0.97</v>
      </c>
      <c r="D525" s="2390" t="n">
        <v>0.97</v>
      </c>
      <c r="E525" s="2390" t="n">
        <v>1</v>
      </c>
      <c r="F525" s="2390" t="n">
        <v>0.98</v>
      </c>
      <c r="G525" s="2390" t="n">
        <v>1</v>
      </c>
    </row>
    <row r="526">
      <c r="B526" t="inlineStr">
        <is>
          <t>Loveland</t>
        </is>
      </c>
      <c r="C526" s="2390" t="n">
        <v>0.96</v>
      </c>
      <c r="D526" s="2390" t="n">
        <v>0.98</v>
      </c>
      <c r="E526" s="2390" t="n">
        <v>1.01</v>
      </c>
      <c r="F526" s="2390" t="n">
        <v>0.99</v>
      </c>
      <c r="G526" s="2390" t="n">
        <v>0.99</v>
      </c>
    </row>
    <row r="527">
      <c r="B527" t="inlineStr">
        <is>
          <t>Moffat County</t>
        </is>
      </c>
      <c r="C527" s="2390" t="n">
        <v>0.9</v>
      </c>
      <c r="D527" s="2390" t="n">
        <v>0.93</v>
      </c>
      <c r="E527" s="2390" t="n">
        <v>0.91</v>
      </c>
      <c r="F527" s="2390" t="n">
        <v>0.92</v>
      </c>
      <c r="G527" s="2390" t="n">
        <v>0.93</v>
      </c>
    </row>
    <row r="528">
      <c r="B528" t="inlineStr">
        <is>
          <t>Montrose County</t>
        </is>
      </c>
      <c r="C528" s="2390" t="n">
        <v>0.9</v>
      </c>
      <c r="D528" s="2390" t="n">
        <v>0.92</v>
      </c>
      <c r="E528" s="2390" t="n">
        <v>0.93</v>
      </c>
      <c r="F528" s="2390" t="n">
        <v>0.9</v>
      </c>
      <c r="G528" s="2390" t="n">
        <v>0.92</v>
      </c>
    </row>
    <row r="529">
      <c r="B529" t="inlineStr">
        <is>
          <t>Prowers County</t>
        </is>
      </c>
      <c r="C529" s="2390" t="n">
        <v>0.9</v>
      </c>
      <c r="D529" s="2390" t="n">
        <v>0.92</v>
      </c>
      <c r="E529" s="2390" t="n">
        <v>0.91</v>
      </c>
      <c r="F529" s="2390" t="n">
        <v>0.91</v>
      </c>
      <c r="G529" s="2390" t="n">
        <v>0.91</v>
      </c>
    </row>
    <row r="530">
      <c r="B530" t="inlineStr">
        <is>
          <t>Pueblo</t>
        </is>
      </c>
      <c r="C530" s="2390" t="n">
        <v>0.95</v>
      </c>
      <c r="D530" s="2390" t="n">
        <v>0.95</v>
      </c>
      <c r="E530" s="2390" t="n">
        <v>0.95</v>
      </c>
      <c r="F530" s="2390" t="n">
        <v>0.95</v>
      </c>
      <c r="G530" s="2390" t="n">
        <v>0.95</v>
      </c>
    </row>
    <row r="531">
      <c r="B531" t="inlineStr">
        <is>
          <t>Steamboat Springs</t>
        </is>
      </c>
      <c r="C531" s="2390" t="n">
        <v>1.15</v>
      </c>
      <c r="D531" s="2390" t="n">
        <v>1.17</v>
      </c>
      <c r="E531" s="2390" t="n">
        <v>1.16</v>
      </c>
      <c r="F531" s="2390" t="n">
        <v>1.14</v>
      </c>
      <c r="G531" s="2390" t="n">
        <v>1.14</v>
      </c>
    </row>
    <row r="532">
      <c r="B532" t="inlineStr">
        <is>
          <t>Vail</t>
        </is>
      </c>
      <c r="C532" s="2390" t="n">
        <v>1.13</v>
      </c>
      <c r="D532" s="2390" t="n">
        <v>1.16</v>
      </c>
      <c r="E532" s="2390" t="n">
        <v>1.14</v>
      </c>
      <c r="F532" s="2390" t="n">
        <v>1.13</v>
      </c>
      <c r="G532" s="2390" t="n">
        <v>1.13</v>
      </c>
    </row>
    <row r="534">
      <c r="B534" s="2387" t="inlineStr">
        <is>
          <t>REFERENCE 10 -- Section 98 Denver-Specific Quarterly Cost Index (for De-Trend to Appraisal Date; Jan 2025 = 1.000)</t>
        </is>
      </c>
      <c r="C534" s="2387" t="n"/>
      <c r="D534" s="2387" t="n"/>
      <c r="E534" s="2387" t="n"/>
      <c r="F534" s="2387" t="n"/>
      <c r="G534" s="2387" t="n"/>
      <c r="H534" s="2387" t="n"/>
    </row>
    <row r="535">
      <c r="B535" s="2391" t="inlineStr">
        <is>
          <t>Do NOT combine with the Local Area Multiplier above -- Sec.98's district/city index is already geographically resolved to Denver (MVS explicit warning, Sec.98 p.1/p.5).</t>
        </is>
      </c>
    </row>
    <row r="536">
      <c r="B536" s="2388" t="inlineStr">
        <is>
          <t>Quarter</t>
        </is>
      </c>
      <c r="C536" s="2388" t="inlineStr">
        <is>
          <t>Class A</t>
        </is>
      </c>
      <c r="D536" s="2388" t="inlineStr">
        <is>
          <t>Class B</t>
        </is>
      </c>
      <c r="E536" s="2388" t="inlineStr">
        <is>
          <t>Class C</t>
        </is>
      </c>
      <c r="F536" s="2388" t="inlineStr">
        <is>
          <t>Class D</t>
        </is>
      </c>
      <c r="G536" s="2388" t="inlineStr">
        <is>
          <t>Class S</t>
        </is>
      </c>
    </row>
    <row r="537">
      <c r="B537" t="inlineStr">
        <is>
          <t>Jan 2025</t>
        </is>
      </c>
      <c r="C537" s="1901" t="n">
        <v>1</v>
      </c>
      <c r="D537" s="1901" t="n">
        <v>1</v>
      </c>
      <c r="E537" s="1901" t="n">
        <v>1</v>
      </c>
      <c r="F537" s="1901" t="n">
        <v>1</v>
      </c>
      <c r="G537" s="1901" t="n">
        <v>1</v>
      </c>
    </row>
    <row r="538">
      <c r="B538" t="inlineStr">
        <is>
          <t>Oct 2024</t>
        </is>
      </c>
      <c r="C538" s="1901" t="n">
        <v>1.016</v>
      </c>
      <c r="D538" s="1901" t="n">
        <v>1.008</v>
      </c>
      <c r="E538" s="1901" t="n">
        <v>0.999</v>
      </c>
      <c r="F538" s="1901" t="n">
        <v>1.006</v>
      </c>
      <c r="G538" s="1901" t="n">
        <v>1.01</v>
      </c>
    </row>
    <row r="539">
      <c r="B539" t="inlineStr">
        <is>
          <t>Jul 2024</t>
        </is>
      </c>
      <c r="C539" s="1901" t="n">
        <v>1.017</v>
      </c>
      <c r="D539" s="1901" t="n">
        <v>1.014</v>
      </c>
      <c r="E539" s="1901" t="n">
        <v>1.004</v>
      </c>
      <c r="F539" s="1901" t="n">
        <v>1.008</v>
      </c>
      <c r="G539" s="1901" t="n">
        <v>1.014</v>
      </c>
    </row>
    <row r="540">
      <c r="B540" t="inlineStr">
        <is>
          <t>Apr 2024</t>
        </is>
      </c>
      <c r="C540" s="1901" t="n">
        <v>1.034</v>
      </c>
      <c r="D540" s="1901" t="n">
        <v>1.027</v>
      </c>
      <c r="E540" s="1901" t="n">
        <v>1.012</v>
      </c>
      <c r="F540" s="1901" t="n">
        <v>1.016</v>
      </c>
      <c r="G540" s="1901" t="n">
        <v>1.024</v>
      </c>
    </row>
    <row r="541">
      <c r="B541" t="inlineStr">
        <is>
          <t>Jan 2024</t>
        </is>
      </c>
      <c r="C541" s="1901" t="n">
        <v>1.037</v>
      </c>
      <c r="D541" s="1901" t="n">
        <v>1.027</v>
      </c>
      <c r="E541" s="1901" t="n">
        <v>1.02</v>
      </c>
      <c r="F541" s="1901" t="n">
        <v>1.015</v>
      </c>
      <c r="G541" s="1901" t="n">
        <v>1.026</v>
      </c>
    </row>
    <row r="542">
      <c r="B542" t="inlineStr">
        <is>
          <t>Oct 2023</t>
        </is>
      </c>
      <c r="C542" s="1901" t="n">
        <v>1.046</v>
      </c>
      <c r="D542" s="1901" t="n">
        <v>1.025</v>
      </c>
      <c r="E542" s="1901" t="n">
        <v>1.021</v>
      </c>
      <c r="F542" s="1901" t="n">
        <v>1.015</v>
      </c>
      <c r="G542" s="1901" t="n">
        <v>1.029</v>
      </c>
    </row>
    <row r="543">
      <c r="B543" t="inlineStr">
        <is>
          <t>Jul 2023</t>
        </is>
      </c>
      <c r="C543" s="1901" t="n">
        <v>1.064</v>
      </c>
      <c r="D543" s="1901" t="n">
        <v>1.029</v>
      </c>
      <c r="E543" s="1901" t="n">
        <v>1.022</v>
      </c>
      <c r="F543" s="1901" t="n">
        <v>1.014</v>
      </c>
      <c r="G543" s="1901" t="n">
        <v>1.034</v>
      </c>
    </row>
    <row r="544">
      <c r="B544" t="inlineStr">
        <is>
          <t>Apr 2023</t>
        </is>
      </c>
      <c r="C544" s="1901" t="n">
        <v>1.078</v>
      </c>
      <c r="D544" s="1901" t="n">
        <v>1.034</v>
      </c>
      <c r="E544" s="1901" t="n">
        <v>1.017</v>
      </c>
      <c r="F544" s="1901" t="n">
        <v>1.007</v>
      </c>
      <c r="G544" s="1901" t="n">
        <v>1.03</v>
      </c>
    </row>
    <row r="545">
      <c r="B545" t="inlineStr">
        <is>
          <t>Jan 2023</t>
        </is>
      </c>
      <c r="C545" s="1901" t="n">
        <v>1.076</v>
      </c>
      <c r="D545" s="1901" t="n">
        <v>1.033</v>
      </c>
      <c r="E545" s="1901" t="n">
        <v>1.011</v>
      </c>
      <c r="F545" s="1901" t="n">
        <v>0.998</v>
      </c>
      <c r="G545" s="1901" t="n">
        <v>1.023</v>
      </c>
    </row>
    <row r="546">
      <c r="B546" t="inlineStr">
        <is>
          <t>Oct 2022</t>
        </is>
      </c>
      <c r="C546" s="1901" t="n">
        <v>1.077</v>
      </c>
      <c r="D546" s="1901" t="n">
        <v>1.032</v>
      </c>
      <c r="E546" s="1901" t="n">
        <v>1.005</v>
      </c>
      <c r="F546" s="1901" t="n">
        <v>0.987</v>
      </c>
      <c r="G546" s="1901" t="n">
        <v>1.005</v>
      </c>
    </row>
    <row r="547">
      <c r="B547" t="inlineStr">
        <is>
          <t>Jul 2022</t>
        </is>
      </c>
      <c r="C547" s="1901" t="n">
        <v>1.091</v>
      </c>
      <c r="D547" s="1901" t="n">
        <v>1.046</v>
      </c>
      <c r="E547" s="1901" t="n">
        <v>1.011</v>
      </c>
      <c r="F547" s="1901" t="n">
        <v>0.985</v>
      </c>
      <c r="G547" s="1901" t="n">
        <v>1.006</v>
      </c>
    </row>
    <row r="548">
      <c r="B548" t="inlineStr">
        <is>
          <t>Apr 2022</t>
        </is>
      </c>
      <c r="C548" s="1901" t="n">
        <v>1.156</v>
      </c>
      <c r="D548" s="1901" t="n">
        <v>1.134</v>
      </c>
      <c r="E548" s="1901" t="n">
        <v>1.103</v>
      </c>
      <c r="F548" s="1901" t="n">
        <v>1.089</v>
      </c>
      <c r="G548" s="1901" t="n">
        <v>1.108</v>
      </c>
    </row>
    <row r="549">
      <c r="B549" t="inlineStr">
        <is>
          <t>Jan 2022</t>
        </is>
      </c>
      <c r="C549" s="1901" t="n">
        <v>1.229</v>
      </c>
      <c r="D549" s="1901" t="n">
        <v>1.179</v>
      </c>
      <c r="E549" s="1901" t="n">
        <v>1.148</v>
      </c>
      <c r="F549" s="1901" t="n">
        <v>1.123</v>
      </c>
      <c r="G549" s="1901" t="n">
        <v>1.158</v>
      </c>
    </row>
    <row r="551">
      <c r="B551" s="2387" t="inlineStr">
        <is>
          <t>REFERENCE 11 -- Typical Building Life Expectancy, Years (MVS Sec.97 pp.10-13, verified exact transcription)</t>
        </is>
      </c>
      <c r="C551" s="2387" t="n"/>
      <c r="D551" s="2387" t="n"/>
      <c r="E551" s="2387" t="n"/>
      <c r="F551" s="2387" t="n"/>
      <c r="G551" s="2387" t="n"/>
      <c r="H551" s="2387" t="n"/>
    </row>
    <row r="552">
      <c r="B552" s="2392" t="inlineStr">
        <is>
          <t>Some tiers are printed jointly in the manual (e.g. 'Good and Excellent') -- expanded below into one row per selectable Quality for lookup purposes; values are identical across the tiers the manual grouped together.</t>
        </is>
      </c>
    </row>
    <row r="553">
      <c r="B553" s="2388" t="inlineStr">
        <is>
          <t>Occupancy Name</t>
        </is>
      </c>
      <c r="C553" s="2388" t="inlineStr">
        <is>
          <t>Quality</t>
        </is>
      </c>
      <c r="D553" s="2388" t="inlineStr">
        <is>
          <t>Class A</t>
        </is>
      </c>
      <c r="E553" s="2388" t="inlineStr">
        <is>
          <t>Class B</t>
        </is>
      </c>
      <c r="F553" s="2388" t="inlineStr">
        <is>
          <t>Class C</t>
        </is>
      </c>
      <c r="G553" s="2388" t="inlineStr">
        <is>
          <t>Class D</t>
        </is>
      </c>
      <c r="H553" s="2388" t="inlineStr">
        <is>
          <t>Class S</t>
        </is>
      </c>
      <c r="I553" s="2388" t="inlineStr">
        <is>
          <t>Key</t>
        </is>
      </c>
    </row>
    <row r="554">
      <c r="B554" t="inlineStr">
        <is>
          <t>Storage Warehouses</t>
        </is>
      </c>
      <c r="C554" t="inlineStr">
        <is>
          <t>Excellent</t>
        </is>
      </c>
      <c r="F554" t="n">
        <v>50</v>
      </c>
      <c r="H554" t="n">
        <v>45</v>
      </c>
      <c r="I554">
        <f>B554&amp;"~"&amp;C554</f>
        <v/>
      </c>
    </row>
    <row r="555">
      <c r="B555" t="inlineStr">
        <is>
          <t>Storage Warehouses</t>
        </is>
      </c>
      <c r="C555" t="inlineStr">
        <is>
          <t>Average</t>
        </is>
      </c>
      <c r="D555" t="n">
        <v>50</v>
      </c>
      <c r="E555" t="n">
        <v>50</v>
      </c>
      <c r="F555" t="n">
        <v>45</v>
      </c>
      <c r="G555" t="n">
        <v>40</v>
      </c>
      <c r="H555" t="n">
        <v>40</v>
      </c>
      <c r="I555">
        <f>B555&amp;"~"&amp;C555</f>
        <v/>
      </c>
    </row>
    <row r="556">
      <c r="B556" t="inlineStr">
        <is>
          <t>Storage Warehouses</t>
        </is>
      </c>
      <c r="C556" t="inlineStr">
        <is>
          <t>Good</t>
        </is>
      </c>
      <c r="D556" t="n">
        <v>50</v>
      </c>
      <c r="E556" t="n">
        <v>50</v>
      </c>
      <c r="F556" t="n">
        <v>45</v>
      </c>
      <c r="G556" t="n">
        <v>40</v>
      </c>
      <c r="H556" t="n">
        <v>40</v>
      </c>
      <c r="I556">
        <f>B556&amp;"~"&amp;C556</f>
        <v/>
      </c>
    </row>
    <row r="557">
      <c r="B557" t="inlineStr">
        <is>
          <t>Storage Warehouses</t>
        </is>
      </c>
      <c r="C557" t="inlineStr">
        <is>
          <t>Cheap</t>
        </is>
      </c>
      <c r="D557" t="n">
        <v>45</v>
      </c>
      <c r="E557" t="n">
        <v>45</v>
      </c>
      <c r="F557" t="n">
        <v>40</v>
      </c>
      <c r="G557" t="n">
        <v>35</v>
      </c>
      <c r="H557" t="n">
        <v>35</v>
      </c>
      <c r="I557">
        <f>B557&amp;"~"&amp;C557</f>
        <v/>
      </c>
    </row>
    <row r="558">
      <c r="B558" t="inlineStr">
        <is>
          <t>Storage Warehouses</t>
        </is>
      </c>
      <c r="C558" t="inlineStr">
        <is>
          <t>Low Cost</t>
        </is>
      </c>
      <c r="D558" t="n">
        <v>45</v>
      </c>
      <c r="E558" t="n">
        <v>45</v>
      </c>
      <c r="F558" t="n">
        <v>40</v>
      </c>
      <c r="G558" t="n">
        <v>35</v>
      </c>
      <c r="H558" t="n">
        <v>35</v>
      </c>
      <c r="I558">
        <f>B558&amp;"~"&amp;C558</f>
        <v/>
      </c>
    </row>
    <row r="559">
      <c r="B559" t="inlineStr">
        <is>
          <t>Distribution Warehouses</t>
        </is>
      </c>
      <c r="C559" t="inlineStr">
        <is>
          <t>Good</t>
        </is>
      </c>
      <c r="D559" t="n">
        <v>55</v>
      </c>
      <c r="E559" t="n">
        <v>55</v>
      </c>
      <c r="F559" t="n">
        <v>50</v>
      </c>
      <c r="G559" t="n">
        <v>45</v>
      </c>
      <c r="H559" t="n">
        <v>45</v>
      </c>
      <c r="I559">
        <f>B559&amp;"~"&amp;C559</f>
        <v/>
      </c>
    </row>
    <row r="560">
      <c r="B560" t="inlineStr">
        <is>
          <t>Distribution Warehouses</t>
        </is>
      </c>
      <c r="C560" t="inlineStr">
        <is>
          <t>Excellent</t>
        </is>
      </c>
      <c r="D560" t="n">
        <v>55</v>
      </c>
      <c r="E560" t="n">
        <v>55</v>
      </c>
      <c r="F560" t="n">
        <v>50</v>
      </c>
      <c r="G560" t="n">
        <v>45</v>
      </c>
      <c r="H560" t="n">
        <v>45</v>
      </c>
      <c r="I560">
        <f>B560&amp;"~"&amp;C560</f>
        <v/>
      </c>
    </row>
    <row r="561">
      <c r="B561" t="inlineStr">
        <is>
          <t>Distribution Warehouses</t>
        </is>
      </c>
      <c r="C561" t="inlineStr">
        <is>
          <t>Average</t>
        </is>
      </c>
      <c r="D561" t="n">
        <v>50</v>
      </c>
      <c r="E561" t="n">
        <v>50</v>
      </c>
      <c r="F561" t="n">
        <v>45</v>
      </c>
      <c r="G561" t="n">
        <v>40</v>
      </c>
      <c r="H561" t="n">
        <v>40</v>
      </c>
      <c r="I561">
        <f>B561&amp;"~"&amp;C561</f>
        <v/>
      </c>
    </row>
    <row r="562">
      <c r="B562" t="inlineStr">
        <is>
          <t>Distribution Warehouses</t>
        </is>
      </c>
      <c r="C562" t="inlineStr">
        <is>
          <t>Low Cost</t>
        </is>
      </c>
      <c r="F562" t="n">
        <v>40</v>
      </c>
      <c r="G562" t="n">
        <v>35</v>
      </c>
      <c r="H562" t="n">
        <v>35</v>
      </c>
      <c r="I562">
        <f>B562&amp;"~"&amp;C562</f>
        <v/>
      </c>
    </row>
    <row r="563">
      <c r="B563" t="inlineStr">
        <is>
          <t>Mini-Warehouses / Self-Storage</t>
        </is>
      </c>
      <c r="C563" t="inlineStr">
        <is>
          <t>Good</t>
        </is>
      </c>
      <c r="F563" t="n">
        <v>45</v>
      </c>
      <c r="G563" t="n">
        <v>40</v>
      </c>
      <c r="H563" t="n">
        <v>40</v>
      </c>
      <c r="I563">
        <f>B563&amp;"~"&amp;C563</f>
        <v/>
      </c>
    </row>
    <row r="564">
      <c r="B564" t="inlineStr">
        <is>
          <t>Mini-Warehouses / Self-Storage</t>
        </is>
      </c>
      <c r="C564" t="inlineStr">
        <is>
          <t>Average</t>
        </is>
      </c>
      <c r="D564" t="n">
        <v>45</v>
      </c>
      <c r="E564" t="n">
        <v>45</v>
      </c>
      <c r="F564" t="n">
        <v>40</v>
      </c>
      <c r="G564" t="n">
        <v>35</v>
      </c>
      <c r="H564" t="n">
        <v>35</v>
      </c>
      <c r="I564">
        <f>B564&amp;"~"&amp;C564</f>
        <v/>
      </c>
    </row>
    <row r="565">
      <c r="B565" t="inlineStr">
        <is>
          <t>Mini-Warehouses / Self-Storage</t>
        </is>
      </c>
      <c r="C565" t="inlineStr">
        <is>
          <t>Low Cost</t>
        </is>
      </c>
      <c r="F565" t="n">
        <v>35</v>
      </c>
      <c r="G565" t="n">
        <v>30</v>
      </c>
      <c r="H565" t="n">
        <v>30</v>
      </c>
      <c r="I565">
        <f>B565&amp;"~"&amp;C565</f>
        <v/>
      </c>
    </row>
    <row r="566">
      <c r="B566" t="inlineStr">
        <is>
          <t>Mini-Warehouses / Self-Storage</t>
        </is>
      </c>
      <c r="C566" t="inlineStr">
        <is>
          <t>Cheap</t>
        </is>
      </c>
      <c r="F566" t="n">
        <v>35</v>
      </c>
      <c r="G566" t="n">
        <v>30</v>
      </c>
      <c r="H566" t="n">
        <v>30</v>
      </c>
      <c r="I566">
        <f>B566&amp;"~"&amp;C566</f>
        <v/>
      </c>
    </row>
    <row r="567">
      <c r="B567" t="inlineStr">
        <is>
          <t>Mini-Warehouses, High-Rise</t>
        </is>
      </c>
      <c r="C567" t="inlineStr">
        <is>
          <t>Good</t>
        </is>
      </c>
      <c r="F567" t="n">
        <v>45</v>
      </c>
      <c r="G567" t="n">
        <v>40</v>
      </c>
      <c r="H567" t="n">
        <v>40</v>
      </c>
      <c r="I567">
        <f>B567&amp;"~"&amp;C567</f>
        <v/>
      </c>
    </row>
    <row r="568">
      <c r="B568" t="inlineStr">
        <is>
          <t>Mini-Warehouses, High-Rise</t>
        </is>
      </c>
      <c r="C568" t="inlineStr">
        <is>
          <t>Average</t>
        </is>
      </c>
      <c r="D568" t="n">
        <v>45</v>
      </c>
      <c r="E568" t="n">
        <v>45</v>
      </c>
      <c r="F568" t="n">
        <v>40</v>
      </c>
      <c r="G568" t="n">
        <v>35</v>
      </c>
      <c r="H568" t="n">
        <v>35</v>
      </c>
      <c r="I568">
        <f>B568&amp;"~"&amp;C568</f>
        <v/>
      </c>
    </row>
    <row r="569">
      <c r="B569" t="inlineStr">
        <is>
          <t>Mini-Warehouses, High-Rise</t>
        </is>
      </c>
      <c r="C569" t="inlineStr">
        <is>
          <t>Low Cost</t>
        </is>
      </c>
      <c r="F569" t="n">
        <v>35</v>
      </c>
      <c r="G569" t="n">
        <v>30</v>
      </c>
      <c r="H569" t="n">
        <v>30</v>
      </c>
      <c r="I569">
        <f>B569&amp;"~"&amp;C569</f>
        <v/>
      </c>
    </row>
    <row r="570">
      <c r="B570" t="inlineStr">
        <is>
          <t>Industrials, Light Manufacturing</t>
        </is>
      </c>
      <c r="C570" t="inlineStr">
        <is>
          <t>Good</t>
        </is>
      </c>
      <c r="D570" t="n">
        <v>50</v>
      </c>
      <c r="E570" t="n">
        <v>50</v>
      </c>
      <c r="F570" t="n">
        <v>45</v>
      </c>
      <c r="G570" t="n">
        <v>40</v>
      </c>
      <c r="H570" t="n">
        <v>40</v>
      </c>
      <c r="I570">
        <f>B570&amp;"~"&amp;C570</f>
        <v/>
      </c>
    </row>
    <row r="571">
      <c r="B571" t="inlineStr">
        <is>
          <t>Industrials, Light Manufacturing</t>
        </is>
      </c>
      <c r="C571" t="inlineStr">
        <is>
          <t>Average</t>
        </is>
      </c>
      <c r="D571" t="n">
        <v>50</v>
      </c>
      <c r="E571" t="n">
        <v>50</v>
      </c>
      <c r="F571" t="n">
        <v>40</v>
      </c>
      <c r="G571" t="n">
        <v>35</v>
      </c>
      <c r="H571" t="n">
        <v>35</v>
      </c>
      <c r="I571">
        <f>B571&amp;"~"&amp;C571</f>
        <v/>
      </c>
    </row>
    <row r="572">
      <c r="B572" t="inlineStr">
        <is>
          <t>Industrials, Light Manufacturing</t>
        </is>
      </c>
      <c r="C572" t="inlineStr">
        <is>
          <t>Low Cost</t>
        </is>
      </c>
      <c r="D572" t="n">
        <v>45</v>
      </c>
      <c r="E572" t="n">
        <v>45</v>
      </c>
      <c r="F572" t="n">
        <v>40</v>
      </c>
      <c r="G572" t="n">
        <v>35</v>
      </c>
      <c r="H572" t="n">
        <v>35</v>
      </c>
      <c r="I572">
        <f>B572&amp;"~"&amp;C572</f>
        <v/>
      </c>
    </row>
    <row r="573">
      <c r="B573" t="inlineStr">
        <is>
          <t>Industrials, Heavy (Process) Manufacturing</t>
        </is>
      </c>
      <c r="C573" t="inlineStr">
        <is>
          <t>Good</t>
        </is>
      </c>
      <c r="D573" t="n">
        <v>60</v>
      </c>
      <c r="E573" t="n">
        <v>60</v>
      </c>
      <c r="F573" t="n">
        <v>55</v>
      </c>
      <c r="H573" t="n">
        <v>50</v>
      </c>
      <c r="I573">
        <f>B573&amp;"~"&amp;C573</f>
        <v/>
      </c>
    </row>
    <row r="574">
      <c r="B574" t="inlineStr">
        <is>
          <t>Industrials, Heavy (Process) Manufacturing</t>
        </is>
      </c>
      <c r="C574" t="inlineStr">
        <is>
          <t>Excellent</t>
        </is>
      </c>
      <c r="D574" t="n">
        <v>60</v>
      </c>
      <c r="E574" t="n">
        <v>60</v>
      </c>
      <c r="F574" t="n">
        <v>55</v>
      </c>
      <c r="H574" t="n">
        <v>50</v>
      </c>
      <c r="I574">
        <f>B574&amp;"~"&amp;C574</f>
        <v/>
      </c>
    </row>
    <row r="575">
      <c r="B575" t="inlineStr">
        <is>
          <t>Industrials, Heavy (Process) Manufacturing</t>
        </is>
      </c>
      <c r="C575" t="inlineStr">
        <is>
          <t>Low Cost</t>
        </is>
      </c>
      <c r="D575" t="n">
        <v>55</v>
      </c>
      <c r="E575" t="n">
        <v>55</v>
      </c>
      <c r="F575" t="n">
        <v>50</v>
      </c>
      <c r="G575" t="n">
        <v>45</v>
      </c>
      <c r="H575" t="n">
        <v>45</v>
      </c>
      <c r="I575">
        <f>B575&amp;"~"&amp;C575</f>
        <v/>
      </c>
    </row>
    <row r="576">
      <c r="B576" t="inlineStr">
        <is>
          <t>Industrials, Heavy (Process) Manufacturing</t>
        </is>
      </c>
      <c r="C576" t="inlineStr">
        <is>
          <t>Average</t>
        </is>
      </c>
      <c r="D576" t="n">
        <v>55</v>
      </c>
      <c r="E576" t="n">
        <v>55</v>
      </c>
      <c r="F576" t="n">
        <v>50</v>
      </c>
      <c r="G576" t="n">
        <v>45</v>
      </c>
      <c r="H576" t="n">
        <v>45</v>
      </c>
      <c r="I576">
        <f>B576&amp;"~"&amp;C576</f>
        <v/>
      </c>
    </row>
    <row r="577">
      <c r="B577" t="inlineStr">
        <is>
          <t>Service Garages (Commercial/Repair)</t>
        </is>
      </c>
      <c r="C577" t="inlineStr">
        <is>
          <t>Good</t>
        </is>
      </c>
      <c r="F577" t="n">
        <v>40</v>
      </c>
      <c r="G577" t="n">
        <v>35</v>
      </c>
      <c r="H577" t="n">
        <v>35</v>
      </c>
      <c r="I577">
        <f>B577&amp;"~"&amp;C577</f>
        <v/>
      </c>
    </row>
    <row r="578">
      <c r="B578" t="inlineStr">
        <is>
          <t>Service Garages (Commercial/Repair)</t>
        </is>
      </c>
      <c r="C578" t="inlineStr">
        <is>
          <t>Excellent</t>
        </is>
      </c>
      <c r="F578" t="n">
        <v>40</v>
      </c>
      <c r="G578" t="n">
        <v>35</v>
      </c>
      <c r="H578" t="n">
        <v>35</v>
      </c>
      <c r="I578">
        <f>B578&amp;"~"&amp;C578</f>
        <v/>
      </c>
    </row>
    <row r="579">
      <c r="B579" t="inlineStr">
        <is>
          <t>Service Garages (Commercial/Repair)</t>
        </is>
      </c>
      <c r="C579" t="inlineStr">
        <is>
          <t>Low Cost</t>
        </is>
      </c>
      <c r="D579" t="n">
        <v>40</v>
      </c>
      <c r="E579" t="n">
        <v>40</v>
      </c>
      <c r="F579" t="n">
        <v>35</v>
      </c>
      <c r="G579" t="n">
        <v>30</v>
      </c>
      <c r="H579" t="n">
        <v>30</v>
      </c>
      <c r="I579">
        <f>B579&amp;"~"&amp;C579</f>
        <v/>
      </c>
    </row>
    <row r="580">
      <c r="B580" t="inlineStr">
        <is>
          <t>Service Garages (Commercial/Repair)</t>
        </is>
      </c>
      <c r="C580" t="inlineStr">
        <is>
          <t>Average</t>
        </is>
      </c>
      <c r="D580" t="n">
        <v>40</v>
      </c>
      <c r="E580" t="n">
        <v>40</v>
      </c>
      <c r="F580" t="n">
        <v>35</v>
      </c>
      <c r="G580" t="n">
        <v>30</v>
      </c>
      <c r="H580" t="n">
        <v>30</v>
      </c>
      <c r="I580">
        <f>B580&amp;"~"&amp;C580</f>
        <v/>
      </c>
    </row>
    <row r="581">
      <c r="B581" t="inlineStr">
        <is>
          <t>Retail Stores</t>
        </is>
      </c>
      <c r="C581" t="inlineStr">
        <is>
          <t>Good</t>
        </is>
      </c>
      <c r="D581" t="n">
        <v>55</v>
      </c>
      <c r="E581" t="n">
        <v>55</v>
      </c>
      <c r="F581" t="n">
        <v>50</v>
      </c>
      <c r="G581" t="n">
        <v>45</v>
      </c>
      <c r="H581" t="n">
        <v>45</v>
      </c>
      <c r="I581">
        <f>B581&amp;"~"&amp;C581</f>
        <v/>
      </c>
    </row>
    <row r="582">
      <c r="B582" t="inlineStr">
        <is>
          <t>Retail Stores</t>
        </is>
      </c>
      <c r="C582" t="inlineStr">
        <is>
          <t>Excellent</t>
        </is>
      </c>
      <c r="D582" t="n">
        <v>55</v>
      </c>
      <c r="E582" t="n">
        <v>55</v>
      </c>
      <c r="F582" t="n">
        <v>50</v>
      </c>
      <c r="G582" t="n">
        <v>45</v>
      </c>
      <c r="H582" t="n">
        <v>45</v>
      </c>
      <c r="I582">
        <f>B582&amp;"~"&amp;C582</f>
        <v/>
      </c>
    </row>
    <row r="583">
      <c r="B583" t="inlineStr">
        <is>
          <t>Retail Stores</t>
        </is>
      </c>
      <c r="C583" t="inlineStr">
        <is>
          <t>Average</t>
        </is>
      </c>
      <c r="D583" t="n">
        <v>50</v>
      </c>
      <c r="E583" t="n">
        <v>50</v>
      </c>
      <c r="F583" t="n">
        <v>45</v>
      </c>
      <c r="G583" t="n">
        <v>40</v>
      </c>
      <c r="H583" t="n">
        <v>40</v>
      </c>
      <c r="I583">
        <f>B583&amp;"~"&amp;C583</f>
        <v/>
      </c>
    </row>
    <row r="584">
      <c r="B584" t="inlineStr">
        <is>
          <t>Retail Stores</t>
        </is>
      </c>
      <c r="C584" t="inlineStr">
        <is>
          <t>Low Cost</t>
        </is>
      </c>
      <c r="D584" t="n">
        <v>45</v>
      </c>
      <c r="E584" t="n">
        <v>45</v>
      </c>
      <c r="F584" t="n">
        <v>40</v>
      </c>
      <c r="G584" t="n">
        <v>40</v>
      </c>
      <c r="H584" t="n">
        <v>40</v>
      </c>
      <c r="I584">
        <f>B584&amp;"~"&amp;C584</f>
        <v/>
      </c>
    </row>
    <row r="585">
      <c r="B585" t="inlineStr">
        <is>
          <t>Neighborhood Shopping Centers</t>
        </is>
      </c>
      <c r="C585" t="inlineStr">
        <is>
          <t>Good</t>
        </is>
      </c>
      <c r="F585" t="n">
        <v>45</v>
      </c>
      <c r="G585" t="n">
        <v>40</v>
      </c>
      <c r="I585">
        <f>B585&amp;"~"&amp;C585</f>
        <v/>
      </c>
    </row>
    <row r="586">
      <c r="B586" t="inlineStr">
        <is>
          <t>Neighborhood Shopping Centers</t>
        </is>
      </c>
      <c r="C586" t="inlineStr">
        <is>
          <t>Average</t>
        </is>
      </c>
      <c r="F586" t="n">
        <v>40</v>
      </c>
      <c r="G586" t="n">
        <v>35</v>
      </c>
      <c r="H586" t="n">
        <v>35</v>
      </c>
      <c r="I586">
        <f>B586&amp;"~"&amp;C586</f>
        <v/>
      </c>
    </row>
    <row r="587">
      <c r="B587" t="inlineStr">
        <is>
          <t>Neighborhood Shopping Centers</t>
        </is>
      </c>
      <c r="C587" t="inlineStr">
        <is>
          <t>Low Cost</t>
        </is>
      </c>
      <c r="F587" t="n">
        <v>35</v>
      </c>
      <c r="G587" t="n">
        <v>30</v>
      </c>
      <c r="H587" t="n">
        <v>30</v>
      </c>
      <c r="I587">
        <f>B587&amp;"~"&amp;C587</f>
        <v/>
      </c>
    </row>
    <row r="588">
      <c r="B588" t="inlineStr">
        <is>
          <t>Community Shopping Centers</t>
        </is>
      </c>
      <c r="C588" t="inlineStr">
        <is>
          <t>Good</t>
        </is>
      </c>
      <c r="F588" t="n">
        <v>50</v>
      </c>
      <c r="G588" t="n">
        <v>45</v>
      </c>
      <c r="H588" t="n">
        <v>45</v>
      </c>
      <c r="I588">
        <f>B588&amp;"~"&amp;C588</f>
        <v/>
      </c>
    </row>
    <row r="589">
      <c r="B589" t="inlineStr">
        <is>
          <t>Community Shopping Centers</t>
        </is>
      </c>
      <c r="C589" t="inlineStr">
        <is>
          <t>Excellent</t>
        </is>
      </c>
      <c r="F589" t="n">
        <v>50</v>
      </c>
      <c r="G589" t="n">
        <v>45</v>
      </c>
      <c r="H589" t="n">
        <v>45</v>
      </c>
      <c r="I589">
        <f>B589&amp;"~"&amp;C589</f>
        <v/>
      </c>
    </row>
    <row r="590">
      <c r="B590" t="inlineStr">
        <is>
          <t>Community Shopping Centers</t>
        </is>
      </c>
      <c r="C590" t="inlineStr">
        <is>
          <t>Average</t>
        </is>
      </c>
      <c r="F590" t="n">
        <v>45</v>
      </c>
      <c r="G590" t="n">
        <v>40</v>
      </c>
      <c r="H590" t="n">
        <v>40</v>
      </c>
      <c r="I590">
        <f>B590&amp;"~"&amp;C590</f>
        <v/>
      </c>
    </row>
    <row r="591">
      <c r="B591" t="inlineStr">
        <is>
          <t>Community Shopping Centers</t>
        </is>
      </c>
      <c r="C591" t="inlineStr">
        <is>
          <t>Low Cost</t>
        </is>
      </c>
      <c r="F591" t="n">
        <v>45</v>
      </c>
      <c r="G591" t="n">
        <v>40</v>
      </c>
      <c r="H591" t="n">
        <v>40</v>
      </c>
      <c r="I591">
        <f>B591&amp;"~"&amp;C591</f>
        <v/>
      </c>
    </row>
    <row r="592">
      <c r="B592" t="inlineStr">
        <is>
          <t>Regional Shopping Centers</t>
        </is>
      </c>
      <c r="C592" t="inlineStr">
        <is>
          <t>Good</t>
        </is>
      </c>
      <c r="D592" t="n">
        <v>55</v>
      </c>
      <c r="E592" t="n">
        <v>55</v>
      </c>
      <c r="F592" t="n">
        <v>55</v>
      </c>
      <c r="G592" t="n">
        <v>50</v>
      </c>
      <c r="I592">
        <f>B592&amp;"~"&amp;C592</f>
        <v/>
      </c>
    </row>
    <row r="593">
      <c r="B593" t="inlineStr">
        <is>
          <t>Regional Shopping Centers</t>
        </is>
      </c>
      <c r="C593" t="inlineStr">
        <is>
          <t>Excellent</t>
        </is>
      </c>
      <c r="D593" t="n">
        <v>55</v>
      </c>
      <c r="E593" t="n">
        <v>55</v>
      </c>
      <c r="F593" t="n">
        <v>55</v>
      </c>
      <c r="G593" t="n">
        <v>50</v>
      </c>
      <c r="I593">
        <f>B593&amp;"~"&amp;C593</f>
        <v/>
      </c>
    </row>
    <row r="594">
      <c r="B594" t="inlineStr">
        <is>
          <t>Regional Shopping Centers</t>
        </is>
      </c>
      <c r="C594" t="inlineStr">
        <is>
          <t>Average</t>
        </is>
      </c>
      <c r="F594" t="n">
        <v>50</v>
      </c>
      <c r="G594" t="n">
        <v>45</v>
      </c>
      <c r="H594" t="n">
        <v>45</v>
      </c>
      <c r="I594">
        <f>B594&amp;"~"&amp;C594</f>
        <v/>
      </c>
    </row>
    <row r="595">
      <c r="B595" t="inlineStr">
        <is>
          <t>Regional Shopping Centers</t>
        </is>
      </c>
      <c r="C595" t="inlineStr">
        <is>
          <t>Good*</t>
        </is>
      </c>
      <c r="D595" t="n">
        <v>55</v>
      </c>
      <c r="E595" t="n">
        <v>55</v>
      </c>
      <c r="F595" t="n">
        <v>55</v>
      </c>
      <c r="G595" t="n">
        <v>50</v>
      </c>
      <c r="I595">
        <f>B595&amp;"~"&amp;C595</f>
        <v/>
      </c>
    </row>
    <row r="596">
      <c r="B596" t="inlineStr">
        <is>
          <t>Regional Shopping Centers</t>
        </is>
      </c>
      <c r="C596" t="inlineStr">
        <is>
          <t>Excellent*</t>
        </is>
      </c>
      <c r="D596" t="n">
        <v>55</v>
      </c>
      <c r="E596" t="n">
        <v>55</v>
      </c>
      <c r="F596" t="n">
        <v>55</v>
      </c>
      <c r="G596" t="n">
        <v>50</v>
      </c>
      <c r="I596">
        <f>B596&amp;"~"&amp;C596</f>
        <v/>
      </c>
    </row>
    <row r="597">
      <c r="B597" t="inlineStr">
        <is>
          <t>Department Stores</t>
        </is>
      </c>
      <c r="C597" t="inlineStr">
        <is>
          <t>Good</t>
        </is>
      </c>
      <c r="D597" t="n">
        <v>55</v>
      </c>
      <c r="E597" t="n">
        <v>55</v>
      </c>
      <c r="F597" t="n">
        <v>50</v>
      </c>
      <c r="I597">
        <f>B597&amp;"~"&amp;C597</f>
        <v/>
      </c>
    </row>
    <row r="598">
      <c r="B598" t="inlineStr">
        <is>
          <t>Department Stores</t>
        </is>
      </c>
      <c r="C598" t="inlineStr">
        <is>
          <t>Excellent</t>
        </is>
      </c>
      <c r="D598" t="n">
        <v>55</v>
      </c>
      <c r="E598" t="n">
        <v>55</v>
      </c>
      <c r="F598" t="n">
        <v>50</v>
      </c>
      <c r="I598">
        <f>B598&amp;"~"&amp;C598</f>
        <v/>
      </c>
    </row>
    <row r="599">
      <c r="B599" t="inlineStr">
        <is>
          <t>Department Stores</t>
        </is>
      </c>
      <c r="C599" t="inlineStr">
        <is>
          <t>Low Cost</t>
        </is>
      </c>
      <c r="D599" t="n">
        <v>50</v>
      </c>
      <c r="E599" t="n">
        <v>50</v>
      </c>
      <c r="F599" t="n">
        <v>45</v>
      </c>
      <c r="I599">
        <f>B599&amp;"~"&amp;C599</f>
        <v/>
      </c>
    </row>
    <row r="600">
      <c r="B600" t="inlineStr">
        <is>
          <t>Department Stores</t>
        </is>
      </c>
      <c r="C600" t="inlineStr">
        <is>
          <t>Average</t>
        </is>
      </c>
      <c r="D600" t="n">
        <v>50</v>
      </c>
      <c r="E600" t="n">
        <v>50</v>
      </c>
      <c r="F600" t="n">
        <v>45</v>
      </c>
      <c r="I600">
        <f>B600&amp;"~"&amp;C600</f>
        <v/>
      </c>
    </row>
    <row r="601">
      <c r="B601" t="inlineStr">
        <is>
          <t>Discount Stores</t>
        </is>
      </c>
      <c r="C601" t="inlineStr">
        <is>
          <t>Good</t>
        </is>
      </c>
      <c r="F601" t="n">
        <v>40</v>
      </c>
      <c r="G601" t="n">
        <v>35</v>
      </c>
      <c r="H601" t="n">
        <v>35</v>
      </c>
      <c r="I601">
        <f>B601&amp;"~"&amp;C601</f>
        <v/>
      </c>
    </row>
    <row r="602">
      <c r="B602" t="inlineStr">
        <is>
          <t>Discount Stores</t>
        </is>
      </c>
      <c r="C602" t="inlineStr">
        <is>
          <t>Low Cost</t>
        </is>
      </c>
      <c r="D602" t="n">
        <v>40</v>
      </c>
      <c r="E602" t="n">
        <v>40</v>
      </c>
      <c r="F602" t="n">
        <v>35</v>
      </c>
      <c r="G602" t="n">
        <v>30</v>
      </c>
      <c r="H602" t="n">
        <v>30</v>
      </c>
      <c r="I602">
        <f>B602&amp;"~"&amp;C602</f>
        <v/>
      </c>
    </row>
    <row r="603">
      <c r="B603" t="inlineStr">
        <is>
          <t>Discount Stores</t>
        </is>
      </c>
      <c r="C603" t="inlineStr">
        <is>
          <t>Average</t>
        </is>
      </c>
      <c r="D603" t="n">
        <v>40</v>
      </c>
      <c r="E603" t="n">
        <v>40</v>
      </c>
      <c r="F603" t="n">
        <v>35</v>
      </c>
      <c r="G603" t="n">
        <v>30</v>
      </c>
      <c r="H603" t="n">
        <v>30</v>
      </c>
      <c r="I603">
        <f>B603&amp;"~"&amp;C603</f>
        <v/>
      </c>
    </row>
    <row r="604">
      <c r="B604" t="inlineStr">
        <is>
          <t>Office Buildings</t>
        </is>
      </c>
      <c r="C604" t="inlineStr">
        <is>
          <t>Good</t>
        </is>
      </c>
      <c r="D604" t="n">
        <v>60</v>
      </c>
      <c r="E604" t="n">
        <v>60</v>
      </c>
      <c r="F604" t="n">
        <v>55</v>
      </c>
      <c r="G604" t="n">
        <v>50</v>
      </c>
      <c r="H604" t="n">
        <v>50</v>
      </c>
      <c r="I604">
        <f>B604&amp;"~"&amp;C604</f>
        <v/>
      </c>
    </row>
    <row r="605">
      <c r="B605" t="inlineStr">
        <is>
          <t>Office Buildings</t>
        </is>
      </c>
      <c r="C605" t="inlineStr">
        <is>
          <t>Excellent</t>
        </is>
      </c>
      <c r="D605" t="n">
        <v>60</v>
      </c>
      <c r="E605" t="n">
        <v>60</v>
      </c>
      <c r="F605" t="n">
        <v>55</v>
      </c>
      <c r="G605" t="n">
        <v>50</v>
      </c>
      <c r="H605" t="n">
        <v>50</v>
      </c>
      <c r="I605">
        <f>B605&amp;"~"&amp;C605</f>
        <v/>
      </c>
    </row>
    <row r="606">
      <c r="B606" t="inlineStr">
        <is>
          <t>Office Buildings</t>
        </is>
      </c>
      <c r="C606" t="inlineStr">
        <is>
          <t>Average</t>
        </is>
      </c>
      <c r="D606" t="n">
        <v>55</v>
      </c>
      <c r="E606" t="n">
        <v>55</v>
      </c>
      <c r="F606" t="n">
        <v>50</v>
      </c>
      <c r="G606" t="n">
        <v>45</v>
      </c>
      <c r="H606" t="n">
        <v>45</v>
      </c>
      <c r="I606">
        <f>B606&amp;"~"&amp;C606</f>
        <v/>
      </c>
    </row>
    <row r="607">
      <c r="B607" t="inlineStr">
        <is>
          <t>Office Buildings</t>
        </is>
      </c>
      <c r="C607" t="inlineStr">
        <is>
          <t>Low Cost</t>
        </is>
      </c>
      <c r="D607" t="n">
        <v>50</v>
      </c>
      <c r="E607" t="n">
        <v>50</v>
      </c>
      <c r="F607" t="n">
        <v>45</v>
      </c>
      <c r="G607" t="n">
        <v>40</v>
      </c>
      <c r="H607" t="n">
        <v>40</v>
      </c>
      <c r="I607">
        <f>B607&amp;"~"&amp;C607</f>
        <v/>
      </c>
    </row>
    <row r="608">
      <c r="B608" t="inlineStr">
        <is>
          <t>Medical Office Buildings</t>
        </is>
      </c>
      <c r="C608" t="inlineStr">
        <is>
          <t>Good</t>
        </is>
      </c>
      <c r="D608" t="n">
        <v>50</v>
      </c>
      <c r="E608" t="n">
        <v>50</v>
      </c>
      <c r="F608" t="n">
        <v>45</v>
      </c>
      <c r="G608" t="n">
        <v>40</v>
      </c>
      <c r="H608" t="n">
        <v>40</v>
      </c>
      <c r="I608">
        <f>B608&amp;"~"&amp;C608</f>
        <v/>
      </c>
    </row>
    <row r="609">
      <c r="B609" t="inlineStr">
        <is>
          <t>Medical Office Buildings</t>
        </is>
      </c>
      <c r="C609" t="inlineStr">
        <is>
          <t>Excellent</t>
        </is>
      </c>
      <c r="D609" t="n">
        <v>50</v>
      </c>
      <c r="E609" t="n">
        <v>50</v>
      </c>
      <c r="F609" t="n">
        <v>45</v>
      </c>
      <c r="G609" t="n">
        <v>40</v>
      </c>
      <c r="H609" t="n">
        <v>40</v>
      </c>
      <c r="I609">
        <f>B609&amp;"~"&amp;C609</f>
        <v/>
      </c>
    </row>
    <row r="610">
      <c r="B610" t="inlineStr">
        <is>
          <t>Medical Office Buildings</t>
        </is>
      </c>
      <c r="C610" t="inlineStr">
        <is>
          <t>Low Cost</t>
        </is>
      </c>
      <c r="D610" t="n">
        <v>45</v>
      </c>
      <c r="E610" t="n">
        <v>45</v>
      </c>
      <c r="F610" t="n">
        <v>40</v>
      </c>
      <c r="G610" t="n">
        <v>35</v>
      </c>
      <c r="H610" t="n">
        <v>35</v>
      </c>
      <c r="I610">
        <f>B610&amp;"~"&amp;C610</f>
        <v/>
      </c>
    </row>
    <row r="611">
      <c r="B611" t="inlineStr">
        <is>
          <t>Medical Office Buildings</t>
        </is>
      </c>
      <c r="C611" t="inlineStr">
        <is>
          <t>Average</t>
        </is>
      </c>
      <c r="D611" t="n">
        <v>45</v>
      </c>
      <c r="E611" t="n">
        <v>45</v>
      </c>
      <c r="F611" t="n">
        <v>40</v>
      </c>
      <c r="G611" t="n">
        <v>35</v>
      </c>
      <c r="H611" t="n">
        <v>35</v>
      </c>
      <c r="I611">
        <f>B611&amp;"~"&amp;C611</f>
        <v/>
      </c>
    </row>
    <row r="612">
      <c r="B612" t="inlineStr">
        <is>
          <t>Banks, Branch</t>
        </is>
      </c>
      <c r="C612" t="inlineStr">
        <is>
          <t>Good</t>
        </is>
      </c>
      <c r="D612" t="n">
        <v>60</v>
      </c>
      <c r="E612" t="n">
        <v>60</v>
      </c>
      <c r="F612" t="n">
        <v>55</v>
      </c>
      <c r="G612" t="n">
        <v>50</v>
      </c>
      <c r="H612" t="n">
        <v>50</v>
      </c>
      <c r="I612">
        <f>B612&amp;"~"&amp;C612</f>
        <v/>
      </c>
    </row>
    <row r="613">
      <c r="B613" t="inlineStr">
        <is>
          <t>Banks, Branch</t>
        </is>
      </c>
      <c r="C613" t="inlineStr">
        <is>
          <t>Excellent</t>
        </is>
      </c>
      <c r="D613" t="n">
        <v>60</v>
      </c>
      <c r="E613" t="n">
        <v>60</v>
      </c>
      <c r="F613" t="n">
        <v>55</v>
      </c>
      <c r="G613" t="n">
        <v>50</v>
      </c>
      <c r="H613" t="n">
        <v>50</v>
      </c>
      <c r="I613">
        <f>B613&amp;"~"&amp;C613</f>
        <v/>
      </c>
    </row>
    <row r="614">
      <c r="B614" t="inlineStr">
        <is>
          <t>Banks, Branch</t>
        </is>
      </c>
      <c r="C614" t="inlineStr">
        <is>
          <t>Average</t>
        </is>
      </c>
      <c r="D614" t="n">
        <v>55</v>
      </c>
      <c r="E614" t="n">
        <v>55</v>
      </c>
      <c r="F614" t="n">
        <v>50</v>
      </c>
      <c r="G614" t="n">
        <v>45</v>
      </c>
      <c r="H614" t="n">
        <v>45</v>
      </c>
      <c r="I614">
        <f>B614&amp;"~"&amp;C614</f>
        <v/>
      </c>
    </row>
    <row r="615">
      <c r="B615" t="inlineStr">
        <is>
          <t>Banks, Branch</t>
        </is>
      </c>
      <c r="C615" t="inlineStr">
        <is>
          <t>Low Cost</t>
        </is>
      </c>
      <c r="D615" t="n">
        <v>50</v>
      </c>
      <c r="E615" t="n">
        <v>50</v>
      </c>
      <c r="F615" t="n">
        <v>45</v>
      </c>
      <c r="G615" t="n">
        <v>40</v>
      </c>
      <c r="H615" t="n">
        <v>40</v>
      </c>
      <c r="I615">
        <f>B615&amp;"~"&amp;C615</f>
        <v/>
      </c>
    </row>
    <row r="616">
      <c r="B616" t="inlineStr">
        <is>
          <t>Hotels, Full Service</t>
        </is>
      </c>
      <c r="C616" t="inlineStr">
        <is>
          <t>Good</t>
        </is>
      </c>
      <c r="D616" t="n">
        <v>60</v>
      </c>
      <c r="E616" t="n">
        <v>60</v>
      </c>
      <c r="F616" t="n">
        <v>50</v>
      </c>
      <c r="G616" t="n">
        <v>45</v>
      </c>
      <c r="I616">
        <f>B616&amp;"~"&amp;C616</f>
        <v/>
      </c>
    </row>
    <row r="617">
      <c r="B617" t="inlineStr">
        <is>
          <t>Hotels, Full Service</t>
        </is>
      </c>
      <c r="C617" t="inlineStr">
        <is>
          <t>Excellent</t>
        </is>
      </c>
      <c r="D617" t="n">
        <v>60</v>
      </c>
      <c r="E617" t="n">
        <v>60</v>
      </c>
      <c r="F617" t="n">
        <v>50</v>
      </c>
      <c r="G617" t="n">
        <v>45</v>
      </c>
      <c r="I617">
        <f>B617&amp;"~"&amp;C617</f>
        <v/>
      </c>
    </row>
    <row r="618">
      <c r="B618" t="inlineStr">
        <is>
          <t>Hotels, Full Service</t>
        </is>
      </c>
      <c r="C618" t="inlineStr">
        <is>
          <t>Average</t>
        </is>
      </c>
      <c r="D618" t="n">
        <v>55</v>
      </c>
      <c r="E618" t="n">
        <v>55</v>
      </c>
      <c r="F618" t="n">
        <v>50</v>
      </c>
      <c r="G618" t="n">
        <v>45</v>
      </c>
      <c r="I618">
        <f>B618&amp;"~"&amp;C618</f>
        <v/>
      </c>
    </row>
    <row r="619">
      <c r="B619" t="inlineStr">
        <is>
          <t>Hotels, Full Service</t>
        </is>
      </c>
      <c r="C619" t="inlineStr">
        <is>
          <t>Low Cost</t>
        </is>
      </c>
      <c r="D619" t="n">
        <v>50</v>
      </c>
      <c r="E619" t="n">
        <v>50</v>
      </c>
      <c r="F619" t="n">
        <v>45</v>
      </c>
      <c r="G619" t="n">
        <v>40</v>
      </c>
      <c r="I619">
        <f>B619&amp;"~"&amp;C619</f>
        <v/>
      </c>
    </row>
    <row r="620">
      <c r="B620" t="inlineStr">
        <is>
          <t>Hotels, Limited Service</t>
        </is>
      </c>
      <c r="C620" t="inlineStr">
        <is>
          <t>Excellent</t>
        </is>
      </c>
      <c r="D620" t="n">
        <v>60</v>
      </c>
      <c r="E620" t="n">
        <v>60</v>
      </c>
      <c r="F620" t="n">
        <v>50</v>
      </c>
      <c r="I620">
        <f>B620&amp;"~"&amp;C620</f>
        <v/>
      </c>
    </row>
    <row r="621">
      <c r="B621" t="inlineStr">
        <is>
          <t>Hotels, Limited Service</t>
        </is>
      </c>
      <c r="C621" t="inlineStr">
        <is>
          <t>Good</t>
        </is>
      </c>
      <c r="D621" t="n">
        <v>55</v>
      </c>
      <c r="E621" t="n">
        <v>55</v>
      </c>
      <c r="F621" t="n">
        <v>50</v>
      </c>
      <c r="G621" t="n">
        <v>45</v>
      </c>
      <c r="I621">
        <f>B621&amp;"~"&amp;C621</f>
        <v/>
      </c>
    </row>
    <row r="622">
      <c r="B622" t="inlineStr">
        <is>
          <t>Hotels, Limited Service</t>
        </is>
      </c>
      <c r="C622" t="inlineStr">
        <is>
          <t>Low Cost</t>
        </is>
      </c>
      <c r="D622" t="n">
        <v>50</v>
      </c>
      <c r="E622" t="n">
        <v>50</v>
      </c>
      <c r="F622" t="n">
        <v>45</v>
      </c>
      <c r="G622" t="n">
        <v>40</v>
      </c>
      <c r="H622" t="n">
        <v>40</v>
      </c>
      <c r="I622">
        <f>B622&amp;"~"&amp;C622</f>
        <v/>
      </c>
    </row>
    <row r="623">
      <c r="B623" t="inlineStr">
        <is>
          <t>Hotels, Limited Service</t>
        </is>
      </c>
      <c r="C623" t="inlineStr">
        <is>
          <t>Average</t>
        </is>
      </c>
      <c r="D623" t="n">
        <v>50</v>
      </c>
      <c r="E623" t="n">
        <v>50</v>
      </c>
      <c r="F623" t="n">
        <v>45</v>
      </c>
      <c r="G623" t="n">
        <v>40</v>
      </c>
      <c r="H623" t="n">
        <v>40</v>
      </c>
      <c r="I623">
        <f>B623&amp;"~"&amp;C623</f>
        <v/>
      </c>
    </row>
    <row r="625">
      <c r="B625" s="2387" t="inlineStr">
        <is>
          <t>REFERENCE 12 -- Depreciation Percent-Good Table, Commercial Properties (MVS Sec.97 p.24). Applies to Sections 11/13/14/15 per MVS's own 'Properties Included' key.</t>
        </is>
      </c>
      <c r="C625" s="2387" t="n"/>
      <c r="D625" s="2387" t="n"/>
      <c r="E625" s="2387" t="n"/>
      <c r="F625" s="2387" t="n"/>
      <c r="G625" s="2387" t="n"/>
      <c r="H625" s="2387" t="n"/>
    </row>
    <row r="626">
      <c r="B626" s="2392" t="inlineStr">
        <is>
          <t>Blank cells = combination not tabulated in the manual (effective age exceeds what's charted for that life expectancy) -- treat as fully/near-fully depreciated; see Sec.97 salvage-value guidance.</t>
        </is>
      </c>
    </row>
    <row r="627">
      <c r="B627" s="2388" t="inlineStr">
        <is>
          <t>Effective Age (yrs) \ Typical Life (yrs) -&gt;</t>
        </is>
      </c>
      <c r="C627" s="2388" t="n">
        <v>70</v>
      </c>
      <c r="D627" s="2388" t="n">
        <v>60</v>
      </c>
      <c r="E627" s="2388" t="n">
        <v>55</v>
      </c>
      <c r="F627" s="2388" t="n">
        <v>50</v>
      </c>
      <c r="G627" s="2388" t="n">
        <v>45</v>
      </c>
      <c r="H627" s="2388" t="n">
        <v>40</v>
      </c>
      <c r="I627" s="2388" t="n">
        <v>35</v>
      </c>
      <c r="J627" s="2388" t="n">
        <v>30</v>
      </c>
      <c r="K627" s="2388" t="n">
        <v>25</v>
      </c>
      <c r="L627" s="2388" t="n">
        <v>20</v>
      </c>
    </row>
    <row r="628">
      <c r="B628" t="n">
        <v>1</v>
      </c>
      <c r="C628" t="n">
        <v>0</v>
      </c>
      <c r="D628" t="n">
        <v>0</v>
      </c>
      <c r="E628" t="n">
        <v>0</v>
      </c>
      <c r="F628" t="n">
        <v>0</v>
      </c>
      <c r="G628" t="n">
        <v>1</v>
      </c>
      <c r="H628" t="n">
        <v>1</v>
      </c>
      <c r="I628" t="n">
        <v>1</v>
      </c>
      <c r="J628" t="n">
        <v>2</v>
      </c>
      <c r="K628" t="n">
        <v>2</v>
      </c>
      <c r="L628" t="n">
        <v>3</v>
      </c>
    </row>
    <row r="629">
      <c r="B629" t="n">
        <v>2</v>
      </c>
      <c r="C629" t="n">
        <v>0</v>
      </c>
      <c r="D629" t="n">
        <v>1</v>
      </c>
      <c r="E629" t="n">
        <v>1</v>
      </c>
      <c r="F629" t="n">
        <v>1</v>
      </c>
      <c r="G629" t="n">
        <v>1</v>
      </c>
      <c r="H629" t="n">
        <v>2</v>
      </c>
      <c r="I629" t="n">
        <v>2</v>
      </c>
      <c r="J629" t="n">
        <v>3</v>
      </c>
      <c r="K629" t="n">
        <v>5</v>
      </c>
      <c r="L629" t="n">
        <v>7</v>
      </c>
    </row>
    <row r="630">
      <c r="B630" t="n">
        <v>3</v>
      </c>
      <c r="C630" t="n">
        <v>0</v>
      </c>
      <c r="D630" t="n">
        <v>1</v>
      </c>
      <c r="E630" t="n">
        <v>1</v>
      </c>
      <c r="F630" t="n">
        <v>1</v>
      </c>
      <c r="G630" t="n">
        <v>2</v>
      </c>
      <c r="H630" t="n">
        <v>3</v>
      </c>
      <c r="I630" t="n">
        <v>4</v>
      </c>
      <c r="J630" t="n">
        <v>5</v>
      </c>
      <c r="K630" t="n">
        <v>7</v>
      </c>
      <c r="L630" t="n">
        <v>10</v>
      </c>
    </row>
    <row r="631">
      <c r="B631" t="n">
        <v>4</v>
      </c>
      <c r="C631" t="n">
        <v>1</v>
      </c>
      <c r="D631" t="n">
        <v>1</v>
      </c>
      <c r="E631" t="n">
        <v>1</v>
      </c>
      <c r="F631" t="n">
        <v>2</v>
      </c>
      <c r="G631" t="n">
        <v>3</v>
      </c>
      <c r="H631" t="n">
        <v>4</v>
      </c>
      <c r="I631" t="n">
        <v>5</v>
      </c>
      <c r="J631" t="n">
        <v>7</v>
      </c>
      <c r="K631" t="n">
        <v>10</v>
      </c>
      <c r="L631" t="n">
        <v>14</v>
      </c>
    </row>
    <row r="632">
      <c r="B632" t="n">
        <v>5</v>
      </c>
      <c r="C632" t="n">
        <v>1</v>
      </c>
      <c r="D632" t="n">
        <v>1</v>
      </c>
      <c r="E632" t="n">
        <v>2</v>
      </c>
      <c r="F632" t="n">
        <v>3</v>
      </c>
      <c r="G632" t="n">
        <v>4</v>
      </c>
      <c r="H632" t="n">
        <v>5</v>
      </c>
      <c r="I632" t="n">
        <v>6</v>
      </c>
      <c r="J632" t="n">
        <v>9</v>
      </c>
      <c r="K632" t="n">
        <v>13</v>
      </c>
      <c r="L632" t="n">
        <v>18</v>
      </c>
    </row>
    <row r="633">
      <c r="B633" t="n">
        <v>6</v>
      </c>
      <c r="C633" t="n">
        <v>1</v>
      </c>
      <c r="D633" t="n">
        <v>2</v>
      </c>
      <c r="E633" t="n">
        <v>2</v>
      </c>
      <c r="F633" t="n">
        <v>3</v>
      </c>
      <c r="G633" t="n">
        <v>4</v>
      </c>
      <c r="H633" t="n">
        <v>6</v>
      </c>
      <c r="I633" t="n">
        <v>8</v>
      </c>
      <c r="J633" t="n">
        <v>11</v>
      </c>
      <c r="K633" t="n">
        <v>16</v>
      </c>
      <c r="L633" t="n">
        <v>22</v>
      </c>
    </row>
    <row r="634">
      <c r="B634" t="n">
        <v>7</v>
      </c>
      <c r="C634" t="n">
        <v>1</v>
      </c>
      <c r="D634" t="n">
        <v>2</v>
      </c>
      <c r="E634" t="n">
        <v>3</v>
      </c>
      <c r="F634" t="n">
        <v>4</v>
      </c>
      <c r="G634" t="n">
        <v>5</v>
      </c>
      <c r="H634" t="n">
        <v>7</v>
      </c>
      <c r="I634" t="n">
        <v>10</v>
      </c>
      <c r="J634" t="n">
        <v>14</v>
      </c>
      <c r="K634" t="n">
        <v>19</v>
      </c>
      <c r="L634" t="n">
        <v>26</v>
      </c>
    </row>
    <row r="635">
      <c r="B635" t="n">
        <v>8</v>
      </c>
      <c r="C635" t="n">
        <v>1</v>
      </c>
      <c r="D635" t="n">
        <v>2</v>
      </c>
      <c r="E635" t="n">
        <v>3</v>
      </c>
      <c r="F635" t="n">
        <v>5</v>
      </c>
      <c r="G635" t="n">
        <v>6</v>
      </c>
      <c r="H635" t="n">
        <v>8</v>
      </c>
      <c r="I635" t="n">
        <v>11</v>
      </c>
      <c r="J635" t="n">
        <v>16</v>
      </c>
      <c r="K635" t="n">
        <v>22</v>
      </c>
      <c r="L635" t="n">
        <v>30</v>
      </c>
    </row>
    <row r="636">
      <c r="B636" t="n">
        <v>9</v>
      </c>
      <c r="C636" t="n">
        <v>2</v>
      </c>
      <c r="D636" t="n">
        <v>3</v>
      </c>
      <c r="E636" t="n">
        <v>4</v>
      </c>
      <c r="F636" t="n">
        <v>5</v>
      </c>
      <c r="G636" t="n">
        <v>7</v>
      </c>
      <c r="H636" t="n">
        <v>10</v>
      </c>
      <c r="I636" t="n">
        <v>13</v>
      </c>
      <c r="J636" t="n">
        <v>18</v>
      </c>
      <c r="K636" t="n">
        <v>25</v>
      </c>
      <c r="L636" t="n">
        <v>35</v>
      </c>
    </row>
    <row r="637">
      <c r="B637" t="n">
        <v>10</v>
      </c>
      <c r="C637" t="n">
        <v>2</v>
      </c>
      <c r="D637" t="n">
        <v>3</v>
      </c>
      <c r="E637" t="n">
        <v>4</v>
      </c>
      <c r="F637" t="n">
        <v>6</v>
      </c>
      <c r="G637" t="n">
        <v>8</v>
      </c>
      <c r="H637" t="n">
        <v>11</v>
      </c>
      <c r="I637" t="n">
        <v>15</v>
      </c>
      <c r="J637" t="n">
        <v>21</v>
      </c>
      <c r="K637" t="n">
        <v>29</v>
      </c>
      <c r="L637" t="n">
        <v>40</v>
      </c>
    </row>
    <row r="638">
      <c r="B638" t="n">
        <v>11</v>
      </c>
      <c r="C638" t="n">
        <v>2</v>
      </c>
      <c r="D638" t="n">
        <v>4</v>
      </c>
      <c r="E638" t="n">
        <v>5</v>
      </c>
      <c r="F638" t="n">
        <v>7</v>
      </c>
      <c r="G638" t="n">
        <v>9</v>
      </c>
      <c r="H638" t="n">
        <v>13</v>
      </c>
      <c r="I638" t="n">
        <v>17</v>
      </c>
      <c r="J638" t="n">
        <v>24</v>
      </c>
      <c r="K638" t="n">
        <v>32</v>
      </c>
      <c r="L638" t="n">
        <v>45</v>
      </c>
    </row>
    <row r="639">
      <c r="B639" t="n">
        <v>12</v>
      </c>
      <c r="C639" t="n">
        <v>2</v>
      </c>
      <c r="D639" t="n">
        <v>4</v>
      </c>
      <c r="E639" t="n">
        <v>6</v>
      </c>
      <c r="F639" t="n">
        <v>8</v>
      </c>
      <c r="G639" t="n">
        <v>10</v>
      </c>
      <c r="H639" t="n">
        <v>14</v>
      </c>
      <c r="I639" t="n">
        <v>19</v>
      </c>
      <c r="J639" t="n">
        <v>26</v>
      </c>
      <c r="K639" t="n">
        <v>36</v>
      </c>
      <c r="L639" t="n">
        <v>50</v>
      </c>
    </row>
    <row r="640">
      <c r="B640" t="n">
        <v>13</v>
      </c>
      <c r="C640" t="n">
        <v>2</v>
      </c>
      <c r="D640" t="n">
        <v>5</v>
      </c>
      <c r="E640" t="n">
        <v>6</v>
      </c>
      <c r="F640" t="n">
        <v>9</v>
      </c>
      <c r="G640" t="n">
        <v>12</v>
      </c>
      <c r="H640" t="n">
        <v>16</v>
      </c>
      <c r="I640" t="n">
        <v>22</v>
      </c>
      <c r="J640" t="n">
        <v>29</v>
      </c>
      <c r="K640" t="n">
        <v>40</v>
      </c>
      <c r="L640" t="n">
        <v>55</v>
      </c>
    </row>
    <row r="641">
      <c r="B641" t="n">
        <v>14</v>
      </c>
      <c r="C641" t="n">
        <v>3</v>
      </c>
      <c r="D641" t="n">
        <v>5</v>
      </c>
      <c r="E641" t="n">
        <v>7</v>
      </c>
      <c r="F641" t="n">
        <v>10</v>
      </c>
      <c r="G641" t="n">
        <v>13</v>
      </c>
      <c r="H641" t="n">
        <v>18</v>
      </c>
      <c r="I641" t="n">
        <v>24</v>
      </c>
      <c r="J641" t="n">
        <v>32</v>
      </c>
      <c r="K641" t="n">
        <v>44</v>
      </c>
      <c r="L641" t="n">
        <v>60</v>
      </c>
    </row>
    <row r="642">
      <c r="B642" t="n">
        <v>15</v>
      </c>
      <c r="C642" t="n">
        <v>3</v>
      </c>
      <c r="D642" t="n">
        <v>6</v>
      </c>
      <c r="E642" t="n">
        <v>8</v>
      </c>
      <c r="F642" t="n">
        <v>11</v>
      </c>
      <c r="G642" t="n">
        <v>14</v>
      </c>
      <c r="H642" t="n">
        <v>20</v>
      </c>
      <c r="I642" t="n">
        <v>26</v>
      </c>
      <c r="J642" t="n">
        <v>35</v>
      </c>
      <c r="K642" t="n">
        <v>48</v>
      </c>
      <c r="L642" t="n">
        <v>65</v>
      </c>
    </row>
    <row r="643">
      <c r="B643" t="n">
        <v>16</v>
      </c>
      <c r="C643" t="n">
        <v>3</v>
      </c>
      <c r="D643" t="n">
        <v>7</v>
      </c>
      <c r="E643" t="n">
        <v>9</v>
      </c>
      <c r="F643" t="n">
        <v>12</v>
      </c>
      <c r="G643" t="n">
        <v>16</v>
      </c>
      <c r="H643" t="n">
        <v>22</v>
      </c>
      <c r="I643" t="n">
        <v>28</v>
      </c>
      <c r="J643" t="n">
        <v>39</v>
      </c>
      <c r="K643" t="n">
        <v>52</v>
      </c>
      <c r="L643" t="n">
        <v>69</v>
      </c>
    </row>
    <row r="644">
      <c r="B644" t="n">
        <v>17</v>
      </c>
      <c r="C644" t="n">
        <v>4</v>
      </c>
      <c r="D644" t="n">
        <v>7</v>
      </c>
      <c r="E644" t="n">
        <v>10</v>
      </c>
      <c r="F644" t="n">
        <v>13</v>
      </c>
      <c r="G644" t="n">
        <v>18</v>
      </c>
      <c r="H644" t="n">
        <v>24</v>
      </c>
      <c r="I644" t="n">
        <v>31</v>
      </c>
      <c r="J644" t="n">
        <v>42</v>
      </c>
      <c r="K644" t="n">
        <v>56</v>
      </c>
      <c r="L644" t="n">
        <v>73</v>
      </c>
    </row>
    <row r="645">
      <c r="B645" t="n">
        <v>18</v>
      </c>
      <c r="C645" t="n">
        <v>4</v>
      </c>
      <c r="D645" t="n">
        <v>8</v>
      </c>
      <c r="E645" t="n">
        <v>11</v>
      </c>
      <c r="F645" t="n">
        <v>14</v>
      </c>
      <c r="G645" t="n">
        <v>19</v>
      </c>
      <c r="H645" t="n">
        <v>26</v>
      </c>
      <c r="I645" t="n">
        <v>34</v>
      </c>
      <c r="J645" t="n">
        <v>46</v>
      </c>
      <c r="K645" t="n">
        <v>60</v>
      </c>
      <c r="L645" t="n">
        <v>76</v>
      </c>
    </row>
    <row r="646">
      <c r="B646" t="n">
        <v>19</v>
      </c>
      <c r="C646" t="n">
        <v>4</v>
      </c>
      <c r="D646" t="n">
        <v>9</v>
      </c>
      <c r="E646" t="n">
        <v>12</v>
      </c>
      <c r="F646" t="n">
        <v>16</v>
      </c>
      <c r="G646" t="n">
        <v>21</v>
      </c>
      <c r="H646" t="n">
        <v>28</v>
      </c>
      <c r="I646" t="n">
        <v>36</v>
      </c>
      <c r="J646" t="n">
        <v>49</v>
      </c>
      <c r="K646" t="n">
        <v>64</v>
      </c>
      <c r="L646" t="n">
        <v>78</v>
      </c>
    </row>
    <row r="647">
      <c r="B647" t="n">
        <v>20</v>
      </c>
      <c r="C647" t="n">
        <v>5</v>
      </c>
      <c r="D647" t="n">
        <v>9</v>
      </c>
      <c r="E647" t="n">
        <v>13</v>
      </c>
      <c r="F647" t="n">
        <v>17</v>
      </c>
      <c r="G647" t="n">
        <v>23</v>
      </c>
      <c r="H647" t="n">
        <v>30</v>
      </c>
      <c r="I647" t="n">
        <v>39</v>
      </c>
      <c r="J647" t="n">
        <v>53</v>
      </c>
      <c r="K647" t="n">
        <v>68</v>
      </c>
      <c r="L647" t="n">
        <v>79</v>
      </c>
    </row>
    <row r="648">
      <c r="B648" t="n">
        <v>21</v>
      </c>
      <c r="C648" t="n">
        <v>5</v>
      </c>
      <c r="D648" t="n">
        <v>10</v>
      </c>
      <c r="E648" t="n">
        <v>14</v>
      </c>
      <c r="F648" t="n">
        <v>18</v>
      </c>
      <c r="G648" t="n">
        <v>25</v>
      </c>
      <c r="H648" t="n">
        <v>32</v>
      </c>
      <c r="I648" t="n">
        <v>42</v>
      </c>
      <c r="J648" t="n">
        <v>57</v>
      </c>
      <c r="K648" t="n">
        <v>71</v>
      </c>
      <c r="L648" t="n">
        <v>80</v>
      </c>
    </row>
    <row r="649">
      <c r="B649" t="n">
        <v>22</v>
      </c>
      <c r="C649" t="n">
        <v>6</v>
      </c>
      <c r="D649" t="n">
        <v>11</v>
      </c>
      <c r="E649" t="n">
        <v>15</v>
      </c>
      <c r="F649" t="n">
        <v>20</v>
      </c>
      <c r="G649" t="n">
        <v>27</v>
      </c>
      <c r="H649" t="n">
        <v>35</v>
      </c>
      <c r="I649" t="n">
        <v>45</v>
      </c>
      <c r="J649" t="n">
        <v>60</v>
      </c>
      <c r="K649" t="n">
        <v>73</v>
      </c>
    </row>
    <row r="650">
      <c r="B650" t="n">
        <v>23</v>
      </c>
      <c r="C650" t="n">
        <v>6</v>
      </c>
      <c r="D650" t="n">
        <v>12</v>
      </c>
      <c r="E650" t="n">
        <v>16</v>
      </c>
      <c r="F650" t="n">
        <v>21</v>
      </c>
      <c r="G650" t="n">
        <v>29</v>
      </c>
      <c r="H650" t="n">
        <v>37</v>
      </c>
      <c r="I650" t="n">
        <v>48</v>
      </c>
      <c r="J650" t="n">
        <v>63</v>
      </c>
      <c r="K650" t="n">
        <v>75</v>
      </c>
    </row>
    <row r="651">
      <c r="B651" t="n">
        <v>24</v>
      </c>
      <c r="C651" t="n">
        <v>7</v>
      </c>
      <c r="D651" t="n">
        <v>13</v>
      </c>
      <c r="E651" t="n">
        <v>17</v>
      </c>
      <c r="F651" t="n">
        <v>23</v>
      </c>
      <c r="G651" t="n">
        <v>31</v>
      </c>
      <c r="H651" t="n">
        <v>40</v>
      </c>
      <c r="I651" t="n">
        <v>52</v>
      </c>
      <c r="J651" t="n">
        <v>66</v>
      </c>
      <c r="K651" t="n">
        <v>77</v>
      </c>
    </row>
    <row r="652">
      <c r="B652" t="n">
        <v>25</v>
      </c>
      <c r="C652" t="n">
        <v>7</v>
      </c>
      <c r="D652" t="n">
        <v>14</v>
      </c>
      <c r="E652" t="n">
        <v>19</v>
      </c>
      <c r="F652" t="n">
        <v>25</v>
      </c>
      <c r="G652" t="n">
        <v>33</v>
      </c>
      <c r="H652" t="n">
        <v>43</v>
      </c>
      <c r="I652" t="n">
        <v>55</v>
      </c>
      <c r="J652" t="n">
        <v>69</v>
      </c>
      <c r="K652" t="n">
        <v>79</v>
      </c>
    </row>
    <row r="653">
      <c r="B653" t="n">
        <v>26</v>
      </c>
      <c r="C653" t="n">
        <v>8</v>
      </c>
      <c r="D653" t="n">
        <v>15</v>
      </c>
      <c r="E653" t="n">
        <v>20</v>
      </c>
      <c r="F653" t="n">
        <v>27</v>
      </c>
      <c r="G653" t="n">
        <v>35</v>
      </c>
      <c r="H653" t="n">
        <v>46</v>
      </c>
      <c r="I653" t="n">
        <v>58</v>
      </c>
      <c r="J653" t="n">
        <v>72</v>
      </c>
      <c r="K653" t="n">
        <v>80</v>
      </c>
    </row>
    <row r="654">
      <c r="B654" t="n">
        <v>27</v>
      </c>
      <c r="C654" t="n">
        <v>9</v>
      </c>
      <c r="D654" t="n">
        <v>16</v>
      </c>
      <c r="E654" t="n">
        <v>21</v>
      </c>
      <c r="F654" t="n">
        <v>28</v>
      </c>
      <c r="G654" t="n">
        <v>37</v>
      </c>
      <c r="H654" t="n">
        <v>49</v>
      </c>
      <c r="I654" t="n">
        <v>61</v>
      </c>
      <c r="J654" t="n">
        <v>75</v>
      </c>
    </row>
    <row r="655">
      <c r="B655" t="n">
        <v>28</v>
      </c>
      <c r="C655" t="n">
        <v>9</v>
      </c>
      <c r="D655" t="n">
        <v>17</v>
      </c>
      <c r="E655" t="n">
        <v>23</v>
      </c>
      <c r="F655" t="n">
        <v>30</v>
      </c>
      <c r="G655" t="n">
        <v>40</v>
      </c>
      <c r="H655" t="n">
        <v>52</v>
      </c>
      <c r="I655" t="n">
        <v>64</v>
      </c>
      <c r="J655" t="n">
        <v>77</v>
      </c>
    </row>
    <row r="656">
      <c r="B656" t="n">
        <v>29</v>
      </c>
      <c r="C656" t="n">
        <v>10</v>
      </c>
      <c r="D656" t="n">
        <v>18</v>
      </c>
      <c r="E656" t="n">
        <v>24</v>
      </c>
      <c r="F656" t="n">
        <v>32</v>
      </c>
      <c r="G656" t="n">
        <v>42</v>
      </c>
      <c r="H656" t="n">
        <v>54</v>
      </c>
      <c r="I656" t="n">
        <v>68</v>
      </c>
      <c r="J656" t="n">
        <v>78</v>
      </c>
    </row>
    <row r="657">
      <c r="B657" t="n">
        <v>30</v>
      </c>
      <c r="C657" t="n">
        <v>11</v>
      </c>
      <c r="D657" t="n">
        <v>20</v>
      </c>
      <c r="E657" t="n">
        <v>26</v>
      </c>
      <c r="F657" t="n">
        <v>34</v>
      </c>
      <c r="G657" t="n">
        <v>45</v>
      </c>
      <c r="H657" t="n">
        <v>57</v>
      </c>
      <c r="I657" t="n">
        <v>72</v>
      </c>
      <c r="J657" t="n">
        <v>79</v>
      </c>
    </row>
    <row r="658">
      <c r="B658" t="n">
        <v>32</v>
      </c>
      <c r="C658" t="n">
        <v>13</v>
      </c>
      <c r="D658" t="n">
        <v>22</v>
      </c>
      <c r="E658" t="n">
        <v>30</v>
      </c>
      <c r="F658" t="n">
        <v>38</v>
      </c>
      <c r="G658" t="n">
        <v>50</v>
      </c>
      <c r="H658" t="n">
        <v>62</v>
      </c>
      <c r="I658" t="n">
        <v>75</v>
      </c>
      <c r="J658" t="n">
        <v>80</v>
      </c>
    </row>
    <row r="659">
      <c r="B659" t="n">
        <v>34</v>
      </c>
      <c r="C659" t="n">
        <v>15</v>
      </c>
      <c r="D659" t="n">
        <v>25</v>
      </c>
      <c r="E659" t="n">
        <v>34</v>
      </c>
      <c r="F659" t="n">
        <v>43</v>
      </c>
      <c r="G659" t="n">
        <v>55</v>
      </c>
      <c r="H659" t="n">
        <v>68</v>
      </c>
      <c r="I659" t="n">
        <v>77</v>
      </c>
    </row>
    <row r="660">
      <c r="B660" t="n">
        <v>36</v>
      </c>
      <c r="C660" t="n">
        <v>17</v>
      </c>
      <c r="D660" t="n">
        <v>28</v>
      </c>
      <c r="E660" t="n">
        <v>38</v>
      </c>
      <c r="F660" t="n">
        <v>48</v>
      </c>
      <c r="G660" t="n">
        <v>61</v>
      </c>
      <c r="H660" t="n">
        <v>73</v>
      </c>
      <c r="I660" t="n">
        <v>79</v>
      </c>
    </row>
    <row r="661">
      <c r="B661" t="n">
        <v>38</v>
      </c>
      <c r="C661" t="n">
        <v>19</v>
      </c>
      <c r="D661" t="n">
        <v>32</v>
      </c>
      <c r="E661" t="n">
        <v>42</v>
      </c>
      <c r="F661" t="n">
        <v>53</v>
      </c>
      <c r="G661" t="n">
        <v>67</v>
      </c>
      <c r="H661" t="n">
        <v>77</v>
      </c>
      <c r="I661" t="n">
        <v>80</v>
      </c>
    </row>
    <row r="662">
      <c r="B662" t="n">
        <v>40</v>
      </c>
      <c r="C662" t="n">
        <v>21</v>
      </c>
      <c r="D662" t="n">
        <v>35</v>
      </c>
      <c r="E662" t="n">
        <v>46</v>
      </c>
      <c r="F662" t="n">
        <v>59</v>
      </c>
      <c r="G662" t="n">
        <v>72</v>
      </c>
      <c r="H662" t="n">
        <v>79</v>
      </c>
    </row>
    <row r="663">
      <c r="B663" t="n">
        <v>42</v>
      </c>
      <c r="C663" t="n">
        <v>25</v>
      </c>
      <c r="D663" t="n">
        <v>39</v>
      </c>
      <c r="E663" t="n">
        <v>51</v>
      </c>
      <c r="F663" t="n">
        <v>65</v>
      </c>
      <c r="G663" t="n">
        <v>75</v>
      </c>
      <c r="H663" t="n">
        <v>80</v>
      </c>
    </row>
    <row r="664">
      <c r="B664" t="n">
        <v>44</v>
      </c>
      <c r="C664" t="n">
        <v>28</v>
      </c>
      <c r="D664" t="n">
        <v>43</v>
      </c>
      <c r="E664" t="n">
        <v>56</v>
      </c>
      <c r="F664" t="n">
        <v>70</v>
      </c>
      <c r="G664" t="n">
        <v>77</v>
      </c>
    </row>
    <row r="665">
      <c r="B665" t="n">
        <v>46</v>
      </c>
      <c r="C665" t="n">
        <v>31</v>
      </c>
      <c r="D665" t="n">
        <v>48</v>
      </c>
      <c r="E665" t="n">
        <v>60</v>
      </c>
      <c r="F665" t="n">
        <v>74</v>
      </c>
      <c r="G665" t="n">
        <v>78</v>
      </c>
    </row>
    <row r="666">
      <c r="B666" t="n">
        <v>48</v>
      </c>
      <c r="C666" t="n">
        <v>34</v>
      </c>
      <c r="D666" t="n">
        <v>53</v>
      </c>
      <c r="E666" t="n">
        <v>64</v>
      </c>
      <c r="F666" t="n">
        <v>77</v>
      </c>
      <c r="G666" t="n">
        <v>79</v>
      </c>
    </row>
    <row r="667">
      <c r="B667" t="n">
        <v>50</v>
      </c>
      <c r="C667" t="n">
        <v>38</v>
      </c>
      <c r="D667" t="n">
        <v>58</v>
      </c>
      <c r="E667" t="n">
        <v>68</v>
      </c>
      <c r="F667" t="n">
        <v>79</v>
      </c>
      <c r="G667" t="n">
        <v>80</v>
      </c>
    </row>
    <row r="668">
      <c r="B668" t="n">
        <v>55</v>
      </c>
      <c r="C668" t="n">
        <v>48</v>
      </c>
      <c r="D668" t="n">
        <v>67</v>
      </c>
      <c r="E668" t="n">
        <v>75</v>
      </c>
      <c r="F668" t="n">
        <v>80</v>
      </c>
    </row>
    <row r="669">
      <c r="B669" t="n">
        <v>60</v>
      </c>
      <c r="C669" t="n">
        <v>57</v>
      </c>
      <c r="D669" t="n">
        <v>74</v>
      </c>
      <c r="E669" t="n">
        <v>78</v>
      </c>
    </row>
    <row r="670">
      <c r="B670" t="n">
        <v>65</v>
      </c>
      <c r="C670" t="n">
        <v>65</v>
      </c>
      <c r="D670" t="n">
        <v>78</v>
      </c>
      <c r="E670" t="n">
        <v>80</v>
      </c>
    </row>
    <row r="671">
      <c r="B671" t="n">
        <v>70</v>
      </c>
      <c r="C671" t="n">
        <v>71</v>
      </c>
      <c r="D671" t="n">
        <v>80</v>
      </c>
    </row>
    <row r="672">
      <c r="B672" t="n">
        <v>75</v>
      </c>
      <c r="C672" t="n">
        <v>75</v>
      </c>
    </row>
    <row r="673">
      <c r="B673" t="n">
        <v>80</v>
      </c>
      <c r="C673" t="n">
        <v>78</v>
      </c>
    </row>
    <row r="675">
      <c r="B675" s="2387" t="inlineStr">
        <is>
          <t>Notes</t>
        </is>
      </c>
      <c r="C675" s="2387" t="n"/>
      <c r="D675" s="2387" t="n"/>
      <c r="E675" s="2387" t="n"/>
      <c r="F675" s="2387" t="n"/>
      <c r="G675" s="2387" t="n"/>
      <c r="H675" s="2387" t="n"/>
    </row>
    <row r="676" ht="28" customHeight="1" s="1449">
      <c r="B676" s="2389" t="inlineStr">
        <is>
          <t>- Current Cost Multiplier / Local Area Multiplier / Sec.98 Denver Index are all from inserts dated January 2025 as bound into this copy of the MVS June 2024 edition -- Sec.99/98 are refreshed quarterly/monthly independent of the annual book edition.</t>
        </is>
      </c>
    </row>
    <row r="677" ht="28" customHeight="1" s="1449">
      <c r="B677" s="2389" t="inlineStr">
        <is>
          <t>- Colorado's biennial reassessment fixes the appraisal/level-of-value date; the De-Trend block above rolls the Jan-2025-vintage cost level back to that date using MVS's own Sec.98 methodology.</t>
        </is>
      </c>
    </row>
    <row r="678" ht="28" customHeight="1" s="1449">
      <c r="B678" s="2389" t="inlineStr">
        <is>
          <t>- No Adams County or Denver-metro-specific Local Multiplier line exists in MVS -- 'Denver' is used as the county's proxy per MVS's own suburb-uses-nearest-larger-city guidance (Sec.99 p.1).</t>
        </is>
      </c>
    </row>
    <row r="679" ht="28" customHeight="1" s="1449">
      <c r="B679" s="2389" t="inlineStr">
        <is>
          <t>- Region for the Current Cost Multiplier (Eastern/Central/Western) is presumed WESTERN for Colorado; MVS does not print a state-to-region key on Sec.99 p.3 itself -- verify against the manual's region map if precision is material to a contested appeal.</t>
        </is>
      </c>
    </row>
    <row r="680" ht="28" customHeight="1" s="1449">
      <c r="B680" s="2389" t="inlineStr">
        <is>
          <t>- Typical Life Expectancy figures (Reference 11) were extracted from a condensed table read and should be spot-checked against MVS Sec.97 pp.10-13 directly for any high-value/contested appeal before relying on the resulting depreciation % in a hearing.</t>
        </is>
      </c>
    </row>
    <row r="681" ht="28" customHeight="1" s="1449">
      <c r="B681" s="2389" t="inlineStr">
        <is>
          <t>- Next reassessment cycle (level of value 6/30/2025): update the Appraisal Date input, and either paste in a freshly-pulled MVS Sec.98 Denver quarterly table for the new bracket quarters, or a new MVS book edition's Section 14/13/15/11 base cost tables if a newer edition is purchased.</t>
        </is>
      </c>
    </row>
  </sheetData>
  <mergeCells count="7">
    <mergeCell ref="B677:H677"/>
    <mergeCell ref="B2:F2"/>
    <mergeCell ref="B679:H679"/>
    <mergeCell ref="B680:H680"/>
    <mergeCell ref="B676:H676"/>
    <mergeCell ref="B678:H678"/>
    <mergeCell ref="B681:H6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42"/>
  <sheetViews>
    <sheetView showGridLines="0" zoomScale="130" zoomScaleNormal="130" workbookViewId="0">
      <pane xSplit="2" ySplit="2" topLeftCell="C3" activePane="bottomRight" state="frozen"/>
      <selection pane="topRight" activeCell="A1" sqref="A1"/>
      <selection pane="bottomLeft" activeCell="A1" sqref="A1"/>
      <selection pane="bottomRight" activeCell="N40" sqref="N40"/>
    </sheetView>
  </sheetViews>
  <sheetFormatPr baseColWidth="8" defaultColWidth="9.140625" defaultRowHeight="15"/>
  <cols>
    <col width="2" customWidth="1" style="1560" min="1" max="1"/>
    <col width="40" bestFit="1" customWidth="1" style="372" min="2" max="2"/>
    <col width="16" customWidth="1" style="1557" min="3" max="3"/>
    <col width="14" customWidth="1" style="1557" min="4" max="4"/>
    <col width="4" customWidth="1" style="1557" min="5" max="5"/>
    <col width="14" customWidth="1" style="1902" min="6" max="6"/>
    <col width="16" bestFit="1" customWidth="1" style="1902" min="7" max="7"/>
    <col width="3" customWidth="1" style="1560" min="8" max="8"/>
    <col width="70" customWidth="1" style="1560" min="9" max="9"/>
    <col width="9.140625" customWidth="1" style="1560" min="10" max="10"/>
    <col width="18.28515625" customWidth="1" style="1560" min="11" max="11"/>
    <col width="15.7109375" bestFit="1" customWidth="1" style="1560" min="12" max="12"/>
    <col width="8.5703125" customWidth="1" style="1560" min="13" max="13"/>
    <col width="15.7109375" bestFit="1" customWidth="1" style="1560" min="14" max="14"/>
    <col width="15.7109375" customWidth="1" style="1560" min="15" max="15"/>
    <col width="3.85546875" customWidth="1" style="1560" min="16" max="16"/>
    <col width="40.42578125" bestFit="1" customWidth="1" style="1560" min="17" max="17"/>
    <col width="13.28515625" customWidth="1" style="1560" min="18" max="18"/>
    <col width="7.5703125" bestFit="1" customWidth="1" style="1560" min="19" max="19"/>
    <col width="15.7109375" customWidth="1" style="1560" min="20" max="21"/>
    <col width="9.140625" customWidth="1" style="1560" min="22" max="23"/>
    <col width="9.140625" customWidth="1" style="1560" min="24" max="16384"/>
  </cols>
  <sheetData>
    <row r="1" s="1449">
      <c r="A1" s="2393" t="n"/>
      <c r="B1" s="2394" t="inlineStr">
        <is>
          <t>COST APPROACH -- MVS Calculator</t>
        </is>
      </c>
      <c r="C1" s="2395" t="n"/>
      <c r="D1" s="2395" t="n"/>
      <c r="E1" s="2395" t="n"/>
      <c r="F1" s="2395" t="n"/>
      <c r="G1" s="2395" t="n"/>
      <c r="H1" s="2395" t="n"/>
      <c r="I1" s="2396" t="n"/>
      <c r="J1" s="2395" t="n"/>
      <c r="K1" s="2395" t="n"/>
      <c r="L1" s="2395" t="n"/>
      <c r="M1" s="2395" t="n"/>
      <c r="N1" s="2395" t="n"/>
      <c r="O1" s="2395" t="n"/>
      <c r="P1" s="2395" t="n"/>
      <c r="Q1" s="2395" t="n"/>
      <c r="R1" s="2395" t="n"/>
      <c r="S1" s="2395" t="n"/>
      <c r="T1" s="2395" t="n"/>
      <c r="U1" s="2395" t="n"/>
    </row>
    <row r="2" ht="28" customHeight="1" s="1449">
      <c r="A2" s="2395" t="n"/>
      <c r="B2" s="2430" t="inlineStr">
        <is>
          <t>Fill in the yellow cells only (Steps 1-3 below, plus the site-improvement/depreciation line items further down). Everything else calculates automatically from the MVS reference tables on the 'M&amp;S Inputs' tab. Your final indicated value appears at the bottom of this sheet.</t>
        </is>
      </c>
      <c r="H2" s="2395" t="n"/>
      <c r="I2" s="2395" t="n"/>
      <c r="J2" s="2395" t="n"/>
      <c r="K2" s="2395" t="n"/>
      <c r="L2" s="2395" t="n"/>
      <c r="M2" s="2395" t="n"/>
      <c r="N2" s="2395" t="n"/>
      <c r="O2" s="2395" t="n"/>
      <c r="P2" s="2395" t="n"/>
      <c r="Q2" s="2399" t="n"/>
      <c r="R2" s="2399" t="n"/>
      <c r="S2" s="2395" t="n"/>
      <c r="T2" s="2395" t="n"/>
      <c r="U2" s="2395" t="n"/>
    </row>
    <row r="3" s="1449">
      <c r="A3" s="2395" t="n"/>
      <c r="B3" s="2400" t="inlineStr">
        <is>
          <t>STEP 1 -- BUILDING IDENTIFICATION</t>
        </is>
      </c>
      <c r="C3" s="2401" t="n"/>
      <c r="D3" s="2401" t="n"/>
      <c r="E3" s="2401" t="n"/>
      <c r="F3" s="2401" t="n"/>
      <c r="G3" s="2401" t="n"/>
      <c r="H3" s="2395" t="n"/>
      <c r="I3" s="2395" t="n"/>
      <c r="J3" s="2395" t="n"/>
      <c r="K3" s="2395" t="n"/>
      <c r="L3" s="2395" t="n"/>
      <c r="M3" s="2395" t="n"/>
      <c r="N3" s="2395" t="n"/>
      <c r="O3" s="2395" t="n"/>
      <c r="P3" s="2395" t="n"/>
      <c r="Q3" s="2399" t="n"/>
      <c r="R3" s="2395" t="n"/>
      <c r="S3" s="2395" t="n"/>
      <c r="T3" s="2395" t="n"/>
      <c r="U3" s="2395" t="n"/>
    </row>
    <row r="4" customFormat="1" s="112">
      <c r="A4" s="2395" t="n"/>
      <c r="B4" s="2395" t="inlineStr">
        <is>
          <t>Occupancy Type</t>
        </is>
      </c>
      <c r="C4" s="2402" t="inlineStr">
        <is>
          <t>Storage Warehouses</t>
        </is>
      </c>
      <c r="D4" s="2403" t="n"/>
      <c r="E4" s="2403" t="n"/>
      <c r="F4" s="2403" t="n"/>
      <c r="G4" s="2403" t="n"/>
      <c r="H4" s="2395" t="n"/>
      <c r="I4" s="2404" t="inlineStr">
        <is>
          <t>Choose the occupancy that best matches the subject improvement.</t>
        </is>
      </c>
      <c r="J4" s="2395" t="n"/>
      <c r="K4" s="2395" t="n"/>
      <c r="L4" s="2395" t="n"/>
      <c r="M4" s="2395" t="n"/>
      <c r="N4" s="2395" t="n"/>
      <c r="O4" s="2395" t="n"/>
      <c r="P4" s="2395" t="n"/>
      <c r="Q4" s="2395" t="n"/>
      <c r="R4" s="2395" t="n"/>
      <c r="S4" s="2395" t="n"/>
      <c r="T4" s="2395" t="n"/>
      <c r="U4" s="2395" t="n"/>
    </row>
    <row r="5" customFormat="1" s="366">
      <c r="A5" s="2395" t="n"/>
      <c r="B5" s="2405" t="inlineStr">
        <is>
          <t>Occupancy Code / Section / Page (auto)</t>
        </is>
      </c>
      <c r="C5" s="2406">
        <f>IFERROR(INDEX(OCC_CODE,MATCH($C$4,OCC_NAME,0))&amp;"  |  MVS Sec. "&amp;INDEX(OCC_SECTION,MATCH($C$4,OCC_NAME,0))&amp;" p."&amp;INDEX(OCC_PAGE,MATCH($C$4,OCC_NAME,0)),"")</f>
        <v/>
      </c>
      <c r="D5" s="2399" t="n"/>
      <c r="E5" s="2399" t="n"/>
      <c r="F5" s="2399" t="n"/>
      <c r="G5" s="2399" t="n"/>
      <c r="H5" s="2395" t="n"/>
      <c r="I5" s="2395" t="n"/>
      <c r="J5" s="2399" t="n"/>
      <c r="K5" s="2399" t="n"/>
      <c r="L5" s="2399" t="n"/>
      <c r="M5" s="2399" t="n"/>
      <c r="N5" s="2395" t="n"/>
      <c r="O5" s="2395" t="n"/>
      <c r="P5" s="2395" t="n"/>
      <c r="Q5" s="2395" t="n"/>
      <c r="R5" s="2395" t="n"/>
      <c r="S5" s="2395" t="n"/>
      <c r="T5" s="2395" t="n"/>
      <c r="U5" s="2395" t="n"/>
    </row>
    <row r="6" customFormat="1" s="366">
      <c r="A6" s="2395" t="n"/>
      <c r="B6" s="2407" t="inlineStr">
        <is>
          <t>Building Class</t>
        </is>
      </c>
      <c r="C6" s="2408" t="inlineStr">
        <is>
          <t>C</t>
        </is>
      </c>
      <c r="D6" s="2399" t="n"/>
      <c r="E6" s="2399" t="n"/>
      <c r="F6" s="2399" t="n"/>
      <c r="G6" s="2399" t="n"/>
      <c r="H6" s="2395" t="n"/>
      <c r="I6" s="2404" t="inlineStr">
        <is>
          <t>A=Fireproofed steel. B=Reinf. concrete. C=Masonry/steel-or-wood frame. D=Wood/combustible (DPOLE=pole-frame). S=Pre-engineered metal. See Class Reference on M&amp;S Inputs.</t>
        </is>
      </c>
      <c r="J6" s="2399" t="n"/>
      <c r="K6" s="2399" t="n"/>
      <c r="L6" s="2399" t="n"/>
      <c r="M6" s="2399" t="n"/>
      <c r="N6" s="2395" t="n"/>
      <c r="O6" s="2395" t="n"/>
      <c r="P6" s="2395" t="n"/>
      <c r="Q6" s="2395" t="n"/>
      <c r="R6" s="2395" t="n"/>
      <c r="S6" s="2395" t="n"/>
      <c r="T6" s="2395" t="n"/>
      <c r="U6" s="2395" t="n"/>
    </row>
    <row r="7" customFormat="1" s="366">
      <c r="A7" s="2395" t="n"/>
      <c r="B7" s="2407" t="inlineStr">
        <is>
          <t>Quality</t>
        </is>
      </c>
      <c r="C7" s="2409" t="inlineStr">
        <is>
          <t>Average</t>
        </is>
      </c>
      <c r="D7" s="2399" t="n"/>
      <c r="E7" s="2399" t="n"/>
      <c r="F7" s="2399" t="n"/>
      <c r="G7" s="2399" t="n"/>
      <c r="H7" s="2395" t="n"/>
      <c r="I7" s="2404" t="inlineStr">
        <is>
          <t>Low Cost | Average | Good | Excellent (some occupancies also use Cheap). See Quality Reference on M&amp;S Inputs.</t>
        </is>
      </c>
      <c r="J7" s="2399" t="n"/>
      <c r="K7" s="2395" t="n"/>
      <c r="L7" s="2395" t="n"/>
      <c r="M7" s="2395" t="n"/>
      <c r="N7" s="2395" t="n"/>
      <c r="O7" s="2395" t="n"/>
      <c r="P7" s="2395" t="n"/>
      <c r="Q7" s="2395" t="n"/>
      <c r="R7" s="2395" t="n"/>
      <c r="S7" s="2395" t="n"/>
      <c r="T7" s="2395" t="n"/>
      <c r="U7" s="2395" t="n"/>
    </row>
    <row r="8" customFormat="1" s="366">
      <c r="A8" s="2395" t="n"/>
      <c r="B8" s="2407" t="inlineStr">
        <is>
          <t>City / Local Area (for Local Multiplier)</t>
        </is>
      </c>
      <c r="C8" s="2409" t="inlineStr">
        <is>
          <t>Denver</t>
        </is>
      </c>
      <c r="D8" s="2399" t="n"/>
      <c r="E8" s="2399" t="n"/>
      <c r="F8" s="2399" t="n"/>
      <c r="G8" s="2399" t="n"/>
      <c r="H8" s="2395" t="n"/>
      <c r="I8" s="2404" t="inlineStr">
        <is>
          <t>Adams County has no dedicated MVS line -- 'Denver' is the recommended proxy (nearest larger city, per MVS's own guidance); 'Colorado (statewide average)' is the fallback.</t>
        </is>
      </c>
      <c r="J8" s="2395" t="n"/>
      <c r="K8" s="2395" t="n"/>
      <c r="L8" s="2395" t="n"/>
      <c r="M8" s="2395" t="n"/>
      <c r="N8" s="2395" t="n"/>
      <c r="O8" s="2395" t="n"/>
      <c r="P8" s="2395" t="n"/>
      <c r="Q8" s="2395" t="n"/>
      <c r="R8" s="2395" t="n"/>
      <c r="S8" s="2395" t="n"/>
      <c r="T8" s="2395" t="n"/>
      <c r="U8" s="2395" t="n"/>
    </row>
    <row r="9" customFormat="1" s="366">
      <c r="A9" s="2395" t="n"/>
      <c r="B9" s="2407" t="n"/>
      <c r="C9" s="2395" t="n"/>
      <c r="D9" s="2399" t="n"/>
      <c r="E9" s="2399" t="n"/>
      <c r="F9" s="2399" t="n"/>
      <c r="G9" s="2399" t="n"/>
      <c r="H9" s="2395" t="n"/>
      <c r="I9" s="2395" t="n"/>
      <c r="J9" s="2395" t="n"/>
      <c r="K9" s="2395" t="n"/>
      <c r="L9" s="2395" t="n"/>
      <c r="M9" s="2395" t="n"/>
      <c r="N9" s="2395" t="n"/>
      <c r="O9" s="2395" t="n"/>
      <c r="P9" s="2395" t="n"/>
      <c r="Q9" s="2395" t="n"/>
      <c r="R9" s="2395" t="n"/>
      <c r="S9" s="2395" t="n"/>
      <c r="T9" s="2395" t="n"/>
      <c r="U9" s="2395" t="n"/>
    </row>
    <row r="10" customFormat="1" s="366">
      <c r="A10" s="2395" t="n"/>
      <c r="B10" s="2410" t="inlineStr">
        <is>
          <t>STEP 2 -- SIZE, SHAPE &amp; SPRINKLER</t>
        </is>
      </c>
      <c r="C10" s="2401" t="n"/>
      <c r="D10" s="2411" t="n"/>
      <c r="E10" s="2411" t="n"/>
      <c r="F10" s="2411" t="n"/>
      <c r="G10" s="2411" t="n"/>
      <c r="H10" s="2395" t="n"/>
      <c r="I10" s="2395" t="n"/>
      <c r="J10" s="2395" t="n"/>
      <c r="K10" s="2395" t="n"/>
      <c r="L10" s="2395" t="n"/>
      <c r="M10" s="2395" t="n"/>
      <c r="N10" s="2395" t="n"/>
      <c r="O10" s="2395" t="n"/>
      <c r="P10" s="2395" t="n"/>
      <c r="Q10" s="2395" t="n"/>
      <c r="R10" s="2395" t="n"/>
      <c r="S10" s="2395" t="n"/>
      <c r="T10" s="2395" t="n"/>
      <c r="U10" s="2395" t="n"/>
    </row>
    <row r="11" customFormat="1" s="366">
      <c r="A11" s="2395" t="n"/>
      <c r="B11" s="2407" t="inlineStr">
        <is>
          <t>Avg Eave / Wall Height (ft)</t>
        </is>
      </c>
      <c r="C11" s="2409" t="n">
        <v>18</v>
      </c>
      <c r="D11" s="2399" t="n"/>
      <c r="E11" s="2399" t="n"/>
      <c r="F11" s="2399" t="n"/>
      <c r="G11" s="2399" t="n"/>
      <c r="H11" s="2395" t="n"/>
      <c r="I11" s="2395" t="n"/>
      <c r="J11" s="2395" t="n"/>
      <c r="K11" s="2395" t="n"/>
      <c r="L11" s="2395" t="n"/>
      <c r="M11" s="2395" t="n"/>
      <c r="N11" s="2395" t="n"/>
      <c r="O11" s="2395" t="n"/>
      <c r="P11" s="2395" t="n"/>
      <c r="Q11" s="2395" t="n"/>
      <c r="R11" s="2395" t="n"/>
      <c r="S11" s="2395" t="n"/>
      <c r="T11" s="2395" t="n"/>
      <c r="U11" s="2395" t="n"/>
    </row>
    <row r="12" customFormat="1" s="366">
      <c r="A12" s="2395" t="n"/>
      <c r="B12" s="2407" t="inlineStr">
        <is>
          <t>Area/Perimeter Multiplier Factor 1</t>
        </is>
      </c>
      <c r="C12" s="2409" t="n">
        <v>1</v>
      </c>
      <c r="D12" s="2399" t="n"/>
      <c r="E12" s="2399" t="n"/>
      <c r="F12" s="2399" t="n"/>
      <c r="G12" s="2399" t="n"/>
      <c r="H12" s="2395" t="n"/>
      <c r="I12" s="2404" t="inlineStr">
        <is>
          <t>Look up your building's SF vs. average perimeter in the MVS Floor Area-Perimeter grid for this occupancy's section; enter the two bracketing values here to average.</t>
        </is>
      </c>
      <c r="J12" s="2395" t="n"/>
      <c r="K12" s="2395" t="n"/>
      <c r="L12" s="2395" t="n"/>
      <c r="M12" s="2395" t="n"/>
      <c r="N12" s="2395" t="n"/>
      <c r="O12" s="2395" t="n"/>
      <c r="P12" s="2395" t="n"/>
      <c r="Q12" s="2395" t="n"/>
      <c r="R12" s="2395" t="n"/>
      <c r="S12" s="2395" t="n"/>
      <c r="T12" s="2395" t="n"/>
      <c r="U12" s="2395" t="n"/>
    </row>
    <row r="13" customFormat="1" s="366" thickBot="1">
      <c r="A13" s="2395" t="n"/>
      <c r="B13" s="2407" t="inlineStr">
        <is>
          <t>Area/Perimeter Multiplier Factor 2</t>
        </is>
      </c>
      <c r="C13" s="2412" t="n">
        <v>1</v>
      </c>
      <c r="D13" s="2399" t="n"/>
      <c r="E13" s="2399" t="n"/>
      <c r="F13" s="2399" t="n"/>
      <c r="G13" s="2399" t="n"/>
      <c r="H13" s="2395" t="n"/>
      <c r="I13" s="2395" t="n"/>
      <c r="J13" s="2395" t="n"/>
      <c r="K13" s="2395" t="n"/>
      <c r="L13" s="2395" t="n"/>
      <c r="M13" s="2395" t="n"/>
      <c r="N13" s="2395" t="n"/>
      <c r="O13" s="2395" t="n"/>
      <c r="P13" s="2395" t="n"/>
      <c r="Q13" s="2395" t="n"/>
      <c r="R13" s="2395" t="n"/>
      <c r="S13" s="2395" t="n"/>
      <c r="T13" s="2395" t="n"/>
      <c r="U13" s="2395" t="n"/>
    </row>
    <row r="14" customFormat="1" s="366">
      <c r="A14" s="2395" t="n"/>
      <c r="B14" s="2405" t="inlineStr">
        <is>
          <t>Sprinkler Quality Tier</t>
        </is>
      </c>
      <c r="C14" s="2413" t="inlineStr">
        <is>
          <t>Average</t>
        </is>
      </c>
      <c r="D14" s="2399" t="n"/>
      <c r="E14" s="2399" t="n"/>
      <c r="F14" s="2399" t="n"/>
      <c r="G14" s="2399" t="n"/>
      <c r="H14" s="2395" t="n"/>
      <c r="I14" s="2404" t="inlineStr">
        <is>
          <t>Independent of building quality -- set to match the actual sprinkler system grade. Section 11 (hotels) has no verified sprinkler table; price manually if needed.</t>
        </is>
      </c>
      <c r="J14" s="2395" t="n"/>
      <c r="K14" s="2395" t="n"/>
      <c r="L14" s="2395" t="n"/>
      <c r="M14" s="2395" t="n"/>
      <c r="N14" s="2395" t="n"/>
      <c r="O14" s="2395" t="n"/>
      <c r="P14" s="2395" t="n"/>
      <c r="Q14" s="2395" t="n"/>
      <c r="R14" s="2395" t="n"/>
      <c r="S14" s="2395" t="n"/>
      <c r="T14" s="2395" t="n"/>
      <c r="U14" s="2395" t="n"/>
    </row>
    <row r="15" customFormat="1" s="366">
      <c r="A15" s="2395" t="n"/>
      <c r="B15" s="2407" t="n"/>
      <c r="C15" s="2399" t="n"/>
      <c r="D15" s="2414" t="n"/>
      <c r="E15" s="2414" t="n"/>
      <c r="F15" s="2399" t="n"/>
      <c r="G15" s="2399" t="n"/>
      <c r="H15" s="2395" t="n"/>
      <c r="I15" s="2395" t="n"/>
      <c r="J15" s="2395" t="n"/>
      <c r="K15" s="2395" t="n"/>
      <c r="L15" s="2395" t="n"/>
      <c r="M15" s="2395" t="n"/>
      <c r="N15" s="2395" t="n"/>
      <c r="O15" s="2395" t="n"/>
      <c r="P15" s="2395" t="n"/>
      <c r="Q15" s="2395" t="n"/>
      <c r="R15" s="2395" t="n"/>
      <c r="S15" s="2395" t="n"/>
      <c r="T15" s="2395" t="n"/>
      <c r="U15" s="2395" t="n"/>
    </row>
    <row r="16" customFormat="1" s="366">
      <c r="A16" s="2395" t="n"/>
      <c r="B16" s="2410" t="inlineStr">
        <is>
          <t>STEP 3 -- APPRAISAL DATE &amp; DE-TREND</t>
        </is>
      </c>
      <c r="C16" s="2411" t="n"/>
      <c r="D16" s="2415" t="n"/>
      <c r="E16" s="2415" t="n"/>
      <c r="F16" s="2411" t="n"/>
      <c r="G16" s="2411" t="n"/>
      <c r="H16" s="2395" t="n"/>
      <c r="I16" s="2395" t="n"/>
      <c r="J16" s="2395" t="n"/>
      <c r="K16" s="2395" t="n"/>
      <c r="L16" s="2395" t="n"/>
      <c r="M16" s="2395" t="n"/>
      <c r="N16" s="2395" t="n"/>
      <c r="O16" s="2395" t="n"/>
      <c r="P16" s="2395" t="n"/>
      <c r="Q16" s="2395" t="n"/>
      <c r="R16" s="2395" t="n"/>
      <c r="S16" s="2395" t="n"/>
      <c r="T16" s="2395" t="n"/>
      <c r="U16" s="2395" t="n"/>
    </row>
    <row r="17" customFormat="1" s="366">
      <c r="A17" s="2395" t="n"/>
      <c r="B17" s="2407" t="inlineStr">
        <is>
          <t>Appraisal / Level-of-Value Date</t>
        </is>
      </c>
      <c r="C17" s="2413">
        <f>DATE(2024,6,30)</f>
        <v/>
      </c>
      <c r="D17" s="2414" t="n"/>
      <c r="E17" s="2414" t="n"/>
      <c r="F17" s="2399" t="n"/>
      <c r="G17" s="2399" t="n"/>
      <c r="H17" s="2395" t="n"/>
      <c r="I17" s="2404" t="inlineStr">
        <is>
          <t>Colorado's biennial reassessment fixes this at the end of the statutory base period. Current cycle: 7/1/2022-6/30/2024, level of value = 6/30/2024. Update to 6/30/2025 next cycle.</t>
        </is>
      </c>
      <c r="J17" s="2395" t="n"/>
      <c r="K17" s="2395" t="n"/>
      <c r="L17" s="2395" t="n"/>
      <c r="M17" s="2395" t="n"/>
      <c r="N17" s="2395" t="n"/>
      <c r="O17" s="2395" t="n"/>
      <c r="P17" s="2395" t="n"/>
      <c r="Q17" s="2395" t="n"/>
      <c r="R17" s="2395" t="n"/>
      <c r="S17" s="2395" t="n"/>
      <c r="T17" s="2395" t="n"/>
      <c r="U17" s="2395" t="n"/>
    </row>
    <row r="18" customFormat="1" s="366">
      <c r="A18" s="2395" t="n"/>
      <c r="B18" s="2407" t="inlineStr">
        <is>
          <t>Bracket Quarter - Earlier</t>
        </is>
      </c>
      <c r="C18" s="2413" t="inlineStr">
        <is>
          <t>Apr 2024</t>
        </is>
      </c>
      <c r="D18" s="2414" t="n"/>
      <c r="E18" s="2414" t="n"/>
      <c r="F18" s="2399" t="n"/>
      <c r="G18" s="2399" t="n"/>
      <c r="H18" s="2395" t="n"/>
      <c r="I18" s="2404" t="inlineStr">
        <is>
          <t>Pick the two MVS Sec.98 Denver index quarters that straddle the Appraisal Date above (see Denver Index table on M&amp;S Inputs). Rolls the Jan-2025-vintage multipliers below back to your actual valuation date.</t>
        </is>
      </c>
      <c r="J18" s="2395" t="n"/>
      <c r="K18" s="2395" t="n"/>
      <c r="L18" s="2395" t="n"/>
      <c r="M18" s="2395" t="n"/>
      <c r="N18" s="2395" t="n"/>
      <c r="O18" s="2395" t="n"/>
      <c r="P18" s="2395" t="n"/>
      <c r="Q18" s="2395" t="n"/>
      <c r="R18" s="2395" t="n"/>
      <c r="S18" s="2395" t="n"/>
      <c r="T18" s="2395" t="n"/>
      <c r="U18" s="2395" t="n"/>
    </row>
    <row r="19" customFormat="1" s="366">
      <c r="A19" s="2395" t="n"/>
      <c r="B19" s="2407" t="inlineStr">
        <is>
          <t>Bracket Quarter - Later</t>
        </is>
      </c>
      <c r="C19" s="2413" t="inlineStr">
        <is>
          <t>Jul 2024</t>
        </is>
      </c>
      <c r="D19" s="2414" t="n"/>
      <c r="E19" s="2414" t="n"/>
      <c r="F19" s="2414" t="n"/>
      <c r="G19" s="2399" t="n"/>
      <c r="H19" s="2395" t="n"/>
      <c r="I19" s="2395" t="n"/>
      <c r="J19" s="2395" t="n"/>
      <c r="K19" s="2395" t="n"/>
      <c r="L19" s="2395" t="n"/>
      <c r="M19" s="2395" t="n"/>
      <c r="N19" s="2395" t="n"/>
      <c r="O19" s="2395" t="n"/>
      <c r="P19" s="2395" t="n"/>
      <c r="Q19" s="2395" t="n"/>
      <c r="R19" s="2395" t="n"/>
      <c r="S19" s="2395" t="n"/>
      <c r="T19" s="2395" t="n"/>
      <c r="U19" s="2395" t="n"/>
    </row>
    <row r="20" customFormat="1" s="366">
      <c r="A20" s="2395" t="n"/>
      <c r="B20" s="2405" t="n"/>
      <c r="C20" s="2399" t="n"/>
      <c r="D20" s="2399" t="n"/>
      <c r="E20" s="2399" t="n"/>
      <c r="F20" s="2399" t="n"/>
      <c r="G20" s="2399" t="n"/>
      <c r="H20" s="2395" t="n"/>
      <c r="I20" s="2395" t="n"/>
      <c r="J20" s="2395" t="n"/>
      <c r="K20" s="2395" t="n"/>
      <c r="L20" s="2395" t="n"/>
      <c r="M20" s="2395" t="n"/>
      <c r="N20" s="2395" t="n"/>
      <c r="O20" s="2395" t="n"/>
      <c r="P20" s="2395" t="n"/>
      <c r="Q20" s="2395" t="n"/>
      <c r="R20" s="2395" t="n"/>
      <c r="S20" s="2395" t="n"/>
      <c r="T20" s="2395" t="n"/>
      <c r="U20" s="2395" t="n"/>
    </row>
    <row r="21" customFormat="1" s="366">
      <c r="A21" s="2395" t="n"/>
      <c r="B21" s="2431" t="inlineStr">
        <is>
          <t>COST APPROACH SUMMARY</t>
        </is>
      </c>
      <c r="C21" s="2432" t="n"/>
      <c r="D21" s="2432" t="n"/>
      <c r="E21" s="2432" t="n"/>
      <c r="F21" s="2432" t="n"/>
      <c r="G21" s="2432" t="n"/>
      <c r="H21" s="2395" t="n"/>
      <c r="I21" s="2395" t="n"/>
      <c r="J21" s="2395" t="n"/>
      <c r="K21" s="2395" t="n"/>
      <c r="L21" s="2395" t="n"/>
      <c r="M21" s="2395" t="n"/>
      <c r="N21" s="2395" t="n"/>
      <c r="O21" s="2395" t="n"/>
      <c r="P21" s="2395" t="n"/>
      <c r="Q21" s="2395" t="n"/>
      <c r="R21" s="2395" t="n"/>
      <c r="S21" s="2395" t="n"/>
      <c r="T21" s="2395" t="n"/>
      <c r="U21" s="2395" t="n"/>
    </row>
    <row r="22" customFormat="1" s="366">
      <c r="A22" s="2395" t="n"/>
      <c r="B22" s="2433" t="inlineStr">
        <is>
          <t>Replacement Cost New (RCN)</t>
        </is>
      </c>
      <c r="C22" s="2434" t="inlineStr">
        <is>
          <t>Area (SF)</t>
        </is>
      </c>
      <c r="D22" s="2435" t="inlineStr">
        <is>
          <t>$/SF</t>
        </is>
      </c>
      <c r="E22" s="2399" t="n"/>
      <c r="F22" s="2435" t="inlineStr">
        <is>
          <t>Subtotal</t>
        </is>
      </c>
      <c r="G22" s="2435" t="inlineStr">
        <is>
          <t>Total Cost</t>
        </is>
      </c>
      <c r="H22" s="2395" t="n"/>
      <c r="I22" s="2395" t="n"/>
      <c r="J22" s="2395" t="n"/>
      <c r="K22" s="2395" t="n"/>
      <c r="L22" s="2395" t="n"/>
      <c r="M22" s="2395" t="n"/>
      <c r="N22" s="2395" t="n"/>
      <c r="O22" s="2395" t="n"/>
      <c r="P22" s="2395" t="n"/>
      <c r="Q22" s="2395" t="n"/>
      <c r="R22" s="2395" t="n"/>
      <c r="S22" s="2395" t="n"/>
      <c r="T22" s="2395" t="n"/>
      <c r="U22" s="2395" t="n"/>
    </row>
    <row r="23" customFormat="1" s="366">
      <c r="A23" s="2395" t="n"/>
      <c r="B23" s="2436" t="inlineStr">
        <is>
          <t>Building Improvements</t>
        </is>
      </c>
      <c r="C23" s="2395" t="n"/>
      <c r="D23" s="2399" t="n"/>
      <c r="E23" s="2399" t="n"/>
      <c r="F23" s="2399" t="n"/>
      <c r="G23" s="2399" t="n"/>
      <c r="H23" s="2395" t="n"/>
      <c r="I23" s="2395" t="n"/>
      <c r="J23" s="2395" t="n"/>
      <c r="K23" s="2395" t="n"/>
      <c r="L23" s="2395" t="n"/>
      <c r="M23" s="2395" t="n"/>
      <c r="N23" s="2395" t="n"/>
      <c r="O23" s="2395" t="n"/>
      <c r="P23" s="2395" t="n"/>
      <c r="Q23" s="2395" t="n"/>
      <c r="R23" s="2395" t="n"/>
      <c r="S23" s="2395" t="n"/>
      <c r="T23" s="2395" t="n"/>
      <c r="U23" s="2395" t="n"/>
    </row>
    <row r="24" customFormat="1" s="366">
      <c r="A24" s="2395" t="n"/>
      <c r="B24" s="2407" t="inlineStr">
        <is>
          <t>Base Cost</t>
        </is>
      </c>
      <c r="C24" s="2437">
        <f>'Property Info'!B5</f>
        <v/>
      </c>
      <c r="D24" s="2399">
        <f>IFERROR(INDEX(BC_VALUE,MATCH($C$4&amp;"~"&amp;$C$6&amp;"~"&amp;$C$7,BC_KEY,0)),"NOT FOUND")</f>
        <v/>
      </c>
      <c r="E24" s="2399" t="n"/>
      <c r="F24" s="2399">
        <f>C24*D24</f>
        <v/>
      </c>
      <c r="G24" s="2399" t="n"/>
      <c r="H24" s="2395" t="n"/>
      <c r="I24" s="2404">
        <f>IFERROR("Verified MVS base cost -- "&amp;INDEX(BC_CITE,MATCH($C$4&amp;"~"&amp;$C$6&amp;"~"&amp;$C$7,BC_KEY,0)),"")&amp;" | Area auto-linked to Property Info!B5 (GBA)."</f>
        <v/>
      </c>
      <c r="J24" s="2395" t="n"/>
      <c r="K24" s="2395" t="n"/>
      <c r="L24" s="2395" t="n"/>
      <c r="M24" s="2395" t="n"/>
      <c r="N24" s="2395" t="n"/>
      <c r="O24" s="2395" t="n"/>
      <c r="P24" s="2395" t="n"/>
      <c r="Q24" s="2395" t="n"/>
      <c r="R24" s="2395" t="n"/>
      <c r="S24" s="2395" t="n"/>
      <c r="T24" s="2395" t="n"/>
      <c r="U24" s="2395" t="n"/>
    </row>
    <row r="25" customFormat="1" s="366">
      <c r="A25" s="2395" t="n"/>
      <c r="B25" s="2407" t="inlineStr">
        <is>
          <t>Sprinklers</t>
        </is>
      </c>
      <c r="C25" s="2437">
        <f>C24</f>
        <v/>
      </c>
      <c r="D25" s="2399">
        <f>IFERROR(IF(INDEX(OCC_STORY,MATCH($C$4,OCC_NAME,0))="14",INDEX(SPR14_VALS,MATCH($C$24,SPR14_SF,1),MATCH($C$14,SPR_HDR,0)),IF(INDEX(OCC_STORY,MATCH($C$4,OCC_NAME,0))="13",INDEX(SPR13_VALS,MATCH($C$24,SPR13_SF,1),MATCH($C$14,SPR_HDR,0)),IF(INDEX(OCC_STORY,MATCH($C$4,OCC_NAME,0))="15",INDEX(SPR15_VALS,MATCH($C$24,SPR15_SF,1),MATCH($C$14,SPR_HDR,0)),0))),0)</f>
        <v/>
      </c>
      <c r="E25" s="2399" t="n"/>
      <c r="F25" s="2399">
        <f>C25*D25</f>
        <v/>
      </c>
      <c r="G25" s="2399" t="n"/>
      <c r="H25" s="2395" t="n"/>
      <c r="I25" s="2404" t="inlineStr">
        <is>
          <t>Wet-system cost, by building SF (nearest coverage bracket &lt;= actual SF). Enter 0 manually below if unsprinklered.</t>
        </is>
      </c>
      <c r="J25" s="2395" t="n"/>
      <c r="K25" s="2395" t="n"/>
      <c r="L25" s="2395" t="n"/>
      <c r="M25" s="2395" t="n"/>
      <c r="N25" s="2395" t="n"/>
      <c r="O25" s="2395" t="n"/>
      <c r="P25" s="2395" t="n"/>
      <c r="Q25" s="2395" t="n"/>
      <c r="R25" s="2395" t="n"/>
      <c r="S25" s="2395" t="n"/>
      <c r="T25" s="2395" t="n"/>
      <c r="U25" s="2395" t="n"/>
    </row>
    <row r="26" customFormat="1" s="366">
      <c r="A26" s="2395" t="n"/>
      <c r="B26" s="2407" t="n"/>
      <c r="C26" s="2399" t="n"/>
      <c r="D26" s="2399" t="n"/>
      <c r="E26" s="2399" t="n"/>
      <c r="F26" s="2399" t="n"/>
      <c r="G26" s="2399" t="n"/>
      <c r="H26" s="2395" t="n"/>
      <c r="I26" s="2395" t="n"/>
      <c r="J26" s="2395" t="n"/>
      <c r="K26" s="2395" t="n"/>
      <c r="L26" s="2395" t="n"/>
      <c r="M26" s="2395" t="n"/>
      <c r="N26" s="2395" t="n"/>
      <c r="O26" s="2395" t="n"/>
      <c r="P26" s="2395" t="n"/>
      <c r="Q26" s="2395" t="n"/>
      <c r="R26" s="2395" t="n"/>
      <c r="S26" s="2395" t="n"/>
      <c r="T26" s="2395" t="n"/>
      <c r="U26" s="2395" t="n"/>
    </row>
    <row r="27" customFormat="1" s="366">
      <c r="A27" s="2395" t="n"/>
      <c r="B27" s="2407" t="n"/>
      <c r="C27" s="2399" t="n"/>
      <c r="D27" s="2399" t="n"/>
      <c r="E27" s="2395" t="n"/>
      <c r="F27" s="2416" t="n"/>
      <c r="G27" s="2399" t="n"/>
      <c r="H27" s="2395" t="n"/>
      <c r="I27" s="2395" t="n"/>
      <c r="J27" s="2395" t="n"/>
      <c r="K27" s="2395" t="n"/>
      <c r="L27" s="2395" t="n"/>
      <c r="M27" s="2395" t="n"/>
      <c r="N27" s="2395" t="n"/>
      <c r="O27" s="2395" t="n"/>
      <c r="P27" s="2395" t="n"/>
      <c r="Q27" s="2395" t="n"/>
      <c r="R27" s="2395" t="n"/>
      <c r="S27" s="2395" t="n"/>
      <c r="T27" s="2395" t="n"/>
      <c r="U27" s="2395" t="n"/>
    </row>
    <row r="28" customFormat="1" s="366">
      <c r="A28" s="2395" t="n"/>
      <c r="B28" s="2405" t="n"/>
      <c r="C28" s="2399" t="n"/>
      <c r="D28" s="2395" t="n"/>
      <c r="E28" s="2395" t="n"/>
      <c r="F28" s="2416" t="n"/>
      <c r="G28" s="2399" t="n"/>
      <c r="H28" s="2395" t="n"/>
      <c r="I28" s="2395" t="n"/>
      <c r="J28" s="2395" t="n"/>
      <c r="K28" s="2395" t="n"/>
      <c r="L28" s="2395" t="n"/>
      <c r="M28" s="2395" t="n"/>
      <c r="N28" s="2395" t="n"/>
      <c r="O28" s="2395" t="n"/>
      <c r="P28" s="2395" t="n"/>
      <c r="Q28" s="2395" t="n"/>
      <c r="R28" s="2395" t="n"/>
      <c r="S28" s="2395" t="n"/>
      <c r="T28" s="2395" t="n"/>
      <c r="U28" s="2395" t="n"/>
    </row>
    <row r="29" customFormat="1" s="366">
      <c r="A29" s="2395" t="n"/>
      <c r="B29" s="2405" t="n"/>
      <c r="C29" s="2399" t="n"/>
      <c r="D29" s="2395" t="n"/>
      <c r="E29" s="2395" t="n"/>
      <c r="F29" s="2399" t="n"/>
      <c r="G29" s="2399" t="n"/>
      <c r="H29" s="2395" t="n"/>
      <c r="I29" s="2399" t="n"/>
      <c r="J29" s="2395" t="n"/>
      <c r="K29" s="2395" t="n"/>
      <c r="L29" s="2395" t="n"/>
      <c r="M29" s="2395" t="n"/>
      <c r="N29" s="2395" t="n"/>
      <c r="O29" s="2395" t="n"/>
      <c r="P29" s="2395" t="n"/>
      <c r="Q29" s="2395" t="n"/>
      <c r="R29" s="2395" t="n"/>
      <c r="S29" s="2395" t="n"/>
      <c r="T29" s="2395" t="n"/>
      <c r="U29" s="2395" t="n"/>
    </row>
    <row r="30" customFormat="1" s="366">
      <c r="A30" s="2395" t="n"/>
      <c r="B30" s="2407" t="n"/>
      <c r="C30" s="2399" t="n"/>
      <c r="D30" s="2417" t="n"/>
      <c r="E30" s="2417" t="n"/>
      <c r="F30" s="2399" t="n"/>
      <c r="G30" s="2399" t="n"/>
      <c r="H30" s="2395" t="n"/>
      <c r="I30" s="2395" t="n"/>
      <c r="J30" s="2395" t="n"/>
      <c r="K30" s="2395" t="n"/>
      <c r="L30" s="2395" t="n"/>
      <c r="M30" s="2395" t="n"/>
      <c r="N30" s="2395" t="n"/>
      <c r="O30" s="2395" t="n"/>
      <c r="P30" s="2395" t="n"/>
      <c r="Q30" s="2395" t="n"/>
      <c r="R30" s="2395" t="n"/>
      <c r="S30" s="2395" t="n"/>
      <c r="T30" s="2395" t="n"/>
      <c r="U30" s="2395" t="n"/>
    </row>
    <row r="31" customFormat="1" s="366">
      <c r="A31" s="2395" t="n"/>
      <c r="B31" s="2438" t="inlineStr">
        <is>
          <t>Subtotal</t>
        </is>
      </c>
      <c r="C31" s="2399" t="n"/>
      <c r="D31" s="2399" t="n"/>
      <c r="E31" s="2399" t="n"/>
      <c r="F31" s="2439">
        <f>SUM(F24:F30)</f>
        <v/>
      </c>
      <c r="G31" s="2399" t="n"/>
      <c r="H31" s="2395" t="n"/>
      <c r="I31" s="2395" t="n"/>
      <c r="J31" s="2395" t="n"/>
      <c r="K31" s="2395" t="n"/>
      <c r="L31" s="2395" t="n"/>
      <c r="M31" s="2395" t="n"/>
      <c r="N31" s="2395" t="n"/>
      <c r="O31" s="2395" t="n"/>
      <c r="P31" s="2395" t="n"/>
      <c r="Q31" s="2395" t="n"/>
      <c r="R31" s="2395" t="n"/>
      <c r="S31" s="2395" t="n"/>
      <c r="T31" s="2395" t="n"/>
      <c r="U31" s="2395" t="n"/>
    </row>
    <row r="32" customFormat="1" s="366">
      <c r="A32" s="2395" t="n"/>
      <c r="B32" s="2440" t="inlineStr">
        <is>
          <t>Multipliers</t>
        </is>
      </c>
      <c r="C32" s="2441" t="n"/>
      <c r="D32" s="2442" t="n"/>
      <c r="E32" s="2442" t="n"/>
      <c r="F32" s="2443" t="n"/>
      <c r="G32" s="2441" t="n"/>
      <c r="H32" s="2395" t="n"/>
      <c r="I32" s="2395" t="n"/>
      <c r="J32" s="2395" t="n"/>
      <c r="K32" s="2395" t="n"/>
      <c r="L32" s="2395" t="n"/>
      <c r="M32" s="2395" t="n"/>
      <c r="N32" s="2395" t="n"/>
      <c r="O32" s="2395" t="n"/>
      <c r="P32" s="2395" t="n"/>
      <c r="Q32" s="2395" t="n"/>
      <c r="R32" s="2395" t="n"/>
      <c r="S32" s="2395" t="n"/>
      <c r="T32" s="2395" t="n"/>
      <c r="U32" s="2395" t="n"/>
    </row>
    <row r="33" customFormat="1" s="366">
      <c r="A33" s="2395" t="n"/>
      <c r="B33" s="2405" t="inlineStr">
        <is>
          <t>Current Cost (de-trended to Appraisal Date)</t>
        </is>
      </c>
      <c r="C33" s="2399" t="n"/>
      <c r="D33" s="2399">
        <f>IFERROR(INDEX(CCM_VALUES,MATCH(IF($C$6="CMILL","C",IF($C$6="DPOLE","D",IF($C$6="A-B","B",$C$6))),CCM_CLASS,0),MATCH("Sec."&amp;INDEX(OCC_SECTION,MATCH($C$4,OCC_NAME,0)),CCM_SECTIONHDR,0)),"")/IFERROR(INDEX(DEN_VALUES,MATCH($C$18,DEN_LABEL,0),MATCH("Class "&amp;IF($C$6="CMILL","C",IF($C$6="DPOLE","D",IF($C$6="A-B","B",$C$6))),DEN_CLASSHDR,0))+(INDEX(DEN_VALUES,MATCH($C$19,DEN_LABEL,0),MATCH("Class "&amp;IF($C$6="CMILL","C",IF($C$6="DPOLE","D",IF($C$6="A-B","B",$C$6))),DEN_CLASSHDR,0))-INDEX(DEN_VALUES,MATCH($C$18,DEN_LABEL,0),MATCH("Class "&amp;IF($C$6="CMILL","C",IF($C$6="DPOLE","D",IF($C$6="A-B","B",$C$6))),DEN_CLASSHDR,0)))*($C$17-DATEVALUE("1 "&amp;$C$18))/(DATEVALUE("1 "&amp;$C$19)-DATEVALUE("1 "&amp;$C$18)),1)</f>
        <v/>
      </c>
      <c r="E33" s="2399" t="n"/>
      <c r="F33" s="2399" t="n"/>
      <c r="G33" s="2399" t="n"/>
      <c r="H33" s="2395" t="n"/>
      <c r="I33" s="2444" t="inlineStr">
        <is>
          <t>MVS Sec.99 p.3 Current Cost Multiplier (WESTERN region assumed for Colorado) divided by the Sec.98 Denver de-trend factor for the Appraisal Date -- see Step 3.</t>
        </is>
      </c>
      <c r="J33" s="2395" t="n"/>
      <c r="K33" s="2395" t="n"/>
      <c r="L33" s="2395" t="n"/>
      <c r="M33" s="2395" t="n"/>
      <c r="N33" s="2395" t="n"/>
      <c r="O33" s="2395" t="n"/>
      <c r="P33" s="2395" t="n"/>
      <c r="Q33" s="2395" t="n"/>
      <c r="R33" s="2395" t="n"/>
      <c r="S33" s="2395" t="n"/>
      <c r="T33" s="2395" t="n"/>
      <c r="U33" s="2395" t="n"/>
    </row>
    <row r="34" customFormat="1" s="366">
      <c r="A34" s="2395" t="n"/>
      <c r="B34" s="2407" t="inlineStr">
        <is>
          <t>Local Area</t>
        </is>
      </c>
      <c r="C34" s="2399" t="n"/>
      <c r="D34" s="2399">
        <f>IFERROR(INDEX(LAM_VALUES,MATCH($C$8,LAM_CITY,0),MATCH("Class "&amp;IF($C$6="CMILL","C",IF($C$6="DPOLE","D",IF($C$6="A-B","B",$C$6))),LAM_CLASSHDR,0)),"")</f>
        <v/>
      </c>
      <c r="E34" s="2399" t="n"/>
      <c r="F34" s="2399" t="n"/>
      <c r="G34" s="2399" t="n"/>
      <c r="H34" s="2395" t="n"/>
      <c r="I34" s="2404" t="inlineStr">
        <is>
          <t>MVS Sec.99 p.7 Local Area Multiplier.</t>
        </is>
      </c>
      <c r="J34" s="2395" t="n"/>
      <c r="K34" s="2395" t="n"/>
      <c r="L34" s="2395" t="n"/>
      <c r="M34" s="2395" t="n"/>
      <c r="N34" s="2395" t="n"/>
      <c r="O34" s="2395" t="n"/>
      <c r="P34" s="2395" t="n"/>
      <c r="Q34" s="2395" t="n"/>
      <c r="R34" s="2395" t="n"/>
      <c r="S34" s="2395" t="n"/>
      <c r="T34" s="2395" t="n"/>
      <c r="U34" s="2395" t="n"/>
    </row>
    <row r="35" customFormat="1" s="366">
      <c r="A35" s="2395" t="n"/>
      <c r="B35" s="2399" t="inlineStr">
        <is>
          <t>Area/Perimeter Multiplier</t>
        </is>
      </c>
      <c r="C35" s="2399" t="n"/>
      <c r="D35" s="2399">
        <f>AVERAGE(C12:C13)</f>
        <v/>
      </c>
      <c r="E35" s="2399" t="n"/>
      <c r="F35" s="2399" t="n"/>
      <c r="G35" s="2399" t="n"/>
      <c r="H35" s="2395" t="n"/>
      <c r="I35" s="2395" t="n"/>
      <c r="J35" s="2395" t="n"/>
      <c r="K35" s="2395" t="n"/>
      <c r="L35" s="2395" t="n"/>
      <c r="M35" s="2395" t="n"/>
      <c r="N35" s="2395" t="n"/>
      <c r="O35" s="2395" t="n"/>
      <c r="P35" s="2395" t="n"/>
      <c r="Q35" s="2395" t="n"/>
      <c r="R35" s="2395" t="n"/>
      <c r="S35" s="2395" t="n"/>
      <c r="T35" s="2395" t="n"/>
      <c r="U35" s="2395" t="n"/>
    </row>
    <row r="36" customFormat="1" s="366">
      <c r="A36" s="2395" t="n"/>
      <c r="B36" s="2399" t="inlineStr">
        <is>
          <t>Story Height (Height entered in Step 2)</t>
        </is>
      </c>
      <c r="C36" s="2399" t="n"/>
      <c r="D36" s="2399">
        <f>IFERROR(IF(INDEX(OCC_STORY,MATCH($C$4,OCC_NAME,0))="14",INDEX(SH14_M,MATCH($C$11,SH14_H,1)),IF(INDEX(OCC_STORY,MATCH($C$4,OCC_NAME,0))="13",INDEX(SH13_M,MATCH($C$11,SH13_H,1)),IF(INDEX(OCC_STORY,MATCH($C$4,OCC_NAME,0))="15",INDEX(SH15_M,MATCH($C$11,SH15_H,1)),IF(INDEX(OCC_STORY,MATCH($C$4,OCC_NAME,0))="11",INDEX(SH11_M,MATCH($C$11,SH11_H,1)),1)))),1)</f>
        <v/>
      </c>
      <c r="E36" s="2399" t="n"/>
      <c r="F36" s="2399" t="n"/>
      <c r="G36" s="2399" t="n"/>
      <c r="H36" s="2395" t="n"/>
      <c r="I36" s="2395" t="n"/>
      <c r="J36" s="2395" t="n"/>
      <c r="K36" s="2395" t="n"/>
      <c r="L36" s="2395" t="n"/>
      <c r="M36" s="2395" t="n"/>
      <c r="N36" s="2395" t="n"/>
      <c r="O36" s="2395" t="n"/>
      <c r="P36" s="2395" t="n"/>
      <c r="Q36" s="2395" t="n"/>
      <c r="R36" s="2395" t="n"/>
      <c r="S36" s="2395" t="n"/>
      <c r="T36" s="2395" t="n"/>
      <c r="U36" s="2395" t="n"/>
    </row>
    <row r="37" customFormat="1" s="366">
      <c r="A37" s="2395" t="n"/>
      <c r="B37" s="2438" t="inlineStr">
        <is>
          <t>Product of Multipliers</t>
        </is>
      </c>
      <c r="C37" s="2399" t="n"/>
      <c r="D37" s="2399" t="n"/>
      <c r="E37" s="2399" t="n"/>
      <c r="F37" s="2439">
        <f>ROUND(PRODUCT(D33:D36),3)</f>
        <v/>
      </c>
      <c r="G37" s="2399" t="n"/>
      <c r="H37" s="2395" t="n"/>
      <c r="I37" s="2395" t="n"/>
      <c r="J37" s="2395" t="n"/>
      <c r="K37" s="2395" t="n"/>
      <c r="L37" s="2395" t="n"/>
      <c r="M37" s="2395" t="n"/>
      <c r="N37" s="2395" t="n"/>
      <c r="O37" s="2395" t="n"/>
      <c r="P37" s="2395" t="n"/>
      <c r="Q37" s="2395" t="n"/>
      <c r="R37" s="2395" t="n"/>
      <c r="S37" s="2395" t="n"/>
      <c r="T37" s="2395" t="n"/>
      <c r="U37" s="2395" t="n"/>
    </row>
    <row r="38" customFormat="1" s="366">
      <c r="A38" s="2395" t="n"/>
      <c r="B38" s="2436" t="inlineStr">
        <is>
          <t>Adjusted Base Building Cost</t>
        </is>
      </c>
      <c r="C38" s="2399" t="n"/>
      <c r="D38" s="2399" t="n"/>
      <c r="E38" s="2399" t="n"/>
      <c r="F38" s="2399" t="n"/>
      <c r="G38" s="2439">
        <f>F37*F31</f>
        <v/>
      </c>
      <c r="H38" s="2395" t="n"/>
      <c r="I38" s="2395" t="n"/>
      <c r="J38" s="2395" t="n"/>
      <c r="K38" s="2395" t="n"/>
      <c r="L38" s="2395" t="n"/>
      <c r="M38" s="2395" t="n"/>
      <c r="N38" s="2395" t="n"/>
      <c r="O38" s="2395" t="n"/>
      <c r="P38" s="2395" t="n"/>
      <c r="Q38" s="2399" t="n"/>
      <c r="R38" s="2399" t="n"/>
      <c r="S38" s="2395" t="n"/>
      <c r="T38" s="2395" t="n"/>
      <c r="U38" s="2395" t="n"/>
    </row>
    <row r="39" customFormat="1" s="366">
      <c r="A39" s="2395" t="n"/>
      <c r="B39" s="2440" t="inlineStr">
        <is>
          <t>Site Improvements (enter your own measured quantities in the Area column)</t>
        </is>
      </c>
      <c r="C39" s="2441" t="n"/>
      <c r="D39" s="2441" t="n"/>
      <c r="E39" s="2441" t="n"/>
      <c r="F39" s="2441" t="n"/>
      <c r="G39" s="2441" t="n"/>
      <c r="H39" s="2395" t="n"/>
      <c r="I39" s="2395" t="n"/>
      <c r="J39" s="2395" t="n"/>
      <c r="K39" s="2395" t="n"/>
      <c r="L39" s="2395" t="n"/>
      <c r="M39" s="2395" t="n"/>
      <c r="N39" s="2395" t="n"/>
      <c r="O39" s="2395" t="n"/>
      <c r="P39" s="2395" t="n"/>
      <c r="Q39" s="2395" t="n"/>
      <c r="R39" s="2395" t="n"/>
      <c r="S39" s="2395" t="n"/>
      <c r="T39" s="2395" t="n"/>
      <c r="U39" s="2399" t="n"/>
    </row>
    <row r="40" customFormat="1" s="366">
      <c r="A40" s="2395" t="n"/>
      <c r="B40" s="2418" t="inlineStr">
        <is>
          <t>Parking/Loading Areas (asphalt)</t>
        </is>
      </c>
      <c r="C40" s="2413" t="n"/>
      <c r="D40" s="2413" t="n">
        <v>3.1</v>
      </c>
      <c r="E40" s="2399" t="n"/>
      <c r="F40" s="2399">
        <f>D40*C40</f>
        <v/>
      </c>
      <c r="G40" s="2399" t="n"/>
      <c r="H40" s="2395" t="n"/>
      <c r="I40" s="2404" t="inlineStr">
        <is>
          <t>MVS Sec.66 p.1, 4-inch asphalt (large areas &gt;3,000 SF), average of low-high range. Enter your own measured SF in the Area column.</t>
        </is>
      </c>
      <c r="J40" s="2395" t="n"/>
      <c r="K40" s="2395" t="n"/>
      <c r="L40" s="2395" t="n"/>
      <c r="M40" s="2395" t="n"/>
      <c r="N40" s="2395" t="n"/>
      <c r="O40" s="2395" t="n"/>
      <c r="P40" s="2395" t="n"/>
      <c r="Q40" s="2395" t="n"/>
      <c r="R40" s="2395" t="n"/>
      <c r="S40" s="2395" t="n"/>
      <c r="T40" s="2395" t="n"/>
      <c r="U40" s="2399" t="n"/>
    </row>
    <row r="41" customFormat="1" s="366">
      <c r="A41" s="2395" t="n"/>
      <c r="B41" s="2418" t="inlineStr">
        <is>
          <t>Striping (Per Space)</t>
        </is>
      </c>
      <c r="C41" s="2413" t="n"/>
      <c r="D41" s="2413" t="n">
        <v>20</v>
      </c>
      <c r="E41" s="2399" t="n"/>
      <c r="F41" s="2399">
        <f>D41*C41</f>
        <v/>
      </c>
      <c r="G41" s="2399" t="n"/>
      <c r="H41" s="2395" t="n"/>
      <c r="I41" s="2404" t="inlineStr">
        <is>
          <t>Market-derived; no dedicated MVS table. Enter number of striped spaces in the Area column.</t>
        </is>
      </c>
      <c r="J41" s="2395" t="n"/>
      <c r="K41" s="2395" t="n"/>
      <c r="L41" s="2395" t="n"/>
      <c r="M41" s="2395" t="n"/>
      <c r="N41" s="2395" t="n"/>
      <c r="O41" s="2395" t="n"/>
      <c r="P41" s="2395" t="n"/>
      <c r="Q41" s="2395" t="n"/>
      <c r="R41" s="2395" t="n"/>
      <c r="S41" s="2395" t="n"/>
      <c r="T41" s="2395" t="n"/>
      <c r="U41" s="2399" t="n"/>
    </row>
    <row r="42" customFormat="1" s="366">
      <c r="A42" s="2395" t="n"/>
      <c r="B42" s="2418" t="inlineStr">
        <is>
          <t>Paving (concrete)</t>
        </is>
      </c>
      <c r="C42" s="2413" t="n"/>
      <c r="D42" s="2413" t="n">
        <v>5.51</v>
      </c>
      <c r="E42" s="2399" t="n"/>
      <c r="F42" s="2399">
        <f>D42*C42</f>
        <v/>
      </c>
      <c r="G42" s="2399" t="n"/>
      <c r="H42" s="2395" t="n"/>
      <c r="I42" s="2404" t="inlineStr">
        <is>
          <t>MVS Sec.66 p.1, 6-inch concrete (large areas &gt;3,000 SF), average of low-high range.</t>
        </is>
      </c>
      <c r="J42" s="2395" t="n"/>
      <c r="K42" s="2395" t="n"/>
      <c r="L42" s="2395" t="n"/>
      <c r="M42" s="2395" t="n"/>
      <c r="N42" s="2395" t="n"/>
      <c r="O42" s="2395" t="n"/>
      <c r="P42" s="2395" t="n"/>
      <c r="Q42" s="2395" t="n"/>
      <c r="R42" s="2395" t="n"/>
      <c r="S42" s="2395" t="n"/>
      <c r="T42" s="2395" t="n"/>
      <c r="U42" s="2399" t="n"/>
    </row>
    <row r="43" customFormat="1" s="366">
      <c r="A43" s="2395" t="n"/>
      <c r="B43" s="2405" t="inlineStr">
        <is>
          <t>Other1</t>
        </is>
      </c>
      <c r="C43" s="2413" t="n"/>
      <c r="D43" s="2413" t="n"/>
      <c r="E43" s="2399" t="n"/>
      <c r="F43" s="2399">
        <f>D43*C43</f>
        <v/>
      </c>
      <c r="G43" s="2399" t="n"/>
      <c r="H43" s="2395" t="n"/>
      <c r="I43" s="2395" t="n"/>
      <c r="J43" s="2395" t="n"/>
      <c r="K43" s="2395" t="n"/>
      <c r="L43" s="2395" t="n"/>
      <c r="M43" s="2395" t="n"/>
      <c r="N43" s="2395" t="n"/>
      <c r="O43" s="2395" t="n"/>
      <c r="P43" s="2395" t="n"/>
      <c r="Q43" s="2395" t="n"/>
      <c r="R43" s="2395" t="n"/>
      <c r="S43" s="2395" t="n"/>
      <c r="T43" s="2395" t="n"/>
      <c r="U43" s="2399" t="n"/>
    </row>
    <row r="44" customFormat="1" s="366">
      <c r="A44" s="2395" t="n"/>
      <c r="B44" s="2405" t="inlineStr">
        <is>
          <t>Other2</t>
        </is>
      </c>
      <c r="C44" s="2413" t="n"/>
      <c r="D44" s="2413" t="n"/>
      <c r="E44" s="2399" t="n"/>
      <c r="F44" s="2399">
        <f>D44*C44</f>
        <v/>
      </c>
      <c r="G44" s="2399" t="n"/>
      <c r="H44" s="2395" t="n"/>
      <c r="I44" s="2395" t="n"/>
      <c r="J44" s="2395" t="n"/>
      <c r="K44" s="2395" t="n"/>
      <c r="L44" s="2395" t="n"/>
      <c r="M44" s="2395" t="n"/>
      <c r="N44" s="2395" t="n"/>
      <c r="O44" s="2395" t="n"/>
      <c r="P44" s="2395" t="n"/>
      <c r="Q44" s="2395" t="n"/>
      <c r="R44" s="2395" t="n"/>
      <c r="S44" s="2395" t="n"/>
      <c r="T44" s="2395" t="n"/>
      <c r="U44" s="2395" t="n"/>
    </row>
    <row r="45" customFormat="1" s="366">
      <c r="A45" s="2395" t="n"/>
      <c r="B45" s="2405" t="inlineStr">
        <is>
          <t>Landscaping, Lighting, Other Site Improvements</t>
        </is>
      </c>
      <c r="C45" s="2445" t="n"/>
      <c r="D45" s="2413" t="n">
        <v>5.5</v>
      </c>
      <c r="E45" s="2399" t="n"/>
      <c r="F45" s="2399">
        <f>D45*C45</f>
        <v/>
      </c>
      <c r="G45" s="2399" t="n"/>
      <c r="H45" s="2395" t="n"/>
      <c r="I45" s="2404" t="inlineStr">
        <is>
          <t>MVS Sec.66 landscaping / market estimate. Enter your own measured lot SF in the Area column.</t>
        </is>
      </c>
      <c r="J45" s="2395" t="n"/>
      <c r="K45" s="2395" t="n"/>
      <c r="L45" s="2395" t="n"/>
      <c r="M45" s="2395" t="n"/>
      <c r="N45" s="2395" t="n"/>
      <c r="O45" s="2395" t="n"/>
      <c r="P45" s="2395" t="n"/>
      <c r="Q45" s="2395" t="n"/>
      <c r="R45" s="2395" t="n"/>
      <c r="S45" s="2395" t="n"/>
      <c r="T45" s="2395" t="n"/>
      <c r="U45" s="2395" t="n"/>
    </row>
    <row r="46" customFormat="1" s="366">
      <c r="A46" s="2395" t="n"/>
      <c r="B46" s="2439" t="inlineStr">
        <is>
          <t>Total Site Improvements</t>
        </is>
      </c>
      <c r="C46" s="2399" t="n"/>
      <c r="D46" s="2399" t="n"/>
      <c r="E46" s="2399" t="n"/>
      <c r="F46" s="2399" t="n"/>
      <c r="G46" s="2439">
        <f>SUM(F40:F45)</f>
        <v/>
      </c>
      <c r="H46" s="2395" t="n"/>
      <c r="I46" s="2395" t="n"/>
      <c r="J46" s="2395" t="n"/>
      <c r="K46" s="2395" t="n"/>
      <c r="L46" s="2395" t="n"/>
      <c r="M46" s="2395" t="n"/>
      <c r="N46" s="2395" t="n"/>
      <c r="O46" s="2395" t="n"/>
      <c r="P46" s="2395" t="n"/>
      <c r="Q46" s="2395" t="n"/>
      <c r="R46" s="2395" t="n"/>
      <c r="S46" s="2395" t="n"/>
      <c r="T46" s="2395" t="n"/>
      <c r="U46" s="2395" t="n"/>
    </row>
    <row r="47" customFormat="1" s="366">
      <c r="A47" s="2395" t="n"/>
      <c r="B47" s="2436" t="inlineStr">
        <is>
          <t>Total Construction Costs</t>
        </is>
      </c>
      <c r="C47" s="2399" t="n"/>
      <c r="D47" s="2399" t="n"/>
      <c r="E47" s="2399" t="n"/>
      <c r="F47" s="2399" t="n"/>
      <c r="G47" s="2439">
        <f>SUM(G38:G46)</f>
        <v/>
      </c>
      <c r="H47" s="2395" t="n"/>
      <c r="I47" s="2395" t="n"/>
      <c r="J47" s="2395" t="n"/>
      <c r="K47" s="2395" t="n"/>
      <c r="L47" s="2395" t="n"/>
      <c r="M47" s="2395" t="n"/>
      <c r="N47" s="2395" t="n"/>
      <c r="O47" s="2395" t="n"/>
      <c r="P47" s="2395" t="n"/>
      <c r="Q47" s="2395" t="n"/>
      <c r="R47" s="2395" t="n"/>
      <c r="S47" s="2395" t="n"/>
      <c r="T47" s="2395" t="n"/>
      <c r="U47" s="2395" t="n"/>
    </row>
    <row r="48" customFormat="1" s="366">
      <c r="A48" s="2395" t="n"/>
      <c r="B48" s="2405" t="inlineStr">
        <is>
          <t>Plus Other Indirect Costs (% of Direct Costs)</t>
        </is>
      </c>
      <c r="C48" s="2413" t="n">
        <v>0.1</v>
      </c>
      <c r="D48" s="2399" t="n"/>
      <c r="E48" s="2399" t="n"/>
      <c r="F48" s="2399" t="n"/>
      <c r="G48" s="2399">
        <f>G47*(C48)</f>
        <v/>
      </c>
      <c r="H48" s="2395" t="n"/>
      <c r="I48" s="2404" t="inlineStr">
        <is>
          <t>Financing, permits, professional fees, insurance during construction. Typical 8-15%.</t>
        </is>
      </c>
      <c r="J48" s="2395" t="n"/>
      <c r="K48" s="2395" t="n"/>
      <c r="L48" s="2395" t="n"/>
      <c r="M48" s="2395" t="n"/>
      <c r="N48" s="2395" t="n"/>
      <c r="O48" s="2395" t="n"/>
      <c r="P48" s="2395" t="n"/>
      <c r="Q48" s="2395" t="n"/>
      <c r="R48" s="2395" t="n"/>
      <c r="S48" s="2395" t="n"/>
      <c r="T48" s="2395" t="n"/>
      <c r="U48" s="2395" t="n"/>
    </row>
    <row r="49" customFormat="1" s="366">
      <c r="A49" s="2395" t="n"/>
      <c r="B49" s="2439" t="inlineStr">
        <is>
          <t>Subtotal Replacement Cost New (RCN)</t>
        </is>
      </c>
      <c r="C49" s="2419" t="n"/>
      <c r="D49" s="2399" t="n"/>
      <c r="E49" s="2399" t="n"/>
      <c r="F49" s="2399" t="n"/>
      <c r="G49" s="2439">
        <f>SUM(G47:G48)</f>
        <v/>
      </c>
      <c r="H49" s="2395" t="n"/>
      <c r="I49" s="2395" t="n"/>
      <c r="J49" s="2395" t="n"/>
      <c r="K49" s="2395" t="n"/>
      <c r="L49" s="2395" t="n"/>
      <c r="M49" s="2395" t="n"/>
      <c r="N49" s="2395" t="n"/>
      <c r="O49" s="2395" t="n"/>
      <c r="P49" s="2395" t="n"/>
      <c r="Q49" s="2395" t="n"/>
      <c r="R49" s="2395" t="n"/>
      <c r="S49" s="2395" t="n"/>
      <c r="T49" s="2395" t="n"/>
      <c r="U49" s="2395" t="n"/>
    </row>
    <row r="50" customFormat="1" s="366">
      <c r="A50" s="2395" t="n"/>
      <c r="B50" s="2399" t="inlineStr">
        <is>
          <t>Plus Entrepreneurial Profit (% of RCN)</t>
        </is>
      </c>
      <c r="C50" s="2413" t="n">
        <v>0.15</v>
      </c>
      <c r="D50" s="2399" t="n"/>
      <c r="E50" s="2399" t="n"/>
      <c r="F50" s="2399" t="n"/>
      <c r="G50" s="2399">
        <f>G49*C50</f>
        <v/>
      </c>
      <c r="H50" s="2395" t="n"/>
      <c r="I50" s="2404" t="inlineStr">
        <is>
          <t>Developer expected return above cost. Typical 10-20%.</t>
        </is>
      </c>
      <c r="J50" s="2395" t="n"/>
      <c r="K50" s="2395" t="n"/>
      <c r="L50" s="2395" t="n"/>
      <c r="M50" s="2395" t="n"/>
      <c r="N50" s="2395" t="n"/>
      <c r="O50" s="2395" t="n"/>
      <c r="P50" s="2395" t="n"/>
      <c r="Q50" s="2395" t="n"/>
      <c r="R50" s="2395" t="n"/>
      <c r="S50" s="2395" t="n"/>
      <c r="T50" s="2395" t="n"/>
      <c r="U50" s="2395" t="n"/>
    </row>
    <row r="51" customFormat="1" s="366">
      <c r="A51" s="2395" t="n"/>
      <c r="B51" s="2446" t="inlineStr">
        <is>
          <t>Total Replacement Cost New (RCN)</t>
        </is>
      </c>
      <c r="C51" s="2399" t="n"/>
      <c r="D51" s="2399" t="n"/>
      <c r="E51" s="2399" t="n"/>
      <c r="F51" s="2399" t="n"/>
      <c r="G51" s="2446">
        <f>SUM(G49:G50)</f>
        <v/>
      </c>
      <c r="H51" s="2395" t="n"/>
      <c r="I51" s="2395" t="n"/>
      <c r="J51" s="2395" t="n"/>
      <c r="K51" s="2395" t="n"/>
      <c r="L51" s="2395" t="n"/>
      <c r="M51" s="2395" t="n"/>
      <c r="N51" s="2395" t="n"/>
      <c r="O51" s="2395" t="n"/>
      <c r="P51" s="2395" t="n"/>
      <c r="Q51" s="2395" t="n"/>
      <c r="R51" s="2395" t="n"/>
      <c r="S51" s="2395" t="n"/>
      <c r="T51" s="2395" t="n"/>
      <c r="U51" s="2395" t="n"/>
    </row>
    <row r="52" customFormat="1" s="366">
      <c r="A52" s="2395" t="n"/>
      <c r="B52" s="2420" t="inlineStr">
        <is>
          <t>per square foot of gross building area</t>
        </is>
      </c>
      <c r="C52" s="2421" t="n"/>
      <c r="D52" s="2399" t="n"/>
      <c r="E52" s="2399" t="n"/>
      <c r="F52" s="2399" t="n"/>
      <c r="G52" s="2395">
        <f>caRCN/C24</f>
        <v/>
      </c>
      <c r="H52" s="2395" t="n"/>
      <c r="I52" s="2395" t="n"/>
      <c r="J52" s="2395" t="n"/>
      <c r="K52" s="2395" t="n"/>
      <c r="L52" s="2395" t="n"/>
      <c r="M52" s="2395" t="n"/>
      <c r="N52" s="2395" t="n"/>
      <c r="O52" s="2395" t="n"/>
      <c r="P52" s="2395" t="n"/>
      <c r="Q52" s="2395" t="n"/>
      <c r="R52" s="2395" t="n"/>
      <c r="S52" s="2395" t="n"/>
      <c r="T52" s="2395" t="n"/>
      <c r="U52" s="2395" t="n"/>
    </row>
    <row r="53" customFormat="1" s="366">
      <c r="A53" s="2395" t="n"/>
      <c r="B53" s="2405" t="n"/>
      <c r="C53" s="2399" t="n"/>
      <c r="D53" s="2399" t="n"/>
      <c r="E53" s="2399" t="n"/>
      <c r="F53" s="2399" t="n"/>
      <c r="G53" s="2416" t="n"/>
      <c r="H53" s="2395" t="n"/>
      <c r="I53" s="2395" t="n"/>
      <c r="J53" s="2395" t="n"/>
      <c r="K53" s="2395" t="n"/>
      <c r="L53" s="2395" t="n"/>
      <c r="M53" s="2395" t="n"/>
      <c r="N53" s="2395" t="n"/>
      <c r="O53" s="2395" t="n"/>
      <c r="P53" s="2395" t="n"/>
      <c r="Q53" s="2395" t="n"/>
      <c r="R53" s="2395" t="n"/>
      <c r="S53" s="2395" t="n"/>
      <c r="T53" s="2395" t="n"/>
      <c r="U53" s="2395" t="n"/>
    </row>
    <row r="54" customFormat="1" s="366">
      <c r="A54" s="2395" t="n"/>
      <c r="B54" s="2447" t="inlineStr">
        <is>
          <t>Less Accrued Depreciation</t>
        </is>
      </c>
      <c r="C54" s="2441" t="n"/>
      <c r="D54" s="2441" t="n"/>
      <c r="E54" s="2441" t="n"/>
      <c r="F54" s="2441" t="n"/>
      <c r="G54" s="2448" t="n"/>
      <c r="H54" s="2395" t="n"/>
      <c r="I54" s="2395" t="n"/>
      <c r="J54" s="2395" t="n"/>
      <c r="K54" s="2395" t="n"/>
      <c r="L54" s="2395" t="n"/>
      <c r="M54" s="2395" t="n"/>
      <c r="N54" s="2395" t="n"/>
      <c r="O54" s="2395" t="n"/>
      <c r="P54" s="2395" t="n"/>
      <c r="Q54" s="2395" t="n"/>
      <c r="R54" s="2395" t="n"/>
      <c r="S54" s="2395" t="n"/>
      <c r="T54" s="2395" t="n"/>
      <c r="U54" s="2395" t="n"/>
    </row>
    <row r="55" customFormat="1" s="1563">
      <c r="A55" s="2395" t="n"/>
      <c r="B55" s="2439" t="inlineStr">
        <is>
          <t>Physical</t>
        </is>
      </c>
      <c r="C55" s="2422" t="n"/>
      <c r="D55" s="2422" t="n"/>
      <c r="E55" s="2403" t="n"/>
      <c r="F55" s="2403" t="n"/>
      <c r="G55" s="2403" t="n"/>
      <c r="H55" s="2395" t="n"/>
      <c r="I55" s="2395" t="n"/>
      <c r="J55" s="2395" t="n"/>
      <c r="K55" s="2395" t="n"/>
      <c r="L55" s="2395" t="n"/>
      <c r="M55" s="2395" t="n"/>
      <c r="N55" s="2395" t="n"/>
      <c r="O55" s="2395" t="n"/>
      <c r="P55" s="2395" t="n"/>
      <c r="Q55" s="2423" t="n"/>
      <c r="R55" s="2395" t="n"/>
      <c r="S55" s="2395" t="n"/>
      <c r="T55" s="2395" t="n"/>
      <c r="U55" s="2395" t="n"/>
    </row>
    <row r="56" customFormat="1" s="1563">
      <c r="A56" s="2395" t="n"/>
      <c r="B56" s="2399" t="inlineStr">
        <is>
          <t>Curable (Deferred Maintenance)</t>
        </is>
      </c>
      <c r="C56" s="2422" t="n"/>
      <c r="D56" s="2396" t="n"/>
      <c r="E56" s="2403" t="n"/>
      <c r="F56" s="2402" t="n">
        <v>0</v>
      </c>
      <c r="G56" s="2399" t="n"/>
      <c r="H56" s="2395" t="n"/>
      <c r="I56" s="2404" t="inlineStr">
        <is>
          <t>Dollar cost to cure deferred items (roof, HVAC, etc). 0 = none.</t>
        </is>
      </c>
      <c r="J56" s="2395" t="n"/>
      <c r="K56" s="2395" t="n"/>
      <c r="L56" s="2395" t="n"/>
      <c r="M56" s="2395" t="n"/>
      <c r="N56" s="2395" t="n"/>
      <c r="O56" s="2395" t="n"/>
      <c r="P56" s="2395" t="n"/>
      <c r="Q56" s="2403" t="n"/>
      <c r="R56" s="2403" t="n"/>
      <c r="S56" s="2403" t="n"/>
      <c r="T56" s="2395" t="n"/>
      <c r="U56" s="2395" t="n"/>
    </row>
    <row r="57" s="1449">
      <c r="A57" s="2395" t="n"/>
      <c r="B57" s="2449" t="inlineStr">
        <is>
          <t>Incurable</t>
        </is>
      </c>
      <c r="C57" s="2422" t="n"/>
      <c r="D57" s="2422" t="n"/>
      <c r="E57" s="2403" t="n"/>
      <c r="F57" s="2395" t="n"/>
      <c r="G57" s="2395" t="n"/>
      <c r="H57" s="2395" t="n"/>
      <c r="I57" s="2395" t="n"/>
      <c r="J57" s="2395" t="n"/>
      <c r="K57" s="2395" t="n"/>
      <c r="L57" s="2395" t="n"/>
      <c r="M57" s="2395" t="n"/>
      <c r="N57" s="2395" t="n"/>
      <c r="O57" s="2395" t="n"/>
      <c r="P57" s="2395" t="n"/>
      <c r="Q57" s="2395" t="n"/>
      <c r="R57" s="2395" t="n"/>
      <c r="S57" s="2395" t="n"/>
      <c r="T57" s="2395" t="n"/>
      <c r="U57" s="2395" t="n"/>
    </row>
    <row r="58" s="1449">
      <c r="A58" s="2395" t="n"/>
      <c r="B58" s="2395" t="inlineStr">
        <is>
          <t>Effective Age (Years)</t>
        </is>
      </c>
      <c r="C58" s="2409" t="n">
        <v>0</v>
      </c>
      <c r="D58" s="2395" t="n"/>
      <c r="E58" s="2395" t="n"/>
      <c r="F58" s="2395" t="n"/>
      <c r="G58" s="2395" t="n"/>
      <c r="H58" s="2395" t="n"/>
      <c r="I58" s="2404" t="inlineStr">
        <is>
          <t>Per MVS Sec.97: true age adjusted for modernization/condition, not necessarily chronological age. Judgment call from inspection.</t>
        </is>
      </c>
      <c r="J58" s="2395" t="n"/>
      <c r="K58" s="2395" t="n"/>
      <c r="L58" s="2395" t="n"/>
      <c r="M58" s="2395" t="n"/>
      <c r="N58" s="2395" t="n"/>
      <c r="O58" s="2395" t="n"/>
      <c r="P58" s="2395" t="n"/>
      <c r="Q58" s="2395" t="n"/>
      <c r="R58" s="2395" t="n"/>
      <c r="S58" s="2395" t="n"/>
      <c r="T58" s="2395" t="n"/>
      <c r="U58" s="2395" t="n"/>
    </row>
    <row r="59" s="1449">
      <c r="A59" s="2395" t="n"/>
      <c r="B59" s="2395" t="inlineStr">
        <is>
          <t>Typical Life Expectancy (MVS Sec.97, auto)</t>
        </is>
      </c>
      <c r="C59" s="2437">
        <f>IFERROR(INDEX(LIFE_VALUES,MATCH($C$4&amp;"~"&amp;$C$7,LIFE_KEY,0),MATCH("Class "&amp;IF($C$6="CMILL","C",IF($C$6="DPOLE","D",IF($C$6="A-B","B",$C$6))),LIFE_CLASSHDR,0)),"n/a for this Class/Quality -- see Life Expectancy table on M&amp;S Inputs")</f>
        <v/>
      </c>
      <c r="D59" s="2395" t="n"/>
      <c r="E59" s="2395" t="n"/>
      <c r="F59" s="2395" t="n"/>
      <c r="G59" s="2395" t="n"/>
      <c r="H59" s="2395" t="n"/>
      <c r="I59" s="2404" t="inlineStr">
        <is>
          <t>MVS Sec.97 pp.10-13, by occupancy/quality/class.</t>
        </is>
      </c>
      <c r="J59" s="2395" t="n"/>
      <c r="K59" s="2423" t="n"/>
      <c r="L59" s="2395" t="n"/>
      <c r="M59" s="2395" t="n"/>
      <c r="N59" s="2395" t="n"/>
      <c r="O59" s="2395" t="n"/>
      <c r="P59" s="2423" t="n"/>
      <c r="Q59" s="2395" t="n"/>
      <c r="R59" s="2395" t="n"/>
      <c r="S59" s="2395" t="n"/>
      <c r="T59" s="2395" t="n"/>
      <c r="U59" s="2395" t="n"/>
    </row>
    <row r="60" s="1449">
      <c r="A60" s="2395" t="n"/>
      <c r="B60" s="2395" t="inlineStr">
        <is>
          <t>Total Incurable Physical Depreciation (MVS Sec.97 percent-good curve)</t>
        </is>
      </c>
      <c r="C60" s="2406">
        <f>IFERROR(INDEX(DEPR_VALUES,MATCH($C$58,DEPR_AGE,1),MATCH($C$59,DEPR_LIFEHDR,0))/100,"n/a -- age exceeds tabulated range; treat as fully depreciated per Sec.97 salvage guidance")</f>
        <v/>
      </c>
      <c r="D60" s="2395" t="n"/>
      <c r="E60" s="2395" t="n"/>
      <c r="F60" s="2395">
        <f>G51*C60</f>
        <v/>
      </c>
      <c r="G60" s="2395" t="n"/>
      <c r="H60" s="2395" t="n"/>
      <c r="I60" s="2404" t="inlineStr">
        <is>
          <t>MVS Sec.97 p.24, Commercial Properties percent-good table -- replaces a naive straight-line age/life ratio.</t>
        </is>
      </c>
      <c r="J60" s="2395" t="n"/>
      <c r="K60" s="2395" t="n"/>
      <c r="L60" s="2403" t="n"/>
      <c r="M60" s="2403" t="n"/>
      <c r="N60" s="2403" t="n"/>
      <c r="O60" s="2403" t="n"/>
      <c r="P60" s="2403" t="n"/>
      <c r="Q60" s="2395" t="n"/>
      <c r="R60" s="2395" t="n"/>
      <c r="S60" s="2395" t="n"/>
      <c r="T60" s="2395" t="n"/>
      <c r="U60" s="2395" t="n"/>
    </row>
    <row r="61" s="1449">
      <c r="A61" s="2395" t="n"/>
      <c r="B61" s="2395" t="inlineStr">
        <is>
          <t>Functional Obsolescence</t>
        </is>
      </c>
      <c r="C61" s="2409" t="n">
        <v>0</v>
      </c>
      <c r="D61" s="2395" t="n"/>
      <c r="E61" s="2395" t="n"/>
      <c r="F61" s="2395">
        <f>C61*caRCN</f>
        <v/>
      </c>
      <c r="G61" s="2395" t="n"/>
      <c r="H61" s="2395" t="n"/>
      <c r="I61" s="2404" t="inlineStr">
        <is>
          <t>Loss from design deficiencies (excess bays, substandard ceiling height, etc). 0 = none.</t>
        </is>
      </c>
      <c r="J61" s="2395" t="n"/>
      <c r="K61" s="2395" t="n"/>
      <c r="L61" s="2403" t="n"/>
      <c r="M61" s="2403" t="n"/>
      <c r="N61" s="2403" t="n"/>
      <c r="O61" s="2403" t="n"/>
      <c r="P61" s="2403" t="n"/>
      <c r="Q61" s="2395" t="n"/>
      <c r="R61" s="2395" t="n"/>
      <c r="S61" s="2395" t="n"/>
      <c r="T61" s="2395" t="n"/>
      <c r="U61" s="2395" t="n"/>
    </row>
    <row r="62" s="1449">
      <c r="A62" s="2395" t="n"/>
      <c r="B62" s="2395" t="inlineStr">
        <is>
          <t>External Obsolescence</t>
        </is>
      </c>
      <c r="C62" s="2409" t="n">
        <v>0</v>
      </c>
      <c r="D62" s="2395" t="n"/>
      <c r="E62" s="2395" t="n"/>
      <c r="F62" s="2395">
        <f>C62*caRCN</f>
        <v/>
      </c>
      <c r="G62" s="2395" t="n"/>
      <c r="H62" s="2395" t="n"/>
      <c r="I62" s="2404" t="inlineStr">
        <is>
          <t>Loss from external/locational/market factors. 0 = none.</t>
        </is>
      </c>
      <c r="J62" s="2395" t="n"/>
      <c r="K62" s="2395" t="n"/>
      <c r="L62" s="2403" t="n"/>
      <c r="M62" s="2403" t="n"/>
      <c r="N62" s="2403" t="n"/>
      <c r="O62" s="2403" t="n"/>
      <c r="P62" s="2403" t="n"/>
      <c r="Q62" s="2395" t="n"/>
      <c r="R62" s="2395" t="n"/>
      <c r="S62" s="2395" t="n"/>
      <c r="T62" s="2395" t="n"/>
      <c r="U62" s="2395" t="n"/>
    </row>
    <row r="63" s="1449">
      <c r="A63" s="2395" t="n"/>
      <c r="B63" s="2449" t="inlineStr">
        <is>
          <t>Total</t>
        </is>
      </c>
      <c r="C63" s="2395">
        <f>G63/caRCN</f>
        <v/>
      </c>
      <c r="D63" s="2395" t="n"/>
      <c r="E63" s="2395" t="n"/>
      <c r="F63" s="2395" t="n"/>
      <c r="G63" s="2449">
        <f>SUM(F56:F62)</f>
        <v/>
      </c>
      <c r="H63" s="2395" t="n"/>
      <c r="I63" s="2395" t="n"/>
      <c r="J63" s="2395" t="n"/>
      <c r="K63" s="2399" t="n"/>
      <c r="L63" s="2403" t="n"/>
      <c r="M63" s="2403" t="n"/>
      <c r="N63" s="2403" t="n"/>
      <c r="O63" s="2403" t="n"/>
      <c r="P63" s="2403" t="n"/>
      <c r="Q63" s="2395" t="n"/>
      <c r="R63" s="2395" t="n"/>
      <c r="S63" s="2395" t="n"/>
      <c r="T63" s="2395" t="n"/>
      <c r="U63" s="2395" t="n"/>
    </row>
    <row r="64" s="1449">
      <c r="A64" s="2395" t="n"/>
      <c r="B64" s="2450" t="inlineStr">
        <is>
          <t>Depreciated Value of the Improvements</t>
        </is>
      </c>
      <c r="C64" s="2395" t="n"/>
      <c r="D64" s="2395" t="n"/>
      <c r="E64" s="2395" t="n"/>
      <c r="F64" s="2395" t="n"/>
      <c r="G64" s="2450">
        <f>caRCN-G63</f>
        <v/>
      </c>
      <c r="H64" s="2395" t="n"/>
      <c r="I64" s="2395" t="n"/>
      <c r="J64" s="2395" t="n"/>
      <c r="K64" s="2399" t="n"/>
      <c r="L64" s="2403" t="n"/>
      <c r="M64" s="2403" t="n"/>
      <c r="N64" s="2403" t="n"/>
      <c r="O64" s="2403" t="n"/>
      <c r="P64" s="2403" t="n"/>
      <c r="Q64" s="2395" t="n"/>
      <c r="R64" s="2395" t="n"/>
      <c r="S64" s="2395" t="n"/>
      <c r="T64" s="2395" t="n"/>
      <c r="U64" s="2395" t="n"/>
    </row>
    <row r="65" s="1449">
      <c r="A65" s="2395" t="n"/>
      <c r="B65" s="2395" t="inlineStr">
        <is>
          <t>per square foot of gross building area</t>
        </is>
      </c>
      <c r="C65" s="2395" t="n"/>
      <c r="D65" s="2395" t="n"/>
      <c r="E65" s="2395" t="n"/>
      <c r="F65" s="2395" t="n"/>
      <c r="G65" s="2395">
        <f>caRCNDeprec/C24</f>
        <v/>
      </c>
      <c r="H65" s="2395" t="n"/>
      <c r="I65" s="2395" t="n"/>
      <c r="J65" s="2395" t="n"/>
      <c r="K65" s="2395" t="n"/>
      <c r="L65" s="2395" t="n"/>
      <c r="M65" s="2395" t="n"/>
      <c r="N65" s="2395" t="n"/>
      <c r="O65" s="2395" t="n"/>
      <c r="P65" s="2395" t="n"/>
      <c r="Q65" s="2395" t="n"/>
      <c r="R65" s="2395" t="n"/>
      <c r="S65" s="2395" t="n"/>
      <c r="T65" s="2395" t="n"/>
      <c r="U65" s="2395" t="n"/>
    </row>
    <row r="66" s="1449">
      <c r="A66" s="2395" t="n"/>
      <c r="B66" s="2423" t="n"/>
      <c r="C66" s="2395" t="n"/>
      <c r="D66" s="2395" t="n"/>
      <c r="E66" s="2395" t="n"/>
      <c r="F66" s="2395" t="n"/>
      <c r="G66" s="2395" t="n"/>
      <c r="H66" s="2395" t="n"/>
      <c r="I66" s="2395" t="n"/>
      <c r="J66" s="2395" t="n"/>
      <c r="K66" s="2395" t="n"/>
      <c r="L66" s="2395" t="n"/>
      <c r="M66" s="2395" t="n"/>
      <c r="N66" s="2395" t="n"/>
      <c r="O66" s="2395" t="n"/>
      <c r="P66" s="2395" t="n"/>
      <c r="Q66" s="2395" t="n"/>
      <c r="R66" s="2395" t="n"/>
      <c r="S66" s="2395" t="n"/>
      <c r="T66" s="2395" t="n"/>
      <c r="U66" s="2395" t="n"/>
    </row>
    <row r="67" s="1449">
      <c r="A67" s="2395" t="n"/>
      <c r="B67" s="2395" t="inlineStr">
        <is>
          <t>Plus Land Value</t>
        </is>
      </c>
      <c r="C67" s="2403" t="n"/>
      <c r="D67" s="2403" t="n"/>
      <c r="E67" s="2403" t="n"/>
      <c r="F67" s="2403" t="n"/>
      <c r="G67" s="2403">
        <f>'Land Sales'!C65</f>
        <v/>
      </c>
      <c r="H67" s="2395" t="n"/>
      <c r="I67" s="2404" t="inlineStr">
        <is>
          <t>Set to the value concluded on the Land Sales worksheet. If using a land value from another source, overwrite this cell directly.</t>
        </is>
      </c>
      <c r="J67" s="2395" t="n"/>
      <c r="K67" s="2395" t="n"/>
      <c r="L67" s="2395" t="n"/>
      <c r="M67" s="2395" t="n"/>
      <c r="N67" s="2395" t="n"/>
      <c r="O67" s="2395" t="n"/>
      <c r="P67" s="2395" t="n"/>
      <c r="Q67" s="2395" t="n"/>
      <c r="R67" s="2395" t="n"/>
      <c r="S67" s="2395" t="n"/>
      <c r="T67" s="2395" t="n"/>
      <c r="U67" s="2395" t="n"/>
    </row>
    <row r="68" s="1449">
      <c r="A68" s="2395" t="n"/>
      <c r="B68" s="2405" t="n"/>
      <c r="C68" s="2399" t="n"/>
      <c r="D68" s="2399" t="n"/>
      <c r="E68" s="2399" t="n"/>
      <c r="F68" s="2399" t="n"/>
      <c r="G68" s="2399" t="n"/>
      <c r="H68" s="2395" t="n"/>
      <c r="I68" s="2395" t="n"/>
      <c r="J68" s="2395" t="n"/>
      <c r="K68" s="2395" t="n"/>
      <c r="L68" s="2395" t="n"/>
      <c r="M68" s="2395" t="n"/>
      <c r="N68" s="2395" t="n"/>
      <c r="O68" s="2395" t="n"/>
      <c r="P68" s="2395" t="n"/>
      <c r="Q68" s="2395" t="n"/>
      <c r="R68" s="2395" t="n"/>
      <c r="S68" s="2395" t="n"/>
      <c r="T68" s="2395" t="n"/>
      <c r="U68" s="2395" t="n"/>
    </row>
    <row r="69" s="1449">
      <c r="A69" s="2395" t="n"/>
      <c r="B69" s="2451" t="inlineStr">
        <is>
          <t>Indicated Value by Cost Approach</t>
        </is>
      </c>
      <c r="C69" s="2424" t="n"/>
      <c r="D69" s="2399" t="n"/>
      <c r="E69" s="2399" t="n"/>
      <c r="F69" s="2399" t="n"/>
      <c r="G69" s="2452">
        <f>G64+G67</f>
        <v/>
      </c>
      <c r="H69" s="2395" t="n"/>
      <c r="I69" s="2395" t="n"/>
      <c r="J69" s="2395" t="n"/>
      <c r="K69" s="2395" t="n"/>
      <c r="L69" s="2395" t="n"/>
      <c r="M69" s="2395" t="n"/>
      <c r="N69" s="2395" t="n"/>
      <c r="O69" s="2395" t="n"/>
      <c r="P69" s="2395" t="n"/>
      <c r="Q69" s="2395" t="n"/>
      <c r="R69" s="2395" t="n"/>
      <c r="S69" s="2395" t="n"/>
      <c r="T69" s="2395" t="n"/>
      <c r="U69" s="2395" t="n"/>
    </row>
    <row r="70" s="1449">
      <c r="A70" s="2395" t="n"/>
      <c r="B70" s="2407" t="n">
        <v>5000</v>
      </c>
      <c r="C70" s="2395" t="n"/>
      <c r="D70" s="2399" t="n"/>
      <c r="E70" s="2399" t="n"/>
      <c r="F70" s="2399" t="n"/>
      <c r="G70" s="2452">
        <f>ROUND((G69/B70),0)*B70</f>
        <v/>
      </c>
      <c r="H70" s="2395" t="n"/>
      <c r="I70" s="2404" t="inlineStr">
        <is>
          <t>Rounded to the nearest $5,000 (change the value in column B to round to a different increment).</t>
        </is>
      </c>
      <c r="J70" s="2395" t="n"/>
      <c r="K70" s="2395" t="n"/>
      <c r="L70" s="2395" t="n"/>
      <c r="M70" s="2395" t="n"/>
      <c r="N70" s="2395" t="n"/>
      <c r="O70" s="2395" t="n"/>
      <c r="P70" s="2395" t="n"/>
      <c r="Q70" s="2395" t="n"/>
      <c r="R70" s="2395" t="n"/>
      <c r="S70" s="2395" t="n"/>
      <c r="T70" s="2395" t="n"/>
      <c r="U70" s="2395" t="n"/>
    </row>
    <row r="71" s="1449">
      <c r="A71" s="2395" t="n"/>
      <c r="B71" s="2407" t="inlineStr">
        <is>
          <t>per square foot of gross building area</t>
        </is>
      </c>
      <c r="C71" s="2395" t="n"/>
      <c r="D71" s="2399" t="n"/>
      <c r="E71" s="2399" t="n"/>
      <c r="F71" s="2399" t="n"/>
      <c r="G71" s="2399">
        <f>G70/C24</f>
        <v/>
      </c>
      <c r="H71" s="2395" t="n"/>
      <c r="I71" s="2395" t="n"/>
      <c r="J71" s="2395" t="n"/>
      <c r="K71" s="2395" t="n"/>
      <c r="L71" s="2395" t="n"/>
      <c r="M71" s="2395" t="n"/>
      <c r="N71" s="2395" t="n"/>
      <c r="O71" s="2395" t="n"/>
      <c r="P71" s="2395" t="n"/>
      <c r="Q71" s="2395" t="n"/>
      <c r="R71" s="2395" t="n"/>
      <c r="S71" s="2395" t="n"/>
      <c r="T71" s="2395" t="n"/>
      <c r="U71" s="2395" t="n"/>
    </row>
    <row r="72" s="1449">
      <c r="A72" s="2395" t="n"/>
      <c r="B72" s="2407" t="n"/>
      <c r="C72" s="2395" t="n"/>
      <c r="D72" s="2399" t="n"/>
      <c r="E72" s="2399" t="n"/>
      <c r="F72" s="2399" t="n"/>
      <c r="G72" s="2399" t="n"/>
      <c r="H72" s="2395" t="n"/>
      <c r="I72" s="2395" t="n"/>
      <c r="J72" s="2395" t="n"/>
      <c r="K72" s="2395" t="n"/>
      <c r="L72" s="2395" t="n"/>
      <c r="M72" s="2395" t="n"/>
      <c r="N72" s="2395" t="n"/>
      <c r="O72" s="2395" t="n"/>
      <c r="P72" s="2395" t="n"/>
      <c r="Q72" s="2395" t="n"/>
      <c r="R72" s="2395" t="n"/>
      <c r="S72" s="2395" t="n"/>
      <c r="T72" s="2395" t="n"/>
      <c r="U72" s="2395" t="n"/>
    </row>
    <row r="73" s="1449">
      <c r="A73" s="2395" t="n"/>
      <c r="B73" s="2407" t="inlineStr">
        <is>
          <t>MVS June 2024 Ed.</t>
        </is>
      </c>
      <c r="C73" s="2395">
        <f>IFERROR(INDEX(BC_OCC,MATCH($C$4&amp;"~"&amp;$C$6&amp;"~"&amp;$C$7,BC_KEY,0)),"")&amp;" | "&amp;$C$4</f>
        <v/>
      </c>
      <c r="D73" s="2399">
        <f>"Class: "&amp;$C$6&amp;" / "&amp;$C$7</f>
        <v/>
      </c>
      <c r="E73" s="2399" t="n"/>
      <c r="F73" s="2399" t="n"/>
      <c r="G73" s="2399" t="n"/>
      <c r="H73" s="2395" t="n"/>
      <c r="I73" s="2395" t="n"/>
      <c r="J73" s="2395" t="n"/>
      <c r="K73" s="2395" t="n"/>
      <c r="L73" s="2395" t="n"/>
      <c r="M73" s="2395" t="n"/>
      <c r="N73" s="2395" t="n"/>
      <c r="O73" s="2395" t="n"/>
      <c r="P73" s="2395" t="n"/>
      <c r="Q73" s="2395" t="n"/>
      <c r="R73" s="2395" t="n"/>
      <c r="S73" s="2395" t="n"/>
      <c r="T73" s="2395" t="n"/>
      <c r="U73" s="2395" t="n"/>
    </row>
    <row r="74" s="1449">
      <c r="A74" s="2395" t="n"/>
      <c r="B74" s="2407" t="inlineStr">
        <is>
          <t>Colorado -- WESTERN region (assumed)</t>
        </is>
      </c>
      <c r="C74" s="2395">
        <f>"CCM/De-trend: "&amp;TEXT(D33,"0.000")&amp;" | LAM: "&amp;TEXT(D34,"0.000")</f>
        <v/>
      </c>
      <c r="D74" s="2399">
        <f>"Sec.99 p.3/p.7 (Jan 2025 insert) + Sec.98 Denver de-trend"</f>
        <v/>
      </c>
      <c r="E74" s="2399" t="n"/>
      <c r="F74" s="2399" t="n"/>
      <c r="G74" s="2399" t="n"/>
      <c r="H74" s="2395" t="n"/>
      <c r="I74" s="2395" t="n"/>
      <c r="J74" s="2395" t="n"/>
      <c r="K74" s="2395" t="n"/>
      <c r="L74" s="2395" t="n"/>
      <c r="M74" s="2395" t="n"/>
      <c r="N74" s="2395" t="n"/>
      <c r="O74" s="2395" t="n"/>
      <c r="P74" s="2395" t="n"/>
      <c r="Q74" s="2395" t="n"/>
      <c r="R74" s="2395" t="n"/>
      <c r="S74" s="2395" t="n"/>
      <c r="T74" s="2395" t="n"/>
      <c r="U74" s="2395" t="n"/>
    </row>
    <row r="75" s="1449">
      <c r="A75" s="2395" t="n"/>
      <c r="B75" s="2407" t="n"/>
      <c r="C75" s="2395">
        <f>"Story Ht Mult: "&amp;TEXT(D36,"0.000")&amp;" | Area Mult: "&amp;TEXT(D35,"0.000")</f>
        <v/>
      </c>
      <c r="D75" s="2399" t="n"/>
      <c r="E75" s="2399" t="n"/>
      <c r="F75" s="2399" t="n"/>
      <c r="G75" s="2399" t="n"/>
      <c r="H75" s="2395" t="n"/>
      <c r="I75" s="2395" t="n"/>
      <c r="J75" s="2395" t="n"/>
      <c r="K75" s="2395" t="n"/>
      <c r="L75" s="2395" t="n"/>
      <c r="M75" s="2395" t="n"/>
      <c r="N75" s="2395" t="n"/>
      <c r="O75" s="2395" t="n"/>
      <c r="P75" s="2395" t="n"/>
      <c r="Q75" s="2395" t="n"/>
      <c r="R75" s="2395" t="n"/>
      <c r="S75" s="2395" t="n"/>
      <c r="T75" s="2395" t="n"/>
      <c r="U75" s="2395" t="n"/>
    </row>
    <row r="76" hidden="1" s="1449">
      <c r="A76" s="2395" t="n"/>
      <c r="B76" s="2407" t="n"/>
      <c r="C76" s="2417" t="n"/>
      <c r="D76" s="2399" t="n"/>
      <c r="E76" s="2399" t="n"/>
      <c r="F76" s="2399" t="n"/>
      <c r="G76" s="2399" t="n"/>
      <c r="H76" s="2395" t="n"/>
      <c r="I76" s="2395" t="n"/>
      <c r="J76" s="2395" t="n"/>
      <c r="K76" s="2395" t="n"/>
      <c r="L76" s="2395" t="n"/>
      <c r="M76" s="2395" t="n"/>
      <c r="N76" s="2395" t="n"/>
      <c r="O76" s="2395" t="n"/>
      <c r="P76" s="2395" t="n"/>
      <c r="Q76" s="2395" t="n"/>
      <c r="R76" s="2395" t="n"/>
      <c r="S76" s="2395" t="n"/>
      <c r="T76" s="2395" t="n"/>
      <c r="U76" s="2395" t="n"/>
    </row>
    <row r="77" hidden="1" s="1449">
      <c r="A77" s="2395" t="n"/>
      <c r="B77" s="2405" t="n"/>
      <c r="C77" s="2399" t="n"/>
      <c r="D77" s="2399" t="n"/>
      <c r="E77" s="2399" t="n"/>
      <c r="F77" s="2399" t="n"/>
      <c r="G77" s="2399" t="n"/>
      <c r="H77" s="2395" t="n"/>
      <c r="I77" s="2395" t="n"/>
      <c r="J77" s="2395" t="n"/>
      <c r="K77" s="2395" t="n"/>
      <c r="L77" s="2395" t="n"/>
      <c r="M77" s="2395" t="n"/>
      <c r="N77" s="2395" t="n"/>
      <c r="O77" s="2395" t="n"/>
      <c r="P77" s="2395" t="n"/>
      <c r="Q77" s="2395" t="n"/>
      <c r="R77" s="2395" t="n"/>
      <c r="S77" s="2395" t="n"/>
      <c r="T77" s="2395" t="n"/>
      <c r="U77" s="2395" t="n"/>
    </row>
    <row r="78" hidden="1" s="1449">
      <c r="A78" s="2395" t="n"/>
      <c r="B78" s="2407" t="n"/>
      <c r="C78" s="2399" t="n"/>
      <c r="D78" s="2414" t="n"/>
      <c r="E78" s="2414" t="n"/>
      <c r="F78" s="2399" t="n"/>
      <c r="G78" s="2399" t="n"/>
      <c r="H78" s="2395" t="n"/>
      <c r="I78" s="2395" t="n"/>
      <c r="J78" s="2395" t="n"/>
      <c r="K78" s="2395" t="n"/>
      <c r="L78" s="2395" t="n"/>
      <c r="M78" s="2395" t="n"/>
      <c r="N78" s="2395" t="n"/>
      <c r="O78" s="2395" t="n"/>
      <c r="P78" s="2395" t="n"/>
      <c r="Q78" s="2395" t="n"/>
      <c r="R78" s="2395" t="n"/>
      <c r="S78" s="2395" t="n"/>
      <c r="T78" s="2395" t="n"/>
      <c r="U78" s="2395" t="n"/>
    </row>
    <row r="79" hidden="1" s="1449">
      <c r="A79" s="2395" t="n"/>
      <c r="B79" s="2407" t="n"/>
      <c r="C79" s="2399" t="n"/>
      <c r="D79" s="2414" t="n"/>
      <c r="E79" s="2414" t="n"/>
      <c r="F79" s="2399" t="n"/>
      <c r="G79" s="2399" t="n"/>
      <c r="H79" s="2395" t="n"/>
      <c r="I79" s="2395" t="n"/>
      <c r="J79" s="2395" t="n"/>
      <c r="K79" s="2395" t="n"/>
      <c r="L79" s="2395" t="n"/>
      <c r="M79" s="2395" t="n"/>
      <c r="N79" s="2395" t="n"/>
      <c r="O79" s="2395" t="n"/>
      <c r="P79" s="2395" t="n"/>
      <c r="Q79" s="2395" t="n"/>
      <c r="R79" s="2395" t="n"/>
      <c r="S79" s="2395" t="n"/>
      <c r="T79" s="2395" t="n"/>
      <c r="U79" s="2395" t="n"/>
    </row>
    <row r="80" hidden="1" s="1449">
      <c r="A80" s="2395" t="n"/>
      <c r="B80" s="2407" t="n"/>
      <c r="C80" s="2399" t="n"/>
      <c r="D80" s="2414" t="n"/>
      <c r="E80" s="2414" t="n"/>
      <c r="F80" s="2399" t="n"/>
      <c r="G80" s="2399" t="n"/>
      <c r="H80" s="2395" t="n"/>
      <c r="I80" s="2395" t="n"/>
      <c r="J80" s="2395" t="n"/>
      <c r="K80" s="2395" t="n"/>
      <c r="L80" s="2395" t="n"/>
      <c r="M80" s="2395" t="n"/>
      <c r="N80" s="2395" t="n"/>
      <c r="O80" s="2395" t="n"/>
      <c r="P80" s="2395" t="n"/>
      <c r="Q80" s="2395" t="n"/>
      <c r="R80" s="2395" t="n"/>
      <c r="S80" s="2395" t="n"/>
      <c r="T80" s="2395" t="n"/>
      <c r="U80" s="2395" t="n"/>
    </row>
    <row r="81" hidden="1" s="1449">
      <c r="A81" s="2395" t="n"/>
      <c r="B81" s="2407" t="n"/>
      <c r="C81" s="2399" t="n"/>
      <c r="D81" s="2414" t="n"/>
      <c r="E81" s="2414" t="n"/>
      <c r="F81" s="2399" t="n"/>
      <c r="G81" s="2399" t="n"/>
      <c r="H81" s="2395" t="n"/>
      <c r="I81" s="2395" t="n"/>
      <c r="J81" s="2395" t="n"/>
      <c r="K81" s="2395" t="n"/>
      <c r="L81" s="2395" t="n"/>
      <c r="M81" s="2395" t="n"/>
      <c r="N81" s="2395" t="n"/>
      <c r="O81" s="2395" t="n"/>
      <c r="P81" s="2395" t="n"/>
      <c r="Q81" s="2395" t="n"/>
      <c r="R81" s="2395" t="n"/>
      <c r="S81" s="2395" t="n"/>
      <c r="T81" s="2395" t="n"/>
      <c r="U81" s="2395" t="n"/>
    </row>
    <row r="82" hidden="1" s="1449">
      <c r="A82" s="2395" t="n"/>
      <c r="B82" s="2407" t="n"/>
      <c r="C82" s="2399" t="n"/>
      <c r="D82" s="2414" t="n"/>
      <c r="E82" s="2414" t="n"/>
      <c r="F82" s="2414" t="n"/>
      <c r="G82" s="2399" t="n"/>
      <c r="H82" s="2395" t="n"/>
      <c r="I82" s="2395" t="n"/>
      <c r="J82" s="2395" t="n"/>
      <c r="K82" s="2395" t="n"/>
      <c r="L82" s="2395" t="n"/>
      <c r="M82" s="2395" t="n"/>
      <c r="N82" s="2395" t="n"/>
      <c r="O82" s="2395" t="n"/>
      <c r="P82" s="2395" t="n"/>
      <c r="Q82" s="2395" t="n"/>
      <c r="R82" s="2395" t="n"/>
      <c r="S82" s="2395" t="n"/>
      <c r="T82" s="2395" t="n"/>
      <c r="U82" s="2395" t="n"/>
    </row>
    <row r="83" hidden="1" s="1449">
      <c r="A83" s="2395" t="n"/>
      <c r="B83" s="2405" t="n"/>
      <c r="C83" s="2399" t="n"/>
      <c r="D83" s="2399" t="n"/>
      <c r="E83" s="2399" t="n"/>
      <c r="F83" s="2399" t="n"/>
      <c r="G83" s="2399" t="n"/>
      <c r="H83" s="2395" t="n"/>
      <c r="I83" s="2395" t="n"/>
      <c r="J83" s="2395" t="n"/>
      <c r="K83" s="2395" t="n"/>
      <c r="L83" s="2395" t="n"/>
      <c r="M83" s="2395" t="n"/>
      <c r="N83" s="2395" t="n"/>
      <c r="O83" s="2395" t="n"/>
      <c r="P83" s="2395" t="n"/>
      <c r="Q83" s="2395" t="n"/>
      <c r="R83" s="2395" t="n"/>
      <c r="S83" s="2395" t="n"/>
      <c r="T83" s="2395" t="n"/>
      <c r="U83" s="2395" t="n"/>
    </row>
    <row r="84" hidden="1" s="1449">
      <c r="A84" s="2395" t="n"/>
      <c r="B84" s="2405" t="n"/>
      <c r="C84" s="2399" t="n"/>
      <c r="D84" s="2399" t="n"/>
      <c r="E84" s="2399" t="n"/>
      <c r="F84" s="2399" t="n"/>
      <c r="G84" s="2399" t="n"/>
      <c r="H84" s="2395" t="n"/>
      <c r="I84" s="2395" t="n"/>
      <c r="J84" s="2395" t="n"/>
      <c r="K84" s="2395" t="n"/>
      <c r="L84" s="2395" t="n"/>
      <c r="M84" s="2395" t="n"/>
      <c r="N84" s="2395" t="n"/>
      <c r="O84" s="2395" t="n"/>
      <c r="P84" s="2395" t="n"/>
      <c r="Q84" s="2395" t="n"/>
      <c r="R84" s="2395" t="n"/>
      <c r="S84" s="2395" t="n"/>
      <c r="T84" s="2395" t="n"/>
      <c r="U84" s="2395" t="n"/>
    </row>
    <row r="85" hidden="1" s="1449">
      <c r="A85" s="2395" t="n"/>
      <c r="B85" s="2407" t="n"/>
      <c r="C85" s="2395" t="n"/>
      <c r="D85" s="2399" t="n"/>
      <c r="E85" s="2399" t="n"/>
      <c r="F85" s="2399" t="n"/>
      <c r="G85" s="2399" t="n"/>
      <c r="H85" s="2395" t="n"/>
      <c r="I85" s="2395" t="n"/>
      <c r="J85" s="2395" t="n"/>
      <c r="K85" s="2395" t="n"/>
      <c r="L85" s="2395" t="n"/>
      <c r="M85" s="2395" t="n"/>
      <c r="N85" s="2395" t="n"/>
      <c r="O85" s="2395" t="n"/>
      <c r="P85" s="2395" t="n"/>
      <c r="Q85" s="2395" t="n"/>
      <c r="R85" s="2395" t="n"/>
      <c r="S85" s="2395" t="n"/>
      <c r="T85" s="2395" t="n"/>
      <c r="U85" s="2395" t="n"/>
    </row>
    <row r="86" hidden="1" s="1449">
      <c r="A86" s="2395" t="n"/>
      <c r="B86" s="2407" t="n"/>
      <c r="C86" s="2395" t="n"/>
      <c r="D86" s="2399" t="n"/>
      <c r="E86" s="2399" t="n"/>
      <c r="F86" s="2399" t="n"/>
      <c r="G86" s="2399" t="n"/>
      <c r="H86" s="2395" t="n"/>
      <c r="I86" s="2395" t="n"/>
      <c r="J86" s="2395" t="n"/>
      <c r="K86" s="2395" t="n"/>
      <c r="L86" s="2395" t="n"/>
      <c r="M86" s="2395" t="n"/>
      <c r="N86" s="2395" t="n"/>
      <c r="O86" s="2395" t="n"/>
      <c r="P86" s="2395" t="n"/>
      <c r="Q86" s="2395" t="n"/>
      <c r="R86" s="2395" t="n"/>
      <c r="S86" s="2395" t="n"/>
      <c r="T86" s="2395" t="n"/>
      <c r="U86" s="2395" t="n"/>
    </row>
    <row r="87" hidden="1" s="1449">
      <c r="A87" s="2395" t="n"/>
      <c r="B87" s="2407" t="n"/>
      <c r="C87" s="2395" t="n"/>
      <c r="D87" s="2399" t="n"/>
      <c r="E87" s="2399" t="n"/>
      <c r="F87" s="2399" t="n"/>
      <c r="G87" s="2399" t="n"/>
      <c r="H87" s="2395" t="n"/>
      <c r="I87" s="2395" t="n"/>
      <c r="J87" s="2395" t="n"/>
      <c r="K87" s="2395" t="n"/>
      <c r="L87" s="2395" t="n"/>
      <c r="M87" s="2395" t="n"/>
      <c r="N87" s="2395" t="n"/>
      <c r="O87" s="2395" t="n"/>
      <c r="P87" s="2395" t="n"/>
      <c r="Q87" s="2395" t="n"/>
      <c r="R87" s="2395" t="n"/>
      <c r="S87" s="2395" t="n"/>
      <c r="T87" s="2395" t="n"/>
      <c r="U87" s="2395" t="n"/>
    </row>
    <row r="88" hidden="1" s="1449">
      <c r="A88" s="2395" t="n"/>
      <c r="B88" s="2407" t="n"/>
      <c r="C88" s="2399" t="n"/>
      <c r="D88" s="2399" t="n"/>
      <c r="E88" s="2399" t="n"/>
      <c r="F88" s="2399" t="n"/>
      <c r="G88" s="2399" t="n"/>
      <c r="H88" s="2395" t="n"/>
      <c r="I88" s="2395" t="n"/>
      <c r="J88" s="2395" t="n"/>
      <c r="K88" s="2395" t="n"/>
      <c r="L88" s="2395" t="n"/>
      <c r="M88" s="2395" t="n"/>
      <c r="N88" s="2395" t="n"/>
      <c r="O88" s="2395" t="n"/>
      <c r="P88" s="2395" t="n"/>
      <c r="Q88" s="2395" t="n"/>
      <c r="R88" s="2395" t="n"/>
      <c r="S88" s="2395" t="n"/>
      <c r="T88" s="2395" t="n"/>
      <c r="U88" s="2395" t="n"/>
    </row>
    <row r="89" hidden="1" s="1449">
      <c r="A89" s="2395" t="n"/>
      <c r="B89" s="2407" t="n"/>
      <c r="C89" s="2399" t="n"/>
      <c r="D89" s="2399" t="n"/>
      <c r="E89" s="2395" t="n"/>
      <c r="F89" s="2416" t="n"/>
      <c r="G89" s="2399" t="n"/>
      <c r="H89" s="2395" t="n"/>
      <c r="I89" s="2395" t="n"/>
      <c r="J89" s="2395" t="n"/>
      <c r="K89" s="2395" t="n"/>
      <c r="L89" s="2395" t="n"/>
      <c r="M89" s="2395" t="n"/>
      <c r="N89" s="2395" t="n"/>
      <c r="O89" s="2395" t="n"/>
      <c r="P89" s="2395" t="n"/>
      <c r="Q89" s="2395" t="n"/>
      <c r="R89" s="2395" t="n"/>
      <c r="S89" s="2395" t="n"/>
      <c r="T89" s="2395" t="n"/>
      <c r="U89" s="2395" t="n"/>
    </row>
    <row r="90" hidden="1" s="1449">
      <c r="A90" s="2395" t="n"/>
      <c r="B90" s="2405" t="n"/>
      <c r="C90" s="2399" t="n"/>
      <c r="D90" s="2395" t="n"/>
      <c r="E90" s="2395" t="n"/>
      <c r="F90" s="2416" t="n"/>
      <c r="G90" s="2399" t="n"/>
      <c r="H90" s="2395" t="n"/>
      <c r="I90" s="2395" t="n"/>
      <c r="J90" s="2395" t="n"/>
      <c r="K90" s="2395" t="n"/>
      <c r="L90" s="2395" t="n"/>
      <c r="M90" s="2395" t="n"/>
      <c r="N90" s="2395" t="n"/>
      <c r="O90" s="2395" t="n"/>
      <c r="P90" s="2395" t="n"/>
      <c r="Q90" s="2395" t="n"/>
      <c r="R90" s="2395" t="n"/>
      <c r="S90" s="2395" t="n"/>
      <c r="T90" s="2395" t="n"/>
      <c r="U90" s="2395" t="n"/>
    </row>
    <row r="91" hidden="1" s="1449">
      <c r="A91" s="2395" t="n"/>
      <c r="B91" s="2405" t="n"/>
      <c r="C91" s="2399" t="n"/>
      <c r="D91" s="2395" t="n"/>
      <c r="E91" s="2395" t="n"/>
      <c r="F91" s="2399" t="n"/>
      <c r="G91" s="2399" t="n"/>
      <c r="H91" s="2395" t="n"/>
      <c r="I91" s="2395" t="n"/>
      <c r="J91" s="2395" t="n"/>
      <c r="K91" s="2395" t="n"/>
      <c r="L91" s="2395" t="n"/>
      <c r="M91" s="2395" t="n"/>
      <c r="N91" s="2395" t="n"/>
      <c r="O91" s="2395" t="n"/>
      <c r="P91" s="2395" t="n"/>
      <c r="Q91" s="2395" t="n"/>
      <c r="R91" s="2395" t="n"/>
      <c r="S91" s="2395" t="n"/>
      <c r="T91" s="2395" t="n"/>
      <c r="U91" s="2395" t="n"/>
    </row>
    <row r="92" hidden="1" s="1449">
      <c r="A92" s="2395" t="n"/>
      <c r="B92" s="2407" t="n"/>
      <c r="C92" s="2399" t="n"/>
      <c r="D92" s="2417" t="n"/>
      <c r="E92" s="2417" t="n"/>
      <c r="F92" s="2399" t="n"/>
      <c r="G92" s="2399" t="n"/>
      <c r="H92" s="2395" t="n"/>
      <c r="I92" s="2395" t="n"/>
      <c r="J92" s="2395" t="n"/>
      <c r="K92" s="2395" t="n"/>
      <c r="L92" s="2395" t="n"/>
      <c r="M92" s="2395" t="n"/>
      <c r="N92" s="2395" t="n"/>
      <c r="O92" s="2395" t="n"/>
      <c r="P92" s="2395" t="n"/>
      <c r="Q92" s="2395" t="n"/>
      <c r="R92" s="2395" t="n"/>
      <c r="S92" s="2395" t="n"/>
      <c r="T92" s="2395" t="n"/>
      <c r="U92" s="2395" t="n"/>
    </row>
    <row r="93" hidden="1" s="1449">
      <c r="A93" s="2395" t="n"/>
      <c r="B93" s="2405" t="n"/>
      <c r="C93" s="2399" t="n"/>
      <c r="D93" s="2399" t="n"/>
      <c r="E93" s="2399" t="n"/>
      <c r="F93" s="2399" t="n"/>
      <c r="G93" s="2399" t="n"/>
      <c r="H93" s="2395" t="n"/>
      <c r="I93" s="2395" t="n"/>
      <c r="J93" s="2395" t="n"/>
      <c r="K93" s="2395" t="n"/>
      <c r="L93" s="2395" t="n"/>
      <c r="M93" s="2395" t="n"/>
      <c r="N93" s="2395" t="n"/>
      <c r="O93" s="2395" t="n"/>
      <c r="P93" s="2395" t="n"/>
      <c r="Q93" s="2395" t="n"/>
      <c r="R93" s="2395" t="n"/>
      <c r="S93" s="2395" t="n"/>
      <c r="T93" s="2395" t="n"/>
      <c r="U93" s="2395" t="n"/>
    </row>
    <row r="94" hidden="1" s="1449">
      <c r="A94" s="2395" t="n"/>
      <c r="B94" s="2407" t="n"/>
      <c r="C94" s="2399" t="n"/>
      <c r="D94" s="2417" t="n"/>
      <c r="E94" s="2417" t="n"/>
      <c r="F94" s="2395" t="n"/>
      <c r="G94" s="2399" t="n"/>
      <c r="H94" s="2395" t="n"/>
      <c r="I94" s="2395" t="n"/>
      <c r="J94" s="2395" t="n"/>
      <c r="K94" s="2395" t="n"/>
      <c r="L94" s="2395" t="n"/>
      <c r="M94" s="2395" t="n"/>
      <c r="N94" s="2395" t="n"/>
      <c r="O94" s="2395" t="n"/>
      <c r="P94" s="2395" t="n"/>
      <c r="Q94" s="2395" t="n"/>
      <c r="R94" s="2395" t="n"/>
      <c r="S94" s="2395" t="n"/>
      <c r="T94" s="2395" t="n"/>
      <c r="U94" s="2395" t="n"/>
    </row>
    <row r="95" hidden="1" s="1449">
      <c r="A95" s="2395" t="n"/>
      <c r="B95" s="2405" t="n"/>
      <c r="C95" s="2399" t="n"/>
      <c r="D95" s="2399" t="n"/>
      <c r="E95" s="2399" t="n"/>
      <c r="F95" s="2399" t="n"/>
      <c r="G95" s="2399" t="n"/>
      <c r="H95" s="2395" t="n"/>
      <c r="I95" s="2395" t="n"/>
      <c r="J95" s="2395" t="n"/>
      <c r="K95" s="2395" t="n"/>
      <c r="L95" s="2395" t="n"/>
      <c r="M95" s="2395" t="n"/>
      <c r="N95" s="2395" t="n"/>
      <c r="O95" s="2395" t="n"/>
      <c r="P95" s="2395" t="n"/>
      <c r="Q95" s="2395" t="n"/>
      <c r="R95" s="2395" t="n"/>
      <c r="S95" s="2395" t="n"/>
      <c r="T95" s="2395" t="n"/>
      <c r="U95" s="2395" t="n"/>
    </row>
    <row r="96" hidden="1" s="1449">
      <c r="A96" s="2395" t="n"/>
      <c r="B96" s="2407" t="n"/>
      <c r="C96" s="2399" t="n"/>
      <c r="D96" s="2399" t="n"/>
      <c r="E96" s="2399" t="n"/>
      <c r="F96" s="2399" t="n"/>
      <c r="G96" s="2399" t="n"/>
      <c r="H96" s="2395" t="n"/>
      <c r="I96" s="2395" t="n"/>
      <c r="J96" s="2395" t="n"/>
      <c r="K96" s="2395" t="n"/>
      <c r="L96" s="2395" t="n"/>
      <c r="M96" s="2395" t="n"/>
      <c r="N96" s="2395" t="n"/>
      <c r="O96" s="2395" t="n"/>
      <c r="P96" s="2395" t="n"/>
      <c r="Q96" s="2395" t="n"/>
      <c r="R96" s="2395" t="n"/>
      <c r="S96" s="2395" t="n"/>
      <c r="T96" s="2395" t="n"/>
      <c r="U96" s="2395" t="n"/>
    </row>
    <row r="97" hidden="1" s="1449">
      <c r="A97" s="2395" t="n"/>
      <c r="B97" s="2399" t="n"/>
      <c r="C97" s="2399" t="n"/>
      <c r="D97" s="2399" t="n"/>
      <c r="E97" s="2399" t="n"/>
      <c r="F97" s="2399" t="n"/>
      <c r="G97" s="2399" t="n"/>
      <c r="H97" s="2395" t="n"/>
      <c r="I97" s="2395" t="n"/>
      <c r="J97" s="2395" t="n"/>
      <c r="K97" s="2395" t="n"/>
      <c r="L97" s="2395" t="n"/>
      <c r="M97" s="2395" t="n"/>
      <c r="N97" s="2395" t="n"/>
      <c r="O97" s="2395" t="n"/>
      <c r="P97" s="2395" t="n"/>
      <c r="Q97" s="2395" t="n"/>
      <c r="R97" s="2395" t="n"/>
      <c r="S97" s="2395" t="n"/>
      <c r="T97" s="2395" t="n"/>
      <c r="U97" s="2395" t="n"/>
    </row>
    <row r="98" hidden="1" s="1449">
      <c r="A98" s="2395" t="n"/>
      <c r="B98" s="2399" t="n"/>
      <c r="C98" s="2399" t="n"/>
      <c r="D98" s="2399" t="n"/>
      <c r="E98" s="2399" t="n"/>
      <c r="F98" s="2399" t="n"/>
      <c r="G98" s="2399" t="n"/>
      <c r="H98" s="2395" t="n"/>
      <c r="I98" s="2395" t="n"/>
      <c r="J98" s="2395" t="n"/>
      <c r="K98" s="2395" t="n"/>
      <c r="L98" s="2395" t="n"/>
      <c r="M98" s="2395" t="n"/>
      <c r="N98" s="2395" t="n"/>
      <c r="O98" s="2395" t="n"/>
      <c r="P98" s="2395" t="n"/>
      <c r="Q98" s="2395" t="n"/>
      <c r="R98" s="2395" t="n"/>
      <c r="S98" s="2395" t="n"/>
      <c r="T98" s="2395" t="n"/>
      <c r="U98" s="2395" t="n"/>
    </row>
    <row r="99" hidden="1" s="1449">
      <c r="A99" s="2395" t="n"/>
      <c r="B99" s="2405" t="n"/>
      <c r="C99" s="2399" t="n"/>
      <c r="D99" s="2399" t="n"/>
      <c r="E99" s="2399" t="n"/>
      <c r="F99" s="2399" t="n"/>
      <c r="G99" s="2399" t="n"/>
      <c r="H99" s="2395" t="n"/>
      <c r="I99" s="2395" t="n"/>
      <c r="J99" s="2395" t="n"/>
      <c r="K99" s="2395" t="n"/>
      <c r="L99" s="2395" t="n"/>
      <c r="M99" s="2395" t="n"/>
      <c r="N99" s="2395" t="n"/>
      <c r="O99" s="2395" t="n"/>
      <c r="P99" s="2395" t="n"/>
      <c r="Q99" s="2395" t="n"/>
      <c r="R99" s="2395" t="n"/>
      <c r="S99" s="2395" t="n"/>
      <c r="T99" s="2395" t="n"/>
      <c r="U99" s="2395" t="n"/>
    </row>
    <row r="100" hidden="1" s="1449">
      <c r="A100" s="2395" t="n"/>
      <c r="B100" s="2407" t="n"/>
      <c r="C100" s="2399" t="n"/>
      <c r="D100" s="2399" t="n"/>
      <c r="E100" s="2399" t="n"/>
      <c r="F100" s="2399" t="n"/>
      <c r="G100" s="2399" t="n"/>
      <c r="H100" s="2395" t="n"/>
      <c r="I100" s="2395" t="n"/>
      <c r="J100" s="2395" t="n"/>
      <c r="K100" s="2395" t="n"/>
      <c r="L100" s="2395" t="n"/>
      <c r="M100" s="2395" t="n"/>
      <c r="N100" s="2395" t="n"/>
      <c r="O100" s="2395" t="n"/>
      <c r="P100" s="2395" t="n"/>
      <c r="Q100" s="2395" t="n"/>
      <c r="R100" s="2395" t="n"/>
      <c r="S100" s="2395" t="n"/>
      <c r="T100" s="2395" t="n"/>
      <c r="U100" s="2395" t="n"/>
    </row>
    <row r="101" hidden="1" s="1449">
      <c r="A101" s="2395" t="n"/>
      <c r="B101" s="2407" t="n"/>
      <c r="C101" s="2399" t="n"/>
      <c r="D101" s="2399" t="n"/>
      <c r="E101" s="2399" t="n"/>
      <c r="F101" s="2399" t="n"/>
      <c r="G101" s="2399" t="n"/>
      <c r="H101" s="2395" t="n"/>
      <c r="I101" s="2395" t="n"/>
      <c r="J101" s="2395" t="n"/>
      <c r="K101" s="2395" t="n"/>
      <c r="L101" s="2395" t="n"/>
      <c r="M101" s="2395" t="n"/>
      <c r="N101" s="2395" t="n"/>
      <c r="O101" s="2395" t="n"/>
      <c r="P101" s="2395" t="n"/>
      <c r="Q101" s="2395" t="n"/>
      <c r="R101" s="2395" t="n"/>
      <c r="S101" s="2395" t="n"/>
      <c r="T101" s="2395" t="n"/>
      <c r="U101" s="2395" t="n"/>
    </row>
    <row r="102" hidden="1" s="1449">
      <c r="A102" s="2395" t="n"/>
      <c r="B102" s="2418" t="n"/>
      <c r="C102" s="2399" t="n"/>
      <c r="D102" s="2399" t="n"/>
      <c r="E102" s="2399" t="n"/>
      <c r="F102" s="2399" t="n"/>
      <c r="G102" s="2399" t="n"/>
      <c r="H102" s="2395" t="n"/>
      <c r="I102" s="2395" t="n"/>
      <c r="J102" s="2395" t="n"/>
      <c r="K102" s="2395" t="n"/>
      <c r="L102" s="2395" t="n"/>
      <c r="M102" s="2395" t="n"/>
      <c r="N102" s="2395" t="n"/>
      <c r="O102" s="2395" t="n"/>
      <c r="P102" s="2395" t="n"/>
      <c r="Q102" s="2395" t="n"/>
      <c r="R102" s="2395" t="n"/>
      <c r="S102" s="2395" t="n"/>
      <c r="T102" s="2395" t="n"/>
      <c r="U102" s="2395" t="n"/>
    </row>
    <row r="103" hidden="1" s="1449">
      <c r="A103" s="2395" t="n"/>
      <c r="B103" s="2418" t="n"/>
      <c r="C103" s="2399" t="n"/>
      <c r="D103" s="2399" t="n"/>
      <c r="E103" s="2399" t="n"/>
      <c r="F103" s="2399" t="n"/>
      <c r="G103" s="2399" t="n"/>
      <c r="H103" s="2395" t="n"/>
      <c r="I103" s="2395" t="n"/>
      <c r="J103" s="2395" t="n"/>
      <c r="K103" s="2395" t="n"/>
      <c r="L103" s="2395" t="n"/>
      <c r="M103" s="2395" t="n"/>
      <c r="N103" s="2395" t="n"/>
      <c r="O103" s="2395" t="n"/>
      <c r="P103" s="2395" t="n"/>
      <c r="Q103" s="2395" t="n"/>
      <c r="R103" s="2395" t="n"/>
      <c r="S103" s="2395" t="n"/>
      <c r="T103" s="2395" t="n"/>
      <c r="U103" s="2395" t="n"/>
    </row>
    <row r="104" hidden="1" s="1449">
      <c r="A104" s="2395" t="n"/>
      <c r="B104" s="2418" t="n"/>
      <c r="C104" s="2399" t="n"/>
      <c r="D104" s="2399" t="n"/>
      <c r="E104" s="2399" t="n"/>
      <c r="F104" s="2399" t="n"/>
      <c r="G104" s="2399" t="n"/>
      <c r="H104" s="2395" t="n"/>
      <c r="I104" s="2395" t="n"/>
      <c r="J104" s="2395" t="n"/>
      <c r="K104" s="2395" t="n"/>
      <c r="L104" s="2395" t="n"/>
      <c r="M104" s="2395" t="n"/>
      <c r="N104" s="2395" t="n"/>
      <c r="O104" s="2395" t="n"/>
      <c r="P104" s="2395" t="n"/>
      <c r="Q104" s="2395" t="n"/>
      <c r="R104" s="2395" t="n"/>
      <c r="S104" s="2395" t="n"/>
      <c r="T104" s="2395" t="n"/>
      <c r="U104" s="2395" t="n"/>
    </row>
    <row r="105" hidden="1" s="1449">
      <c r="A105" s="2395" t="n"/>
      <c r="B105" s="2405" t="n"/>
      <c r="C105" s="2399" t="n"/>
      <c r="D105" s="2399" t="n"/>
      <c r="E105" s="2399" t="n"/>
      <c r="F105" s="2399" t="n"/>
      <c r="G105" s="2399" t="n"/>
      <c r="H105" s="2395" t="n"/>
      <c r="I105" s="2395" t="n"/>
      <c r="J105" s="2395" t="n"/>
      <c r="K105" s="2395" t="n"/>
      <c r="L105" s="2395" t="n"/>
      <c r="M105" s="2395" t="n"/>
      <c r="N105" s="2395" t="n"/>
      <c r="O105" s="2395" t="n"/>
      <c r="P105" s="2395" t="n"/>
      <c r="Q105" s="2395" t="n"/>
      <c r="R105" s="2395" t="n"/>
      <c r="S105" s="2395" t="n"/>
      <c r="T105" s="2395" t="n"/>
      <c r="U105" s="2395" t="n"/>
    </row>
    <row r="106" hidden="1" s="1449">
      <c r="A106" s="2395" t="n"/>
      <c r="B106" s="2405" t="n"/>
      <c r="C106" s="2399" t="n"/>
      <c r="D106" s="2399" t="n"/>
      <c r="E106" s="2399" t="n"/>
      <c r="F106" s="2399" t="n"/>
      <c r="G106" s="2399" t="n"/>
      <c r="H106" s="2395" t="n"/>
      <c r="I106" s="2395" t="n"/>
      <c r="J106" s="2395" t="n"/>
      <c r="K106" s="2395" t="n"/>
      <c r="L106" s="2395" t="n"/>
      <c r="M106" s="2395" t="n"/>
      <c r="N106" s="2395" t="n"/>
      <c r="O106" s="2395" t="n"/>
      <c r="P106" s="2395" t="n"/>
      <c r="Q106" s="2395" t="n"/>
      <c r="R106" s="2395" t="n"/>
      <c r="S106" s="2395" t="n"/>
      <c r="T106" s="2395" t="n"/>
      <c r="U106" s="2395" t="n"/>
    </row>
    <row r="107" hidden="1" s="1449">
      <c r="A107" s="2395" t="n"/>
      <c r="B107" s="2405" t="n"/>
      <c r="C107" s="2419" t="n"/>
      <c r="D107" s="2399" t="n"/>
      <c r="E107" s="2399" t="n"/>
      <c r="F107" s="2399" t="n"/>
      <c r="G107" s="2399" t="n"/>
      <c r="H107" s="2395" t="n"/>
      <c r="I107" s="2395" t="n"/>
      <c r="J107" s="2395" t="n"/>
      <c r="K107" s="2395" t="n"/>
      <c r="L107" s="2395" t="n"/>
      <c r="M107" s="2395" t="n"/>
      <c r="N107" s="2395" t="n"/>
      <c r="O107" s="2395" t="n"/>
      <c r="P107" s="2395" t="n"/>
      <c r="Q107" s="2395" t="n"/>
      <c r="R107" s="2395" t="n"/>
      <c r="S107" s="2395" t="n"/>
      <c r="T107" s="2395" t="n"/>
      <c r="U107" s="2395" t="n"/>
    </row>
    <row r="108" hidden="1" s="1449">
      <c r="A108" s="2395" t="n"/>
      <c r="B108" s="2399" t="n"/>
      <c r="C108" s="2399" t="n"/>
      <c r="D108" s="2399" t="n"/>
      <c r="E108" s="2399" t="n"/>
      <c r="F108" s="2399" t="n"/>
      <c r="G108" s="2399" t="n"/>
      <c r="H108" s="2395" t="n"/>
      <c r="I108" s="2395" t="n"/>
      <c r="J108" s="2395" t="n"/>
      <c r="K108" s="2395" t="n"/>
      <c r="L108" s="2395" t="n"/>
      <c r="M108" s="2395" t="n"/>
      <c r="N108" s="2395" t="n"/>
      <c r="O108" s="2395" t="n"/>
      <c r="P108" s="2395" t="n"/>
      <c r="Q108" s="2395" t="n"/>
      <c r="R108" s="2395" t="n"/>
      <c r="S108" s="2395" t="n"/>
      <c r="T108" s="2395" t="n"/>
      <c r="U108" s="2395" t="n"/>
    </row>
    <row r="109" hidden="1" s="1449">
      <c r="A109" s="2395" t="n"/>
      <c r="B109" s="2407" t="n"/>
      <c r="C109" s="2399" t="n"/>
      <c r="D109" s="2399" t="n"/>
      <c r="E109" s="2399" t="n"/>
      <c r="F109" s="2399" t="n"/>
      <c r="G109" s="2399" t="n"/>
      <c r="H109" s="2395" t="n"/>
      <c r="I109" s="2395" t="n"/>
      <c r="J109" s="2395" t="n"/>
      <c r="K109" s="2395" t="n"/>
      <c r="L109" s="2395" t="n"/>
      <c r="M109" s="2395" t="n"/>
      <c r="N109" s="2395" t="n"/>
      <c r="O109" s="2395" t="n"/>
      <c r="P109" s="2395" t="n"/>
      <c r="Q109" s="2395" t="n"/>
      <c r="R109" s="2395" t="n"/>
      <c r="S109" s="2395" t="n"/>
      <c r="T109" s="2395" t="n"/>
      <c r="U109" s="2395" t="n"/>
    </row>
    <row r="110" hidden="1" s="1449">
      <c r="A110" s="2395" t="n"/>
      <c r="B110" s="2405" t="n"/>
      <c r="C110" s="2399" t="n"/>
      <c r="D110" s="2399" t="n"/>
      <c r="E110" s="2399" t="n"/>
      <c r="F110" s="2399" t="n"/>
      <c r="G110" s="2399" t="n"/>
      <c r="H110" s="2395" t="n"/>
      <c r="I110" s="2395" t="n"/>
      <c r="J110" s="2395" t="n"/>
      <c r="K110" s="2395" t="n"/>
      <c r="L110" s="2395" t="n"/>
      <c r="M110" s="2395" t="n"/>
      <c r="N110" s="2395" t="n"/>
      <c r="O110" s="2395" t="n"/>
      <c r="P110" s="2395" t="n"/>
      <c r="Q110" s="2425" t="n"/>
      <c r="R110" s="2399" t="n"/>
      <c r="S110" s="2395" t="n"/>
      <c r="T110" s="2395" t="n"/>
      <c r="U110" s="2395" t="n"/>
    </row>
    <row r="111" hidden="1" s="1449">
      <c r="A111" s="2395" t="n"/>
      <c r="B111" s="2399" t="n"/>
      <c r="C111" s="2419" t="n"/>
      <c r="D111" s="2399" t="n"/>
      <c r="E111" s="2399" t="n"/>
      <c r="F111" s="2399" t="n"/>
      <c r="G111" s="2399" t="n"/>
      <c r="H111" s="2395" t="n"/>
      <c r="I111" s="2395" t="n"/>
      <c r="J111" s="2395" t="n"/>
      <c r="K111" s="2395" t="n"/>
      <c r="L111" s="2395" t="n"/>
      <c r="M111" s="2395" t="n"/>
      <c r="N111" s="2395" t="n"/>
      <c r="O111" s="2395" t="n"/>
      <c r="P111" s="2395" t="n"/>
      <c r="Q111" s="2425" t="n"/>
      <c r="R111" s="2399" t="n"/>
      <c r="S111" s="2395" t="n"/>
      <c r="T111" s="2395" t="n"/>
      <c r="U111" s="2395" t="n"/>
    </row>
    <row r="112" hidden="1" s="1449">
      <c r="A112" s="2395" t="n"/>
      <c r="B112" s="2399" t="n"/>
      <c r="C112" s="2399" t="n"/>
      <c r="D112" s="2399" t="n"/>
      <c r="E112" s="2399" t="n"/>
      <c r="F112" s="2399" t="n"/>
      <c r="G112" s="2399" t="n"/>
      <c r="H112" s="2395" t="n"/>
      <c r="I112" s="2395" t="n"/>
      <c r="J112" s="2395" t="n"/>
      <c r="K112" s="2395" t="n"/>
      <c r="L112" s="2395" t="n"/>
      <c r="M112" s="2395" t="n"/>
      <c r="N112" s="2395" t="n"/>
      <c r="O112" s="2395" t="n"/>
      <c r="P112" s="2395" t="n"/>
      <c r="Q112" s="2395" t="n"/>
      <c r="R112" s="2395" t="n"/>
      <c r="S112" s="2395" t="n"/>
      <c r="T112" s="2395" t="n"/>
      <c r="U112" s="2395" t="n"/>
    </row>
    <row r="113" hidden="1" s="1449">
      <c r="A113" s="2395" t="n"/>
      <c r="B113" s="2399" t="n"/>
      <c r="C113" s="2399" t="n"/>
      <c r="D113" s="2399" t="n"/>
      <c r="E113" s="2399" t="n"/>
      <c r="F113" s="2399" t="n"/>
      <c r="G113" s="2399" t="n"/>
      <c r="H113" s="2395" t="n"/>
      <c r="I113" s="2395" t="n"/>
      <c r="J113" s="2395" t="n"/>
      <c r="K113" s="2395" t="n"/>
      <c r="L113" s="2395" t="n"/>
      <c r="M113" s="2395" t="n"/>
      <c r="N113" s="2395" t="n"/>
      <c r="O113" s="2395" t="n"/>
      <c r="P113" s="2395" t="n"/>
      <c r="Q113" s="2395" t="n"/>
      <c r="R113" s="2395" t="n"/>
      <c r="S113" s="2395" t="n"/>
      <c r="T113" s="2395" t="n"/>
      <c r="U113" s="2395" t="n"/>
    </row>
    <row r="114" hidden="1" s="1449">
      <c r="A114" s="2395" t="n"/>
      <c r="B114" s="2420" t="n"/>
      <c r="C114" s="2421" t="n"/>
      <c r="D114" s="2399" t="n"/>
      <c r="E114" s="2399" t="n"/>
      <c r="F114" s="2399" t="n"/>
      <c r="G114" s="2395" t="n"/>
      <c r="H114" s="2395" t="n"/>
      <c r="I114" s="2395" t="n"/>
      <c r="J114" s="2395" t="n"/>
      <c r="K114" s="2395" t="n"/>
      <c r="L114" s="2395" t="n"/>
      <c r="M114" s="2395" t="n"/>
      <c r="N114" s="2395" t="n"/>
      <c r="O114" s="2395" t="n"/>
      <c r="P114" s="2395" t="n"/>
      <c r="Q114" s="2395" t="n"/>
      <c r="R114" s="2395" t="n"/>
      <c r="S114" s="2395" t="n"/>
      <c r="T114" s="2395" t="n"/>
      <c r="U114" s="2395" t="n"/>
    </row>
    <row r="115" hidden="1" s="1449">
      <c r="A115" s="2395" t="n"/>
      <c r="B115" s="2405" t="n"/>
      <c r="C115" s="2399" t="n"/>
      <c r="D115" s="2399" t="n"/>
      <c r="E115" s="2399" t="n"/>
      <c r="F115" s="2399" t="n"/>
      <c r="G115" s="2416" t="n"/>
      <c r="H115" s="2395" t="n"/>
      <c r="I115" s="2395" t="n"/>
      <c r="J115" s="2395" t="n"/>
      <c r="K115" s="2395" t="n"/>
      <c r="L115" s="2395" t="n"/>
      <c r="M115" s="2395" t="n"/>
      <c r="N115" s="2395" t="n"/>
      <c r="O115" s="2395" t="n"/>
      <c r="P115" s="2395" t="n"/>
      <c r="Q115" s="2395" t="n"/>
      <c r="R115" s="2395" t="n"/>
      <c r="S115" s="2395" t="n"/>
      <c r="T115" s="2395" t="n"/>
      <c r="U115" s="2395" t="n"/>
    </row>
    <row r="116" hidden="1" s="1449">
      <c r="A116" s="2395" t="n"/>
      <c r="B116" s="2396" t="n"/>
      <c r="C116" s="2396" t="n"/>
      <c r="D116" s="2399" t="n"/>
      <c r="E116" s="2425" t="n"/>
      <c r="F116" s="2425" t="n"/>
      <c r="G116" s="2425" t="n"/>
      <c r="H116" s="2395" t="n"/>
      <c r="I116" s="2395" t="n"/>
      <c r="J116" s="2395" t="n"/>
      <c r="K116" s="2395" t="n"/>
      <c r="L116" s="2395" t="n"/>
      <c r="M116" s="2395" t="n"/>
      <c r="N116" s="2395" t="n"/>
      <c r="O116" s="2395" t="n"/>
      <c r="P116" s="2395" t="n"/>
      <c r="Q116" s="2395" t="n"/>
      <c r="R116" s="2395" t="n"/>
      <c r="S116" s="2395" t="n"/>
      <c r="T116" s="2395" t="n"/>
      <c r="U116" s="2395" t="n"/>
    </row>
    <row r="117" hidden="1" s="1449">
      <c r="A117" s="2395" t="n"/>
      <c r="B117" s="2422" t="n"/>
      <c r="C117" s="2422" t="n"/>
      <c r="D117" s="2422" t="n"/>
      <c r="E117" s="2422" t="n"/>
      <c r="F117" s="2422" t="n"/>
      <c r="G117" s="2422" t="n"/>
      <c r="H117" s="2395" t="n"/>
      <c r="I117" s="2395" t="n"/>
      <c r="J117" s="2395" t="n"/>
      <c r="K117" s="2395" t="n"/>
      <c r="L117" s="2395" t="n"/>
      <c r="M117" s="2395" t="n"/>
      <c r="N117" s="2395" t="n"/>
      <c r="O117" s="2395" t="n"/>
      <c r="P117" s="2395" t="n"/>
      <c r="Q117" s="2395" t="n"/>
      <c r="R117" s="2395" t="n"/>
      <c r="S117" s="2395" t="n"/>
      <c r="T117" s="2395" t="n"/>
      <c r="U117" s="2395" t="n"/>
    </row>
    <row r="118" hidden="1" s="1449">
      <c r="A118" s="2395" t="n"/>
      <c r="B118" s="2395" t="n"/>
      <c r="C118" s="2395" t="n"/>
      <c r="D118" s="2395" t="n"/>
      <c r="E118" s="2395" t="n"/>
      <c r="F118" s="2395" t="n"/>
      <c r="G118" s="2395" t="n"/>
      <c r="H118" s="2395" t="n"/>
      <c r="I118" s="2395" t="n"/>
      <c r="J118" s="2395" t="n"/>
      <c r="K118" s="2395" t="n"/>
      <c r="L118" s="2395" t="n"/>
      <c r="M118" s="2395" t="n"/>
      <c r="N118" s="2395" t="n"/>
      <c r="O118" s="2395" t="n"/>
      <c r="P118" s="2395" t="n"/>
      <c r="Q118" s="2425" t="n"/>
      <c r="R118" s="2399" t="n"/>
      <c r="S118" s="2395" t="n"/>
      <c r="T118" s="2395" t="n"/>
      <c r="U118" s="2395" t="n"/>
    </row>
    <row r="119" hidden="1" s="1449">
      <c r="A119" s="2395" t="n"/>
      <c r="B119" s="2417" t="n"/>
      <c r="C119" s="2395" t="n"/>
      <c r="D119" s="2395" t="n"/>
      <c r="E119" s="2395" t="n"/>
      <c r="F119" s="2395" t="n"/>
      <c r="G119" s="2395" t="n"/>
      <c r="H119" s="2395" t="n"/>
      <c r="I119" s="2395" t="n"/>
      <c r="J119" s="2395" t="n"/>
      <c r="K119" s="2395" t="n"/>
      <c r="L119" s="2395" t="n"/>
      <c r="M119" s="2395" t="n"/>
      <c r="N119" s="2395" t="n"/>
      <c r="O119" s="2395" t="n"/>
      <c r="P119" s="2395" t="n"/>
      <c r="Q119" s="2425" t="n"/>
      <c r="R119" s="2399" t="n"/>
      <c r="S119" s="2395" t="n"/>
      <c r="T119" s="2395" t="n"/>
      <c r="U119" s="2395" t="n"/>
    </row>
    <row r="120" hidden="1" s="1449">
      <c r="A120" s="2395" t="n"/>
      <c r="B120" s="2396" t="n"/>
      <c r="C120" s="2399" t="n"/>
      <c r="D120" s="2426" t="n"/>
      <c r="E120" s="2395" t="n"/>
      <c r="F120" s="2395" t="n"/>
      <c r="G120" s="2395" t="n"/>
      <c r="H120" s="2395" t="n"/>
      <c r="I120" s="2395" t="n"/>
      <c r="J120" s="2395" t="n"/>
      <c r="K120" s="2395" t="n"/>
      <c r="L120" s="2395" t="n"/>
      <c r="M120" s="2395" t="n"/>
      <c r="N120" s="2395" t="n"/>
      <c r="O120" s="2395" t="n"/>
      <c r="P120" s="2395" t="n"/>
      <c r="Q120" s="2425" t="n"/>
      <c r="R120" s="2399" t="n"/>
      <c r="S120" s="2395" t="n"/>
      <c r="T120" s="2395" t="n"/>
      <c r="U120" s="2395" t="n"/>
    </row>
    <row r="121" hidden="1" s="1449">
      <c r="A121" s="2395" t="n"/>
      <c r="B121" s="2396" t="n"/>
      <c r="C121" s="2399" t="n"/>
      <c r="D121" s="2427" t="n"/>
      <c r="E121" s="2395" t="n"/>
      <c r="F121" s="2395" t="n"/>
      <c r="G121" s="2395" t="n"/>
      <c r="H121" s="2395" t="n"/>
      <c r="I121" s="2395" t="n"/>
      <c r="J121" s="2395" t="n"/>
      <c r="K121" s="2395" t="n"/>
      <c r="L121" s="2395" t="n"/>
      <c r="M121" s="2395" t="n"/>
      <c r="N121" s="2395" t="n"/>
      <c r="O121" s="2395" t="n"/>
      <c r="P121" s="2395" t="n"/>
      <c r="Q121" s="2425" t="n"/>
      <c r="R121" s="2399" t="n"/>
      <c r="S121" s="2395" t="n"/>
      <c r="T121" s="2395" t="n"/>
      <c r="U121" s="2395" t="n"/>
    </row>
    <row r="122" hidden="1" ht="24" customHeight="1" s="1449">
      <c r="A122" s="2395" t="n"/>
      <c r="B122" s="2428" t="n"/>
      <c r="C122" s="2399" t="n"/>
      <c r="D122" s="2427" t="n"/>
      <c r="E122" s="2395" t="n"/>
      <c r="F122" s="2395" t="n"/>
      <c r="G122" s="2395" t="n"/>
      <c r="H122" s="2395" t="n"/>
      <c r="I122" s="2395" t="n"/>
      <c r="J122" s="2395" t="n"/>
      <c r="K122" s="2395" t="n"/>
      <c r="L122" s="2395" t="n"/>
      <c r="M122" s="2395" t="n"/>
      <c r="N122" s="2395" t="n"/>
      <c r="O122" s="2395" t="n"/>
      <c r="P122" s="2395" t="n"/>
      <c r="Q122" s="2395" t="n"/>
      <c r="R122" s="2395" t="n"/>
      <c r="S122" s="2395" t="n"/>
      <c r="T122" s="2395" t="n"/>
      <c r="U122" s="2395" t="n"/>
    </row>
    <row r="123" hidden="1" s="1449">
      <c r="A123" s="2395" t="n"/>
      <c r="B123" s="2396" t="n"/>
      <c r="C123" s="2399" t="n"/>
      <c r="D123" s="2426" t="n"/>
      <c r="E123" s="2395" t="n"/>
      <c r="F123" s="2395" t="n"/>
      <c r="G123" s="2395" t="n"/>
      <c r="H123" s="2395" t="n"/>
      <c r="I123" s="2395" t="n"/>
      <c r="J123" s="2395" t="n"/>
      <c r="K123" s="2395" t="n"/>
      <c r="L123" s="2395" t="n"/>
      <c r="M123" s="2395" t="n"/>
      <c r="N123" s="2395" t="n"/>
      <c r="O123" s="2395" t="n"/>
      <c r="P123" s="2395" t="n"/>
      <c r="Q123" s="2395" t="n"/>
      <c r="R123" s="2395" t="n"/>
      <c r="S123" s="2395" t="n"/>
      <c r="T123" s="2395" t="n"/>
      <c r="U123" s="2395" t="n"/>
    </row>
    <row r="124" hidden="1" s="1449">
      <c r="A124" s="2395" t="n"/>
      <c r="B124" s="2396" t="n"/>
      <c r="C124" s="2399" t="n"/>
      <c r="D124" s="2426" t="n"/>
      <c r="E124" s="2395" t="n"/>
      <c r="F124" s="2395" t="n"/>
      <c r="G124" s="2395" t="n"/>
      <c r="H124" s="2395" t="n"/>
      <c r="I124" s="2395" t="n"/>
      <c r="J124" s="2395" t="n"/>
      <c r="K124" s="2395" t="n"/>
      <c r="L124" s="2395" t="n"/>
      <c r="M124" s="2395" t="n"/>
      <c r="N124" s="2395" t="n"/>
      <c r="O124" s="2395" t="n"/>
      <c r="P124" s="2395" t="n"/>
      <c r="Q124" s="2395" t="n"/>
      <c r="R124" s="2395" t="n"/>
      <c r="S124" s="2395" t="n"/>
      <c r="T124" s="2395" t="n"/>
      <c r="U124" s="2395" t="n"/>
    </row>
    <row r="125" hidden="1" s="1449">
      <c r="A125" s="2395" t="n"/>
      <c r="B125" s="2396" t="n"/>
      <c r="C125" s="2399" t="n"/>
      <c r="D125" s="2426" t="n"/>
      <c r="E125" s="2395" t="n"/>
      <c r="F125" s="2395" t="n"/>
      <c r="G125" s="2395" t="n"/>
      <c r="H125" s="2395" t="n"/>
      <c r="I125" s="2395" t="n"/>
      <c r="J125" s="2395" t="n"/>
      <c r="K125" s="2395" t="n"/>
      <c r="L125" s="2395" t="n"/>
      <c r="M125" s="2395" t="n"/>
      <c r="N125" s="2395" t="n"/>
      <c r="O125" s="2395" t="n"/>
      <c r="P125" s="2395" t="n"/>
      <c r="Q125" s="2395" t="n"/>
      <c r="R125" s="2395" t="n"/>
      <c r="S125" s="2395" t="n"/>
      <c r="T125" s="2395" t="n"/>
      <c r="U125" s="2395" t="n"/>
    </row>
    <row r="126" hidden="1" s="1449">
      <c r="A126" s="2395" t="n"/>
      <c r="B126" s="2396" t="n"/>
      <c r="C126" s="2399" t="n"/>
      <c r="D126" s="2426" t="n"/>
      <c r="E126" s="2395" t="n"/>
      <c r="F126" s="2395" t="n"/>
      <c r="G126" s="2395" t="n"/>
      <c r="H126" s="2395" t="n"/>
      <c r="I126" s="2395" t="n"/>
      <c r="J126" s="2395" t="n"/>
      <c r="K126" s="2395" t="n"/>
      <c r="L126" s="2395" t="n"/>
      <c r="M126" s="2395" t="n"/>
      <c r="N126" s="2395" t="n"/>
      <c r="O126" s="2395" t="n"/>
      <c r="P126" s="2395" t="n"/>
      <c r="Q126" s="2395" t="n"/>
      <c r="R126" s="2395" t="n"/>
      <c r="S126" s="2395" t="n"/>
      <c r="T126" s="2395" t="n"/>
      <c r="U126" s="2395" t="n"/>
    </row>
    <row r="127" hidden="1" s="1449">
      <c r="A127" s="2395" t="n"/>
      <c r="B127" s="2396" t="n"/>
      <c r="C127" s="2399" t="n"/>
      <c r="D127" s="2426" t="n"/>
      <c r="E127" s="2395" t="n"/>
      <c r="F127" s="2395" t="n"/>
      <c r="G127" s="2395" t="n"/>
      <c r="H127" s="2395" t="n"/>
      <c r="I127" s="2395" t="n"/>
      <c r="J127" s="2395" t="n"/>
      <c r="K127" s="2395" t="n"/>
      <c r="L127" s="2395" t="n"/>
      <c r="M127" s="2395" t="n"/>
      <c r="N127" s="2395" t="n"/>
      <c r="O127" s="2395" t="n"/>
      <c r="P127" s="2395" t="n"/>
      <c r="Q127" s="2395" t="n"/>
      <c r="R127" s="2395" t="n"/>
      <c r="S127" s="2395" t="n"/>
      <c r="T127" s="2395" t="n"/>
      <c r="U127" s="2395" t="n"/>
    </row>
    <row r="128" hidden="1" s="1449">
      <c r="A128" s="2395" t="n"/>
      <c r="B128" s="2396" t="n"/>
      <c r="C128" s="2399" t="n"/>
      <c r="D128" s="2426" t="n"/>
      <c r="E128" s="2395" t="n"/>
      <c r="F128" s="2395" t="n"/>
      <c r="G128" s="2395" t="n"/>
      <c r="H128" s="2395" t="n"/>
      <c r="I128" s="2395" t="n"/>
      <c r="J128" s="2395" t="n"/>
      <c r="K128" s="2395" t="n"/>
      <c r="L128" s="2395" t="n"/>
      <c r="M128" s="2395" t="n"/>
      <c r="N128" s="2395" t="n"/>
      <c r="O128" s="2395" t="n"/>
      <c r="P128" s="2395" t="n"/>
      <c r="Q128" s="2395" t="n"/>
      <c r="R128" s="2395" t="n"/>
      <c r="S128" s="2395" t="n"/>
      <c r="T128" s="2395" t="n"/>
      <c r="U128" s="2395" t="n"/>
    </row>
    <row r="129" hidden="1" s="1449">
      <c r="A129" s="2395" t="n"/>
      <c r="B129" s="2396" t="n"/>
      <c r="C129" s="2399" t="n"/>
      <c r="D129" s="2426" t="n"/>
      <c r="E129" s="2395" t="n"/>
      <c r="F129" s="2395" t="n"/>
      <c r="G129" s="2395" t="n"/>
      <c r="H129" s="2395" t="n"/>
      <c r="I129" s="2395" t="n"/>
      <c r="J129" s="2395" t="n"/>
      <c r="K129" s="2395" t="n"/>
      <c r="L129" s="2395" t="n"/>
      <c r="M129" s="2395" t="n"/>
      <c r="N129" s="2395" t="n"/>
      <c r="O129" s="2395" t="n"/>
      <c r="P129" s="2395" t="n"/>
      <c r="Q129" s="2395" t="n"/>
      <c r="R129" s="2395" t="n"/>
      <c r="S129" s="2395" t="n"/>
      <c r="T129" s="2395" t="n"/>
      <c r="U129" s="2395" t="n"/>
    </row>
    <row r="130" hidden="1" s="1449">
      <c r="A130" s="2395" t="n"/>
      <c r="B130" s="2396" t="n"/>
      <c r="C130" s="2399" t="n"/>
      <c r="D130" s="2426" t="n"/>
      <c r="E130" s="2395" t="n"/>
      <c r="F130" s="2395" t="n"/>
      <c r="G130" s="2395" t="n"/>
      <c r="H130" s="2395" t="n"/>
      <c r="I130" s="2395" t="n"/>
      <c r="J130" s="2395" t="n"/>
      <c r="K130" s="2395" t="n"/>
      <c r="L130" s="2395" t="n"/>
      <c r="M130" s="2395" t="n"/>
      <c r="N130" s="2395" t="n"/>
      <c r="O130" s="2395" t="n"/>
      <c r="P130" s="2395" t="n"/>
      <c r="Q130" s="2395" t="n"/>
      <c r="R130" s="2395" t="n"/>
      <c r="S130" s="2395" t="n"/>
      <c r="T130" s="2395" t="n"/>
      <c r="U130" s="2395" t="n"/>
    </row>
    <row r="131" hidden="1" s="1449">
      <c r="A131" s="2395" t="n"/>
      <c r="B131" s="2396" t="n"/>
      <c r="C131" s="2399" t="n"/>
      <c r="D131" s="2427" t="n"/>
      <c r="E131" s="2395" t="n"/>
      <c r="F131" s="2395" t="n"/>
      <c r="G131" s="2395" t="n"/>
      <c r="H131" s="2395" t="n"/>
      <c r="I131" s="2395" t="n"/>
      <c r="J131" s="2395" t="n"/>
      <c r="K131" s="2395" t="n"/>
      <c r="L131" s="2395" t="n"/>
      <c r="M131" s="2395" t="n"/>
      <c r="N131" s="2395" t="n"/>
      <c r="O131" s="2395" t="n"/>
      <c r="P131" s="2395" t="n"/>
      <c r="Q131" s="2395" t="n"/>
      <c r="R131" s="2395" t="n"/>
      <c r="S131" s="2395" t="n"/>
      <c r="T131" s="2395" t="n"/>
      <c r="U131" s="2395" t="n"/>
    </row>
    <row r="132" hidden="1" s="1449">
      <c r="A132" s="2395" t="n"/>
      <c r="B132" s="2399" t="n"/>
      <c r="C132" s="2399" t="n"/>
      <c r="D132" s="2399" t="n"/>
      <c r="E132" s="2395" t="n"/>
      <c r="F132" s="2395" t="n"/>
      <c r="G132" s="2395" t="n"/>
      <c r="H132" s="2395" t="n"/>
      <c r="I132" s="2395" t="n"/>
      <c r="J132" s="2395" t="n"/>
      <c r="K132" s="2395" t="n"/>
      <c r="L132" s="2395" t="n"/>
      <c r="M132" s="2395" t="n"/>
      <c r="N132" s="2395" t="n"/>
      <c r="O132" s="2395" t="n"/>
      <c r="P132" s="2395" t="n"/>
      <c r="Q132" s="2395" t="n"/>
      <c r="R132" s="2395" t="n"/>
      <c r="S132" s="2395" t="n"/>
      <c r="T132" s="2395" t="n"/>
      <c r="U132" s="2395" t="n"/>
    </row>
    <row r="133" hidden="1" s="1449">
      <c r="A133" s="2395" t="n"/>
      <c r="B133" s="2420" t="n"/>
      <c r="C133" s="2399" t="n"/>
      <c r="D133" s="2395" t="n"/>
      <c r="E133" s="2395" t="n"/>
      <c r="F133" s="2395" t="n"/>
      <c r="G133" s="2429" t="n"/>
      <c r="H133" s="2395" t="n"/>
      <c r="I133" s="2395" t="n"/>
      <c r="J133" s="2395" t="n"/>
      <c r="K133" s="2395" t="n"/>
      <c r="L133" s="2395" t="n"/>
      <c r="M133" s="2395" t="n"/>
      <c r="N133" s="2395" t="n"/>
      <c r="O133" s="2395" t="n"/>
      <c r="P133" s="2395" t="n"/>
      <c r="Q133" s="2395" t="n"/>
      <c r="R133" s="2395" t="n"/>
      <c r="S133" s="2395" t="n"/>
      <c r="T133" s="2395" t="n"/>
      <c r="U133" s="2395" t="n"/>
    </row>
    <row r="134" hidden="1" s="1449">
      <c r="A134" s="2395" t="n"/>
      <c r="B134" s="2395" t="n"/>
      <c r="C134" s="2395" t="n"/>
      <c r="D134" s="2395" t="n"/>
      <c r="E134" s="2395" t="n"/>
      <c r="F134" s="2395" t="n"/>
      <c r="G134" s="2395" t="n"/>
      <c r="H134" s="2395" t="n"/>
      <c r="I134" s="2395" t="n"/>
      <c r="J134" s="2395" t="n"/>
      <c r="K134" s="2395" t="n"/>
      <c r="L134" s="2395" t="n"/>
      <c r="M134" s="2395" t="n"/>
      <c r="N134" s="2395" t="n"/>
      <c r="O134" s="2395" t="n"/>
      <c r="P134" s="2395" t="n"/>
      <c r="Q134" s="2395" t="n"/>
      <c r="R134" s="2395" t="n"/>
      <c r="S134" s="2395" t="n"/>
      <c r="T134" s="2395" t="n"/>
      <c r="U134" s="2395" t="n"/>
    </row>
    <row r="135" hidden="1" s="1449">
      <c r="A135" s="2395" t="n"/>
      <c r="B135" s="2396" t="n"/>
      <c r="C135" s="2405" t="n"/>
      <c r="D135" s="2399" t="n"/>
      <c r="E135" s="2395" t="n"/>
      <c r="F135" s="2395" t="n"/>
      <c r="G135" s="2395" t="n"/>
      <c r="H135" s="2395" t="n"/>
      <c r="I135" s="2395" t="n"/>
      <c r="J135" s="2395" t="n"/>
      <c r="K135" s="2395" t="n"/>
      <c r="L135" s="2395" t="n"/>
      <c r="M135" s="2395" t="n"/>
      <c r="N135" s="2395" t="n"/>
      <c r="O135" s="2395" t="n"/>
      <c r="P135" s="2395" t="n"/>
      <c r="Q135" s="2395" t="n"/>
      <c r="R135" s="2395" t="n"/>
      <c r="S135" s="2395" t="n"/>
      <c r="T135" s="2395" t="n"/>
      <c r="U135" s="2395" t="n"/>
    </row>
    <row r="136" hidden="1" s="1449">
      <c r="B136" s="461" t="n"/>
      <c r="C136" s="1976" t="n"/>
      <c r="D136" s="463" t="n"/>
      <c r="E136" s="415" t="n"/>
      <c r="F136" s="1947" t="n"/>
      <c r="G136" s="1947" t="n"/>
      <c r="H136" s="362" t="n"/>
      <c r="I136" s="362" t="n"/>
    </row>
    <row r="137">
      <c r="B137" s="419" t="n"/>
      <c r="C137" s="415" t="n"/>
      <c r="D137" s="415" t="n"/>
      <c r="E137" s="415" t="n"/>
      <c r="F137" s="1947" t="n"/>
      <c r="G137" s="1947" t="n"/>
      <c r="H137" s="362" t="n"/>
      <c r="I137" s="362" t="n"/>
    </row>
    <row r="138">
      <c r="B138" s="419" t="n"/>
      <c r="C138" s="415" t="n"/>
      <c r="D138" s="415" t="n"/>
      <c r="E138" s="415" t="n"/>
      <c r="F138" s="1947" t="n"/>
      <c r="G138" s="1947" t="n"/>
      <c r="H138" s="362" t="n"/>
      <c r="I138" s="362" t="n"/>
    </row>
    <row r="139">
      <c r="B139" s="419" t="n"/>
      <c r="C139" s="415" t="n"/>
      <c r="D139" s="415" t="n"/>
      <c r="E139" s="415" t="n"/>
      <c r="F139" s="1947" t="n"/>
      <c r="G139" s="1947" t="n"/>
      <c r="H139" s="362" t="n"/>
      <c r="I139" s="362" t="n"/>
    </row>
    <row r="140">
      <c r="B140" s="419" t="n"/>
      <c r="C140" s="415" t="n"/>
      <c r="D140" s="415" t="n"/>
      <c r="E140" s="415" t="n"/>
      <c r="F140" s="1947" t="n"/>
      <c r="G140" s="1947" t="n"/>
      <c r="H140" s="362" t="n"/>
      <c r="I140" s="362" t="n"/>
    </row>
    <row r="141">
      <c r="B141" s="419" t="n"/>
      <c r="C141" s="415" t="n"/>
      <c r="D141" s="415" t="n"/>
      <c r="E141" s="415" t="n"/>
      <c r="F141" s="1947" t="n"/>
      <c r="G141" s="1947" t="n"/>
      <c r="H141" s="362" t="n"/>
      <c r="I141" s="362" t="n"/>
    </row>
    <row r="142">
      <c r="B142" s="419" t="n"/>
      <c r="C142" s="415" t="n"/>
      <c r="D142" s="415" t="n"/>
      <c r="E142" s="415" t="n"/>
      <c r="F142" s="1947" t="n"/>
      <c r="G142" s="1947" t="n"/>
      <c r="H142" s="362" t="n"/>
      <c r="I142" s="362" t="n"/>
    </row>
    <row r="143">
      <c r="B143" s="419" t="n"/>
      <c r="C143" s="415" t="n"/>
      <c r="D143" s="415" t="n"/>
      <c r="E143" s="415" t="n"/>
      <c r="F143" s="1947" t="n"/>
      <c r="G143" s="1947" t="n"/>
      <c r="H143" s="362" t="n"/>
      <c r="I143" s="362" t="n"/>
    </row>
    <row r="144">
      <c r="B144" s="419" t="n"/>
      <c r="C144" s="415" t="n"/>
      <c r="D144" s="415" t="n"/>
      <c r="E144" s="415" t="n"/>
      <c r="F144" s="1947" t="n"/>
      <c r="G144" s="1947" t="n"/>
      <c r="H144" s="362" t="n"/>
      <c r="I144" s="362" t="n"/>
    </row>
    <row r="145">
      <c r="B145" s="419" t="n"/>
      <c r="C145" s="415" t="n"/>
      <c r="D145" s="415" t="n"/>
      <c r="E145" s="415" t="n"/>
      <c r="F145" s="1947" t="n"/>
      <c r="G145" s="1947" t="n"/>
      <c r="H145" s="362" t="n"/>
      <c r="I145" s="362" t="n"/>
    </row>
    <row r="146">
      <c r="B146" s="419" t="n"/>
      <c r="C146" s="415" t="n"/>
      <c r="D146" s="415" t="n"/>
      <c r="E146" s="415" t="n"/>
      <c r="F146" s="1947" t="n"/>
      <c r="G146" s="1947" t="n"/>
      <c r="H146" s="362" t="n"/>
      <c r="I146" s="362" t="n"/>
    </row>
    <row r="147">
      <c r="B147" s="419" t="n"/>
      <c r="C147" s="415" t="n"/>
      <c r="D147" s="415" t="n"/>
      <c r="E147" s="415" t="n"/>
      <c r="F147" s="1947" t="n"/>
      <c r="G147" s="1947" t="n"/>
      <c r="H147" s="362" t="n"/>
      <c r="I147" s="362" t="n"/>
    </row>
    <row r="223">
      <c r="Q223" s="373" t="n"/>
      <c r="R223" s="366" t="n"/>
    </row>
    <row r="224">
      <c r="Q224" s="373" t="n"/>
      <c r="R224" s="366" t="n"/>
    </row>
    <row r="225">
      <c r="Q225" s="373" t="n"/>
      <c r="R225" s="366" t="n"/>
    </row>
    <row r="226">
      <c r="Q226" s="373" t="n"/>
      <c r="R226" s="366" t="n"/>
    </row>
    <row r="341">
      <c r="Q341" s="373" t="n"/>
      <c r="R341" s="366" t="n"/>
    </row>
    <row r="540">
      <c r="Q540" s="373" t="n"/>
      <c r="R540" s="366" t="n"/>
    </row>
    <row r="541">
      <c r="Q541" s="373" t="n"/>
      <c r="R541" s="366" t="n"/>
    </row>
    <row r="542">
      <c r="Q542" s="373" t="n"/>
      <c r="R542" s="366" t="n"/>
    </row>
  </sheetData>
  <mergeCells count="1">
    <mergeCell ref="B2:G2"/>
  </mergeCells>
  <dataValidations count="8">
    <dataValidation sqref="D11 D74" showDropDown="0" showInputMessage="1" showErrorMessage="1" allowBlank="1" prompt="Value is for average quality and 1-story flue. Each additional story for flue is $885."/>
    <dataValidation sqref="C4" showDropDown="0" showInputMessage="0" showErrorMessage="0" allowBlank="1" errorTitle="Invalid entry" error="Please choose a value from the dropdown list." type="list">
      <formula1>=OCC_NAME</formula1>
    </dataValidation>
    <dataValidation sqref="C6" showDropDown="0" showInputMessage="0" showErrorMessage="0" allowBlank="1" type="list">
      <formula1>"A,B,C,CMILL,D,DPOLE,S,A-B"</formula1>
    </dataValidation>
    <dataValidation sqref="C7" showDropDown="0" showInputMessage="0" showErrorMessage="0" allowBlank="1" type="list">
      <formula1>"Low Cost,Average,Good,Excellent,Cheap"</formula1>
    </dataValidation>
    <dataValidation sqref="C14" showDropDown="0" showInputMessage="0" showErrorMessage="0" allowBlank="1" type="list">
      <formula1>"Low Cost,Average,Good,Excellent,Cheap"</formula1>
    </dataValidation>
    <dataValidation sqref="C8" showDropDown="0" showInputMessage="0" showErrorMessage="0" allowBlank="1" errorTitle="Invalid entry" error="Please choose a value from the dropdown list." type="list">
      <formula1>=LAM_CITY</formula1>
    </dataValidation>
    <dataValidation sqref="C18" showDropDown="0" showInputMessage="0" showErrorMessage="0" allowBlank="1" errorTitle="Invalid entry" error="Please choose a value from the dropdown list." type="list">
      <formula1>=DEN_LABEL</formula1>
    </dataValidation>
    <dataValidation sqref="C19" showDropDown="0" showInputMessage="0" showErrorMessage="0" allowBlank="1" errorTitle="Invalid entry" error="Please choose a value from the dropdown list." type="list">
      <formula1>=DEN_LABEL</formula1>
    </dataValidation>
  </dataValidation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B2:J17"/>
  <sheetViews>
    <sheetView workbookViewId="0">
      <selection activeCell="H23" sqref="H23"/>
    </sheetView>
  </sheetViews>
  <sheetFormatPr baseColWidth="8" defaultRowHeight="15"/>
  <cols>
    <col width="40.140625" customWidth="1" style="1449" min="2" max="2"/>
    <col width="14" bestFit="1" customWidth="1" style="1449" min="6" max="6"/>
    <col width="15.7109375" bestFit="1" customWidth="1" style="1449" min="7" max="10"/>
  </cols>
  <sheetData>
    <row r="2">
      <c r="B2" s="1556" t="inlineStr">
        <is>
          <t>Subject's Budgeted Construction Costs</t>
        </is>
      </c>
    </row>
    <row r="3">
      <c r="B3" s="1382" t="inlineStr">
        <is>
          <t>Item</t>
        </is>
      </c>
      <c r="C3" s="1382" t="inlineStr">
        <is>
          <t>Cost</t>
        </is>
      </c>
      <c r="D3" s="1382" t="inlineStr">
        <is>
          <t>Cost PSF</t>
        </is>
      </c>
    </row>
    <row r="4">
      <c r="B4" s="236" t="inlineStr">
        <is>
          <t>Site Inspection, Architectural &amp; Engineering</t>
        </is>
      </c>
      <c r="C4" s="1977" t="n"/>
      <c r="D4" s="1978">
        <f>C4/'Property Info'!$B$5</f>
        <v/>
      </c>
    </row>
    <row r="5">
      <c r="B5" s="236" t="inlineStr">
        <is>
          <t>Government Fees &amp; Permits</t>
        </is>
      </c>
      <c r="C5" s="1977" t="n"/>
      <c r="D5" s="1978">
        <f>C5/'Property Info'!$B$5</f>
        <v/>
      </c>
    </row>
    <row r="6">
      <c r="B6" s="236" t="inlineStr">
        <is>
          <t>Site Improvements</t>
        </is>
      </c>
      <c r="C6" s="1977" t="n"/>
      <c r="D6" s="1978">
        <f>C6/'Property Info'!$B$5</f>
        <v/>
      </c>
    </row>
    <row r="7">
      <c r="B7" s="236" t="inlineStr">
        <is>
          <t>Off-Site Construction</t>
        </is>
      </c>
      <c r="C7" s="1977" t="n"/>
      <c r="D7" s="1978">
        <f>C7/'Property Info'!$B$5</f>
        <v/>
      </c>
    </row>
    <row r="8">
      <c r="B8" s="236" t="inlineStr">
        <is>
          <t>Vertical Improvements</t>
        </is>
      </c>
      <c r="C8" s="1977" t="n"/>
      <c r="D8" s="1978">
        <f>C8/'Property Info'!$B$5</f>
        <v/>
      </c>
    </row>
    <row r="9">
      <c r="B9" s="236" t="inlineStr">
        <is>
          <t>Contractor Overhead &amp; Profit</t>
        </is>
      </c>
      <c r="C9" s="1977" t="n"/>
      <c r="D9" s="1978">
        <f>C9/'Property Info'!$B$5</f>
        <v/>
      </c>
    </row>
    <row r="10">
      <c r="B10" s="236" t="inlineStr">
        <is>
          <t>Inderect Costs</t>
        </is>
      </c>
      <c r="C10" s="1977" t="n"/>
      <c r="D10" s="1978">
        <f>C10/'Property Info'!$B$5</f>
        <v/>
      </c>
    </row>
    <row r="11">
      <c r="B11" s="426" t="inlineStr">
        <is>
          <t>Total</t>
        </is>
      </c>
      <c r="C11" s="1979">
        <f>SUM(C4:C10)</f>
        <v/>
      </c>
      <c r="D11" s="1980">
        <f>C11/'Property Info'!$B$5</f>
        <v/>
      </c>
    </row>
    <row r="12">
      <c r="F12" s="1556" t="inlineStr">
        <is>
          <t>Comparable Constrution Cots</t>
        </is>
      </c>
    </row>
    <row r="13">
      <c r="F13" s="420" t="inlineStr">
        <is>
          <t>Comparable</t>
        </is>
      </c>
      <c r="G13" s="421" t="n"/>
      <c r="H13" s="421" t="n"/>
      <c r="I13" s="421" t="n"/>
      <c r="J13" s="421" t="n"/>
    </row>
    <row r="14">
      <c r="F14" s="420" t="inlineStr">
        <is>
          <t>Location</t>
        </is>
      </c>
      <c r="G14" s="422" t="n"/>
      <c r="H14" s="421" t="n"/>
      <c r="I14" s="421" t="n"/>
      <c r="J14" s="421" t="n"/>
    </row>
    <row r="15">
      <c r="F15" s="420" t="inlineStr">
        <is>
          <t>YOC</t>
        </is>
      </c>
      <c r="G15" s="422" t="n"/>
      <c r="H15" s="421" t="n"/>
      <c r="I15" s="421" t="n"/>
      <c r="J15" s="421" t="n"/>
    </row>
    <row r="16">
      <c r="F16" s="423" t="inlineStr">
        <is>
          <t>Property Type</t>
        </is>
      </c>
      <c r="G16" s="422" t="n"/>
      <c r="H16" s="422" t="n"/>
      <c r="I16" s="422" t="n"/>
      <c r="J16" s="422" t="n"/>
    </row>
    <row r="17">
      <c r="F17" s="424" t="inlineStr">
        <is>
          <t>Total Direct Cost</t>
        </is>
      </c>
      <c r="G17" s="1981" t="n"/>
      <c r="H17" s="1981" t="n"/>
      <c r="I17" s="1981" t="n"/>
      <c r="J17" s="1981" t="n"/>
    </row>
  </sheetData>
  <mergeCells count="2">
    <mergeCell ref="F12:J12"/>
    <mergeCell ref="B2:D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19"/>
  <sheetViews>
    <sheetView zoomScale="85" zoomScaleNormal="85" workbookViewId="0">
      <pane xSplit="2" topLeftCell="C1" activePane="topRight" state="frozen"/>
      <selection pane="topRight" activeCell="C36" sqref="C36"/>
    </sheetView>
  </sheetViews>
  <sheetFormatPr baseColWidth="8" defaultColWidth="9.140625" defaultRowHeight="15"/>
  <cols>
    <col width="8.140625" customWidth="1" style="677" min="1" max="1"/>
    <col width="22.42578125" bestFit="1" customWidth="1" style="677" min="2" max="2"/>
    <col width="19.7109375" bestFit="1" customWidth="1" style="677" min="3" max="3"/>
    <col width="21.42578125" bestFit="1" customWidth="1" style="677" min="4" max="4"/>
    <col width="11.5703125" customWidth="1" style="677" min="5" max="5"/>
    <col width="13.85546875" bestFit="1" customWidth="1" style="684" min="6" max="6"/>
    <col width="12.85546875" customWidth="1" style="1982" min="7" max="7"/>
    <col width="9.5703125" customWidth="1" style="1983" min="8" max="8"/>
    <col width="11.42578125" bestFit="1" customWidth="1" style="681" min="9" max="9"/>
    <col width="9" customWidth="1" style="682" min="10" max="10"/>
    <col width="9" customWidth="1" style="681" min="11" max="11"/>
    <col width="12.5703125" bestFit="1" customWidth="1" style="680" min="12" max="12"/>
    <col width="12.28515625" customWidth="1" style="679" min="13" max="15"/>
    <col width="13.7109375" customWidth="1" style="679" min="16" max="16"/>
    <col width="12.28515625" customWidth="1" style="679" min="17" max="17"/>
    <col width="10.7109375" bestFit="1" customWidth="1" style="679" min="18" max="18"/>
    <col width="12.28515625" customWidth="1" style="679" min="19" max="19"/>
    <col width="16.140625" customWidth="1" style="679" min="20" max="20"/>
    <col width="12.28515625" customWidth="1" style="679" min="21" max="24"/>
    <col width="9.140625" bestFit="1" customWidth="1" style="679" min="25" max="25"/>
    <col width="9.140625" customWidth="1" style="678" min="26" max="26"/>
    <col width="9.140625" customWidth="1" style="677" min="27" max="28"/>
    <col width="9.140625" customWidth="1" style="677" min="29" max="16384"/>
  </cols>
  <sheetData>
    <row r="1" ht="45" customFormat="1" customHeight="1" s="691">
      <c r="B1" s="721" t="inlineStr">
        <is>
          <t>Property Address</t>
        </is>
      </c>
      <c r="C1" s="721" t="inlineStr">
        <is>
          <t>Property City</t>
        </is>
      </c>
      <c r="D1" s="721" t="inlineStr">
        <is>
          <t>Account/Parcel</t>
        </is>
      </c>
      <c r="E1" s="720" t="inlineStr">
        <is>
          <t>Property Type</t>
        </is>
      </c>
      <c r="F1" s="719" t="inlineStr">
        <is>
          <t>Sale Date</t>
        </is>
      </c>
      <c r="G1" s="1984" t="inlineStr">
        <is>
          <t>Sale Price</t>
        </is>
      </c>
      <c r="H1" s="1984" t="inlineStr">
        <is>
          <t>Price ($/SF)</t>
        </is>
      </c>
      <c r="I1" s="716" t="inlineStr">
        <is>
          <t>Asking Price</t>
        </is>
      </c>
      <c r="J1" s="717" t="inlineStr">
        <is>
          <t>DOM</t>
        </is>
      </c>
      <c r="K1" s="716" t="inlineStr">
        <is>
          <t>Building SF</t>
        </is>
      </c>
      <c r="L1" s="715" t="inlineStr">
        <is>
          <t>Land Area SF</t>
        </is>
      </c>
      <c r="M1" s="713" t="inlineStr">
        <is>
          <t>Property Rights Conveyed</t>
        </is>
      </c>
      <c r="N1" s="713" t="inlineStr">
        <is>
          <t>Financing</t>
        </is>
      </c>
      <c r="O1" s="713" t="inlineStr">
        <is>
          <t>Terms/
Conditions of Sale</t>
        </is>
      </c>
      <c r="P1" s="713" t="inlineStr">
        <is>
          <t>Expenditures After Sale</t>
        </is>
      </c>
      <c r="Q1" s="713" t="inlineStr">
        <is>
          <t>Market Conditions</t>
        </is>
      </c>
      <c r="R1" s="714" t="inlineStr">
        <is>
          <t>Location</t>
        </is>
      </c>
      <c r="S1" s="714" t="inlineStr">
        <is>
          <t>Property Size (SF)</t>
        </is>
      </c>
      <c r="T1" s="714" t="inlineStr">
        <is>
          <t>YOC / Condition</t>
        </is>
      </c>
      <c r="U1" s="714" t="inlineStr">
        <is>
          <t>Quality</t>
        </is>
      </c>
      <c r="V1" s="714" t="inlineStr">
        <is>
          <t>Land-To-Building Ratio</t>
        </is>
      </c>
      <c r="W1" s="714" t="inlineStr">
        <is>
          <t>Tenancy / Occupancy</t>
        </is>
      </c>
      <c r="X1" s="714" t="inlineStr">
        <is>
          <t>Functional Utility</t>
        </is>
      </c>
      <c r="Y1" s="713" t="inlineStr">
        <is>
          <t>Total Net Adj.</t>
        </is>
      </c>
      <c r="Z1" s="713" t="inlineStr">
        <is>
          <t>Adjusted Price ($/SF)</t>
        </is>
      </c>
    </row>
    <row r="2" ht="30" customFormat="1" customHeight="1" s="705">
      <c r="A2" s="794" t="n"/>
      <c r="B2" s="712" t="n"/>
      <c r="C2" s="712" t="n"/>
      <c r="D2" s="712" t="n"/>
      <c r="E2" s="728" t="n"/>
      <c r="F2" s="1318" t="n"/>
      <c r="G2" s="1985" t="n"/>
      <c r="H2" s="1986" t="n"/>
      <c r="I2" s="1321" t="n"/>
      <c r="J2" s="1322" t="n"/>
      <c r="K2" s="711" t="n"/>
      <c r="L2" s="711" t="n"/>
      <c r="M2" s="707" t="n"/>
      <c r="N2" s="707" t="n"/>
      <c r="O2" s="707" t="n"/>
      <c r="P2" s="707" t="n"/>
      <c r="Q2" s="707" t="n"/>
      <c r="R2" s="1323" t="n"/>
      <c r="S2" s="710" t="n"/>
      <c r="T2" s="708" t="n"/>
      <c r="U2" s="708" t="n"/>
      <c r="V2" s="709" t="n"/>
      <c r="W2" s="1323" t="n"/>
      <c r="X2" s="1323" t="n"/>
      <c r="Y2" s="707" t="n"/>
      <c r="Z2" s="706" t="n"/>
    </row>
    <row r="3" customFormat="1" s="702">
      <c r="A3" s="688" t="n"/>
      <c r="B3" s="1064" t="n"/>
      <c r="C3" s="783" t="n"/>
      <c r="D3" s="784" t="n"/>
      <c r="E3" s="1987" t="n"/>
      <c r="F3" s="784" t="n"/>
      <c r="G3" s="1988" t="n"/>
      <c r="H3" s="1989" t="n"/>
      <c r="I3" s="787" t="n"/>
      <c r="J3" s="783" t="n"/>
      <c r="K3" s="787" t="n"/>
      <c r="L3" s="787" t="n"/>
      <c r="M3" s="1324" t="n"/>
      <c r="N3" s="1324" t="n"/>
      <c r="O3" s="1324" t="n"/>
      <c r="P3" s="1324" t="n"/>
      <c r="Q3" s="1324" t="n"/>
      <c r="R3" s="1324" t="n"/>
      <c r="S3" s="1325" t="n"/>
      <c r="T3" s="1324" t="n"/>
      <c r="U3" s="1324" t="n"/>
      <c r="V3" s="1324" t="n"/>
      <c r="W3" s="1324" t="n"/>
      <c r="X3" s="1324" t="n"/>
      <c r="Y3" s="704" t="n"/>
      <c r="Z3" s="1990" t="n"/>
    </row>
    <row r="4" customFormat="1" s="702">
      <c r="A4" s="688" t="n"/>
      <c r="B4" s="1064" t="n"/>
      <c r="C4" s="783" t="n"/>
      <c r="D4" s="784" t="n"/>
      <c r="E4" s="1987" t="n"/>
      <c r="F4" s="784" t="n"/>
      <c r="G4" s="1988" t="n"/>
      <c r="H4" s="1989" t="n"/>
      <c r="I4" s="783" t="n"/>
      <c r="J4" s="783" t="n"/>
      <c r="K4" s="787" t="n"/>
      <c r="L4" s="787" t="n"/>
      <c r="M4" s="1324" t="n"/>
      <c r="N4" s="1324" t="n"/>
      <c r="O4" s="1324" t="n"/>
      <c r="P4" s="1324" t="n"/>
      <c r="Q4" s="1324" t="n"/>
      <c r="R4" s="1324" t="n"/>
      <c r="S4" s="1325" t="n"/>
      <c r="T4" s="1324" t="n"/>
      <c r="U4" s="1324" t="n"/>
      <c r="V4" s="1324" t="n"/>
      <c r="W4" s="1324" t="n"/>
      <c r="X4" s="1324" t="n"/>
      <c r="Y4" s="704" t="n"/>
      <c r="Z4" s="1990" t="n"/>
    </row>
    <row r="5" customFormat="1" s="702">
      <c r="A5" s="688" t="n"/>
      <c r="B5" s="1064" t="n"/>
      <c r="C5" s="783" t="n"/>
      <c r="D5" s="784" t="n"/>
      <c r="E5" s="1987" t="n"/>
      <c r="F5" s="784" t="n"/>
      <c r="G5" s="1988" t="n"/>
      <c r="H5" s="1989" t="n"/>
      <c r="I5" s="787" t="n"/>
      <c r="J5" s="787" t="n"/>
      <c r="K5" s="787" t="n"/>
      <c r="L5" s="787" t="n"/>
      <c r="M5" s="1324" t="n"/>
      <c r="N5" s="1324" t="n"/>
      <c r="O5" s="1324" t="n"/>
      <c r="P5" s="1324" t="n"/>
      <c r="Q5" s="1324" t="n"/>
      <c r="R5" s="1324" t="n"/>
      <c r="S5" s="1325" t="n"/>
      <c r="T5" s="1324" t="n"/>
      <c r="U5" s="1324" t="n"/>
      <c r="V5" s="1324" t="n"/>
      <c r="W5" s="1324" t="n"/>
      <c r="X5" s="1324" t="n"/>
      <c r="Y5" s="704" t="n"/>
      <c r="Z5" s="1990" t="n"/>
    </row>
    <row r="6" customFormat="1" s="702">
      <c r="A6" s="688" t="n"/>
      <c r="B6" s="1064" t="n"/>
      <c r="C6" s="783" t="n"/>
      <c r="D6" s="784" t="n"/>
      <c r="E6" s="1987" t="n"/>
      <c r="F6" s="784" t="n"/>
      <c r="G6" s="1988" t="n"/>
      <c r="H6" s="1989" t="n"/>
      <c r="I6" s="787" t="n"/>
      <c r="J6" s="783" t="n"/>
      <c r="K6" s="787" t="n"/>
      <c r="L6" s="787" t="n"/>
      <c r="M6" s="1324" t="n"/>
      <c r="N6" s="1324" t="n"/>
      <c r="O6" s="1324" t="n"/>
      <c r="P6" s="1324" t="n"/>
      <c r="Q6" s="1324" t="n"/>
      <c r="R6" s="1324" t="n"/>
      <c r="S6" s="1325" t="n"/>
      <c r="T6" s="1324" t="n"/>
      <c r="U6" s="1324" t="n"/>
      <c r="V6" s="1324" t="n"/>
      <c r="W6" s="1324" t="n"/>
      <c r="X6" s="1324" t="n"/>
      <c r="Y6" s="704" t="n"/>
      <c r="Z6" s="1990" t="n"/>
    </row>
    <row r="7" customFormat="1" s="702">
      <c r="A7" s="688" t="n"/>
      <c r="B7" s="1328" t="n"/>
      <c r="C7" s="1328" t="n"/>
      <c r="D7" s="1328" t="n"/>
      <c r="E7" s="1328" t="n"/>
      <c r="F7" s="1329" t="n"/>
      <c r="G7" s="1991" t="n"/>
      <c r="H7" s="1992" t="n"/>
      <c r="I7" s="1332" t="n"/>
      <c r="J7" s="1332" t="n"/>
      <c r="K7" s="1332" t="n"/>
      <c r="L7" s="1332" t="n"/>
      <c r="M7" s="1326" t="n"/>
      <c r="N7" s="1326" t="n"/>
      <c r="O7" s="1326" t="n"/>
      <c r="P7" s="1326" t="n"/>
      <c r="Q7" s="1326" t="n"/>
      <c r="R7" s="1326" t="n"/>
      <c r="S7" s="1327" t="n"/>
      <c r="T7" s="1326" t="n"/>
      <c r="U7" s="1326" t="n"/>
      <c r="V7" s="1326" t="n"/>
      <c r="W7" s="1326" t="n"/>
      <c r="X7" s="1326" t="n"/>
      <c r="Y7" s="701" t="n"/>
      <c r="Z7" s="1990" t="n"/>
    </row>
    <row r="8">
      <c r="B8" s="700" t="n"/>
      <c r="H8" s="1993" t="n"/>
      <c r="Q8" s="699" t="n"/>
      <c r="Z8" s="1994" t="n"/>
    </row>
    <row r="9">
      <c r="B9" s="700" t="n"/>
      <c r="H9" s="1993" t="n"/>
      <c r="Q9" s="699" t="n"/>
      <c r="Z9" s="1994" t="n"/>
    </row>
    <row r="10" customFormat="1" s="689">
      <c r="B10" s="697" t="n"/>
      <c r="F10" s="696" t="n"/>
      <c r="G10" s="1995" t="n"/>
      <c r="H10" s="1996" t="n"/>
      <c r="I10" s="693" t="n"/>
      <c r="J10" s="694" t="n"/>
      <c r="K10" s="693" t="n"/>
      <c r="L10" s="692" t="n"/>
      <c r="M10" s="691" t="n"/>
      <c r="N10" s="691" t="n"/>
      <c r="O10" s="691" t="n"/>
      <c r="P10" s="691" t="n"/>
      <c r="Q10" s="691" t="n"/>
      <c r="R10" s="691" t="n"/>
      <c r="S10" s="691" t="n"/>
      <c r="T10" s="691" t="n"/>
      <c r="U10" s="691" t="n"/>
      <c r="V10" s="691" t="n"/>
      <c r="W10" s="691" t="n"/>
      <c r="X10" s="691" t="n"/>
      <c r="Y10" s="691" t="n"/>
      <c r="Z10" s="1997" t="n"/>
    </row>
    <row r="12">
      <c r="R12" s="1333" t="n"/>
      <c r="S12" s="688" t="n"/>
      <c r="T12" s="688" t="n"/>
      <c r="U12" s="688" t="n"/>
      <c r="V12" s="688" t="n"/>
    </row>
    <row r="13">
      <c r="R13" s="679" t="n"/>
      <c r="S13" s="687" t="n"/>
      <c r="T13" s="686" t="n"/>
      <c r="U13" s="686" t="n"/>
      <c r="V13" s="685" t="n"/>
    </row>
    <row r="14">
      <c r="R14" s="679" t="n"/>
      <c r="S14" s="687" t="n"/>
      <c r="T14" s="686" t="n"/>
      <c r="U14" s="686" t="n"/>
      <c r="V14" s="685" t="n"/>
    </row>
    <row r="15">
      <c r="R15" s="679" t="n"/>
      <c r="S15" s="687" t="n"/>
      <c r="T15" s="686" t="n"/>
      <c r="U15" s="686" t="n"/>
      <c r="V15" s="685" t="n"/>
    </row>
    <row r="16">
      <c r="R16" s="679" t="n"/>
      <c r="S16" s="687" t="n"/>
      <c r="T16" s="686" t="n"/>
      <c r="U16" s="686" t="n"/>
      <c r="V16" s="685" t="n"/>
    </row>
    <row r="17">
      <c r="R17" s="679" t="n"/>
      <c r="S17" s="687" t="n"/>
      <c r="T17" s="686" t="n"/>
      <c r="U17" s="686" t="n"/>
      <c r="V17" s="685" t="n"/>
    </row>
    <row r="18">
      <c r="S18" s="687" t="n"/>
      <c r="T18" s="686" t="n"/>
      <c r="U18" s="686" t="n"/>
      <c r="V18" s="685" t="n"/>
    </row>
    <row r="19">
      <c r="S19" s="687" t="n"/>
      <c r="T19" s="686" t="n"/>
      <c r="U19" s="686" t="n"/>
      <c r="V19" s="685" t="n"/>
    </row>
  </sheetData>
  <autoFilter ref="B1:X5">
    <sortState ref="B2:X11">
      <sortCondition descending="1" ref="F1:F5"/>
    </sortState>
  </autoFilter>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C2:T70"/>
  <sheetViews>
    <sheetView showGridLines="0" zoomScale="85" zoomScaleNormal="85" workbookViewId="0">
      <selection activeCell="H63" sqref="H63"/>
    </sheetView>
  </sheetViews>
  <sheetFormatPr baseColWidth="8" defaultColWidth="9.140625" defaultRowHeight="15"/>
  <cols>
    <col width="2.85546875" customWidth="1" style="1449" min="2" max="2"/>
    <col width="27.28515625" customWidth="1" style="1449" min="3" max="3"/>
    <col width="25.7109375" customWidth="1" style="1449" min="4" max="4"/>
    <col width="21.85546875" customWidth="1" style="1449" min="5" max="8"/>
    <col hidden="1" width="21.85546875" customWidth="1" style="1449" min="9" max="9"/>
    <col hidden="1" width="25.7109375" customWidth="1" style="1449" min="10" max="10"/>
    <col hidden="1" width="10.140625" customWidth="1" style="1449" min="11" max="11"/>
    <col width="29.85546875" customWidth="1" style="1449" min="15" max="15"/>
    <col width="40.7109375" customWidth="1" style="1449" min="16" max="16"/>
    <col width="15.140625" customWidth="1" style="1449" min="17" max="17"/>
    <col width="16.140625" customWidth="1" style="1449" min="18" max="20"/>
  </cols>
  <sheetData>
    <row r="1" ht="11.45" customHeight="1" s="1449"/>
    <row r="2">
      <c r="C2" s="1539" t="inlineStr">
        <is>
          <t>COMPARABLE SALE ADJUSTMENT GRID</t>
        </is>
      </c>
      <c r="J2" s="669" t="n"/>
      <c r="K2" s="669" t="n"/>
    </row>
    <row r="3">
      <c r="C3" s="801" t="n"/>
      <c r="D3" s="801" t="inlineStr">
        <is>
          <t>Subject</t>
        </is>
      </c>
      <c r="E3" s="801" t="inlineStr">
        <is>
          <t>Sale 1</t>
        </is>
      </c>
      <c r="F3" s="1537" t="inlineStr">
        <is>
          <t>Sale 2</t>
        </is>
      </c>
      <c r="G3" s="1537" t="inlineStr">
        <is>
          <t>Sale 3</t>
        </is>
      </c>
      <c r="H3" s="1537" t="inlineStr">
        <is>
          <t>Sale 4</t>
        </is>
      </c>
      <c r="I3" s="1537" t="inlineStr">
        <is>
          <t>Sale 5</t>
        </is>
      </c>
      <c r="J3" s="1548" t="inlineStr">
        <is>
          <t>Listing 1</t>
        </is>
      </c>
    </row>
    <row r="4" customFormat="1" s="1572">
      <c r="C4" s="744" t="inlineStr">
        <is>
          <t>Address</t>
        </is>
      </c>
      <c r="D4" s="747">
        <f>Export030823!B2</f>
        <v/>
      </c>
      <c r="E4" s="1567">
        <f>Export030823!B3</f>
        <v/>
      </c>
      <c r="F4" s="1599">
        <f>Export030823!B4</f>
        <v/>
      </c>
      <c r="G4" s="1599">
        <f>Export030823!B5</f>
        <v/>
      </c>
      <c r="H4" s="1585">
        <f>Export030823!B6</f>
        <v/>
      </c>
      <c r="I4" s="1585">
        <f>Export030823!B7</f>
        <v/>
      </c>
      <c r="J4" s="1567" t="n"/>
    </row>
    <row r="5" ht="30" customHeight="1" s="1449">
      <c r="C5" s="634" t="inlineStr">
        <is>
          <t>City, State</t>
        </is>
      </c>
      <c r="D5" s="747">
        <f>Export030823!C2</f>
        <v/>
      </c>
      <c r="E5" s="1570">
        <f>Export030823!C3</f>
        <v/>
      </c>
      <c r="F5" s="1578">
        <f>Export030823!C4</f>
        <v/>
      </c>
      <c r="G5" s="1578">
        <f>Export030823!C5</f>
        <v/>
      </c>
      <c r="H5" s="1601">
        <f>Export030823!C6</f>
        <v/>
      </c>
      <c r="I5" s="1601">
        <f>Export030823!C7</f>
        <v/>
      </c>
      <c r="J5" s="1570" t="n"/>
    </row>
    <row r="6" hidden="1" ht="30" customHeight="1" s="1449">
      <c r="C6" s="634" t="inlineStr">
        <is>
          <t>Parcel Number</t>
        </is>
      </c>
      <c r="D6" s="748">
        <f>Export030823!D2</f>
        <v/>
      </c>
      <c r="E6" s="1567">
        <f>Export030823!D3</f>
        <v/>
      </c>
      <c r="F6" s="1599">
        <f>Export030823!D4</f>
        <v/>
      </c>
      <c r="G6" s="1599">
        <f>Export030823!D5</f>
        <v/>
      </c>
      <c r="H6" s="1601">
        <f>Export030823!D6</f>
        <v/>
      </c>
      <c r="I6" s="1601">
        <f>Export030823!D7</f>
        <v/>
      </c>
      <c r="J6" s="1567" t="n"/>
    </row>
    <row r="7">
      <c r="C7" s="634" t="inlineStr">
        <is>
          <t>Property Type</t>
        </is>
      </c>
      <c r="D7" s="747">
        <f>Export030823!E2</f>
        <v/>
      </c>
      <c r="E7" s="1570">
        <f>Export030823!E3</f>
        <v/>
      </c>
      <c r="F7" s="1578">
        <f>Export030823!E4</f>
        <v/>
      </c>
      <c r="G7" s="1578">
        <f>Export030823!E5</f>
        <v/>
      </c>
      <c r="H7" s="1601">
        <f>Export030823!E6</f>
        <v/>
      </c>
      <c r="I7" s="1601">
        <f>Export030823!E7</f>
        <v/>
      </c>
      <c r="J7" s="1570" t="n"/>
    </row>
    <row r="8">
      <c r="C8" s="634" t="inlineStr">
        <is>
          <t>Sale Date</t>
        </is>
      </c>
      <c r="D8" s="749" t="inlineStr">
        <is>
          <t>N/A</t>
        </is>
      </c>
      <c r="E8" s="1998">
        <f>Export030823!F3</f>
        <v/>
      </c>
      <c r="F8" s="1999">
        <f>Export030823!F4</f>
        <v/>
      </c>
      <c r="G8" s="1999">
        <f>Export030823!F5</f>
        <v/>
      </c>
      <c r="H8" s="2000">
        <f>Export030823!F6</f>
        <v/>
      </c>
      <c r="I8" s="2000">
        <f>Export030823!F7</f>
        <v/>
      </c>
      <c r="J8" s="1998" t="n"/>
    </row>
    <row r="9">
      <c r="C9" s="634" t="inlineStr">
        <is>
          <t>Sale Price</t>
        </is>
      </c>
      <c r="D9" s="2001" t="inlineStr">
        <is>
          <t>N/A</t>
        </is>
      </c>
      <c r="E9" s="2002">
        <f>Export030823!G3</f>
        <v/>
      </c>
      <c r="F9" s="2003">
        <f>Export030823!G4</f>
        <v/>
      </c>
      <c r="G9" s="2003">
        <f>Export030823!G5</f>
        <v/>
      </c>
      <c r="H9" s="2004">
        <f>Export030823!G6</f>
        <v/>
      </c>
      <c r="I9" s="2004">
        <f>Export030823!G7</f>
        <v/>
      </c>
      <c r="J9" s="2002" t="n"/>
    </row>
    <row r="10" hidden="1" s="1449">
      <c r="C10" s="634" t="inlineStr">
        <is>
          <t>Listing Price</t>
        </is>
      </c>
      <c r="D10" s="2001" t="inlineStr">
        <is>
          <t>N/A</t>
        </is>
      </c>
      <c r="E10" s="2002">
        <f>Export030823!I3</f>
        <v/>
      </c>
      <c r="F10" s="2003">
        <f>Export030823!I4</f>
        <v/>
      </c>
      <c r="G10" s="2003">
        <f>Export030823!I5</f>
        <v/>
      </c>
      <c r="H10" s="2004">
        <f>Export030823!I6</f>
        <v/>
      </c>
      <c r="I10" s="2004">
        <f>Export030823!I7</f>
        <v/>
      </c>
      <c r="J10" s="2002" t="n"/>
      <c r="K10" s="2002" t="n">
        <v>6769231</v>
      </c>
    </row>
    <row r="11" hidden="1" s="1449">
      <c r="C11" s="635" t="inlineStr">
        <is>
          <t>Days On Market</t>
        </is>
      </c>
      <c r="D11" s="749" t="inlineStr">
        <is>
          <t>N/A</t>
        </is>
      </c>
      <c r="E11" s="746">
        <f>Export030823!J3</f>
        <v/>
      </c>
      <c r="F11" s="740">
        <f>Export030823!J4</f>
        <v/>
      </c>
      <c r="G11" s="740">
        <f>Export030823!J5</f>
        <v/>
      </c>
      <c r="H11" s="772">
        <f>Export030823!J6</f>
        <v/>
      </c>
      <c r="I11" s="772">
        <f>Export030823!J7</f>
        <v/>
      </c>
      <c r="J11" s="1570" t="n"/>
    </row>
    <row r="12" hidden="1" ht="28.5" customHeight="1" s="1449">
      <c r="C12" s="634" t="inlineStr">
        <is>
          <t>Data Source</t>
        </is>
      </c>
      <c r="D12" s="751" t="inlineStr">
        <is>
          <t>Inspection, Lease, Site Plans, Assessor</t>
        </is>
      </c>
      <c r="E12" s="1567" t="inlineStr">
        <is>
          <t>CoStar, Assessor, Deed</t>
        </is>
      </c>
      <c r="F12" s="1599" t="inlineStr">
        <is>
          <t>CoStar, Assessor, Deed</t>
        </is>
      </c>
      <c r="G12" s="1599" t="inlineStr">
        <is>
          <t>CoStar, Assessor, Deed</t>
        </is>
      </c>
      <c r="H12" s="1585" t="inlineStr">
        <is>
          <t>CoStar, Assessor, Deed</t>
        </is>
      </c>
      <c r="I12" s="1585" t="inlineStr">
        <is>
          <t>CoStar, Assessor, Offering Memorandum</t>
        </is>
      </c>
      <c r="J12" s="1567" t="n"/>
    </row>
    <row r="13">
      <c r="C13" s="634" t="inlineStr">
        <is>
          <t>Property Size (SF)</t>
        </is>
      </c>
      <c r="D13" s="752">
        <f>Export030823!K2</f>
        <v/>
      </c>
      <c r="E13" s="1565">
        <f>Export030823!K3</f>
        <v/>
      </c>
      <c r="F13" s="1606">
        <f>Export030823!K4</f>
        <v/>
      </c>
      <c r="G13" s="1606">
        <f>Export030823!K5</f>
        <v/>
      </c>
      <c r="H13" s="1597">
        <f>Export030823!K6</f>
        <v/>
      </c>
      <c r="I13" s="1597">
        <f>Export030823!K7</f>
        <v/>
      </c>
      <c r="J13" s="1565" t="n"/>
    </row>
    <row r="14">
      <c r="C14" s="634" t="inlineStr">
        <is>
          <t>Site Size (SF)</t>
        </is>
      </c>
      <c r="D14" s="753">
        <f>Export030823!L2</f>
        <v/>
      </c>
      <c r="E14" s="1565">
        <f>Export030823!L3</f>
        <v/>
      </c>
      <c r="F14" s="1606">
        <f>Export030823!L4</f>
        <v/>
      </c>
      <c r="G14" s="1606">
        <f>Export030823!L5</f>
        <v/>
      </c>
      <c r="H14" s="1597">
        <f>Export030823!L6</f>
        <v/>
      </c>
      <c r="I14" s="1597">
        <f>Export030823!L7</f>
        <v/>
      </c>
      <c r="J14" s="1565" t="n"/>
    </row>
    <row r="15" hidden="1" s="1449">
      <c r="C15" s="634" t="inlineStr">
        <is>
          <t>Parking Spaces</t>
        </is>
      </c>
      <c r="D15" s="754" t="n">
        <v>41</v>
      </c>
      <c r="E15" s="741" t="n"/>
      <c r="F15" s="741" t="n"/>
      <c r="G15" s="741" t="n"/>
      <c r="H15" s="742" t="n"/>
      <c r="I15" s="742" t="n"/>
      <c r="J15" s="1569" t="n"/>
    </row>
    <row r="16" hidden="1" ht="70.5" customHeight="1" s="1449">
      <c r="C16" s="634" t="inlineStr">
        <is>
          <t>Comments</t>
        </is>
      </c>
      <c r="D16" s="2005" t="n"/>
      <c r="E16" s="2006" t="n"/>
      <c r="F16" s="2006" t="n"/>
      <c r="G16" s="2006" t="n"/>
      <c r="H16" s="2006" t="n"/>
      <c r="I16" s="2006" t="n"/>
      <c r="J16" s="2007" t="n"/>
      <c r="K16" s="1545" t="n"/>
    </row>
    <row r="17">
      <c r="C17" s="636" t="inlineStr">
        <is>
          <t>Unadjusted Price Per SF</t>
        </is>
      </c>
      <c r="D17" s="2008" t="n"/>
      <c r="E17" s="2009">
        <f>E9/E13</f>
        <v/>
      </c>
      <c r="F17" s="2009">
        <f>F9/F13</f>
        <v/>
      </c>
      <c r="G17" s="2009">
        <f>G9/G13</f>
        <v/>
      </c>
      <c r="H17" s="2009">
        <f>H9/H13</f>
        <v/>
      </c>
      <c r="I17" s="2009">
        <f>I9/I13</f>
        <v/>
      </c>
      <c r="J17" s="639" t="n"/>
      <c r="K17" s="2010">
        <f>K10/J13</f>
        <v/>
      </c>
    </row>
    <row r="18" ht="12.6" customHeight="1" s="1449">
      <c r="C18" s="802" t="inlineStr">
        <is>
          <t>Quantified Adjustments</t>
        </is>
      </c>
      <c r="D18" s="803" t="n"/>
      <c r="E18" s="804" t="n"/>
      <c r="F18" s="804" t="n"/>
      <c r="G18" s="804" t="n"/>
      <c r="H18" s="804" t="n"/>
      <c r="I18" s="804" t="n"/>
      <c r="J18" s="640" t="n"/>
      <c r="K18" s="640" t="n"/>
    </row>
    <row r="19" hidden="1" s="1449">
      <c r="C19" s="641" t="inlineStr">
        <is>
          <t>Sale Type</t>
        </is>
      </c>
      <c r="D19" s="757">
        <f>Export030823!M2</f>
        <v/>
      </c>
      <c r="E19" s="2011">
        <f>Export030823!M3</f>
        <v/>
      </c>
      <c r="F19" s="2011">
        <f>Export030823!M4</f>
        <v/>
      </c>
      <c r="G19" s="2011">
        <f>Export030823!M5</f>
        <v/>
      </c>
      <c r="H19" s="2011">
        <f>Export030823!M6</f>
        <v/>
      </c>
      <c r="I19" s="2011">
        <f>Export030823!M7</f>
        <v/>
      </c>
      <c r="J19" s="643" t="inlineStr">
        <is>
          <t>Leased Fee</t>
        </is>
      </c>
      <c r="K19" s="2012" t="n"/>
    </row>
    <row r="20">
      <c r="C20" s="634" t="inlineStr">
        <is>
          <t>Financing</t>
        </is>
      </c>
      <c r="D20" s="749" t="inlineStr">
        <is>
          <t>Market Based</t>
        </is>
      </c>
      <c r="E20" s="2013">
        <f>Export030823!N3</f>
        <v/>
      </c>
      <c r="F20" s="2013">
        <f>Export030823!N4</f>
        <v/>
      </c>
      <c r="G20" s="2013">
        <f>Export030823!N5</f>
        <v/>
      </c>
      <c r="H20" s="2013">
        <f>Export030823!N6</f>
        <v/>
      </c>
      <c r="I20" s="2013">
        <f>Export030823!N7</f>
        <v/>
      </c>
      <c r="J20" s="648" t="n"/>
      <c r="K20" s="2014" t="n"/>
    </row>
    <row r="21">
      <c r="C21" s="634" t="inlineStr">
        <is>
          <t>Terms/Conditions of Sale</t>
        </is>
      </c>
      <c r="D21" s="749" t="inlineStr">
        <is>
          <t>None</t>
        </is>
      </c>
      <c r="E21" s="2013">
        <f>Export030823!O3</f>
        <v/>
      </c>
      <c r="F21" s="2013">
        <f>Export030823!O4</f>
        <v/>
      </c>
      <c r="G21" s="2013">
        <f>Export030823!O5</f>
        <v/>
      </c>
      <c r="H21" s="2013">
        <f>Export030823!O6</f>
        <v/>
      </c>
      <c r="I21" s="2013">
        <f>Export030823!O7</f>
        <v/>
      </c>
      <c r="J21" s="646" t="inlineStr">
        <is>
          <t>Active Listing</t>
        </is>
      </c>
      <c r="K21" s="2014" t="n"/>
    </row>
    <row r="22">
      <c r="C22" s="634" t="inlineStr">
        <is>
          <t>Expenditures After Sale</t>
        </is>
      </c>
      <c r="D22" s="749" t="inlineStr">
        <is>
          <t>None</t>
        </is>
      </c>
      <c r="E22" s="2013">
        <f>Export030823!P3</f>
        <v/>
      </c>
      <c r="F22" s="2013">
        <f>Export030823!P4</f>
        <v/>
      </c>
      <c r="G22" s="2013">
        <f>Export030823!P5</f>
        <v/>
      </c>
      <c r="H22" s="2013">
        <f>Export030823!P6</f>
        <v/>
      </c>
      <c r="I22" s="2013">
        <f>Export030823!P7</f>
        <v/>
      </c>
      <c r="J22" s="648" t="n"/>
      <c r="K22" s="2014" t="n"/>
    </row>
    <row r="23">
      <c r="C23" s="634" t="inlineStr">
        <is>
          <t>Market Conditions</t>
        </is>
      </c>
      <c r="D23" s="749" t="inlineStr">
        <is>
          <t>N/A</t>
        </is>
      </c>
      <c r="E23" s="2013">
        <f>Export030823!Q3</f>
        <v/>
      </c>
      <c r="F23" s="2013">
        <f>Export030823!Q4</f>
        <v/>
      </c>
      <c r="G23" s="2013">
        <f>Export030823!Q5</f>
        <v/>
      </c>
      <c r="H23" s="2013">
        <f>Export030823!Q6</f>
        <v/>
      </c>
      <c r="I23" s="2013">
        <f>Export030823!Q7</f>
        <v/>
      </c>
      <c r="J23" s="648" t="n"/>
      <c r="K23" s="2014" t="n"/>
    </row>
    <row r="24" hidden="1" s="1449">
      <c r="C24" s="644" t="inlineStr">
        <is>
          <t>Market Conditions Adjusted</t>
        </is>
      </c>
      <c r="D24" s="749" t="n"/>
      <c r="E24" s="2015">
        <f>IF(LEFT(CELL("format",E23),1)="P",#REF!*(1+E23),IF(LEFT(CELL("format",E23),1)="C",#REF!+E23))</f>
        <v/>
      </c>
      <c r="F24" s="2015">
        <f>IF(LEFT(CELL("format",F23),1)="P",#REF!*(1+F23),IF(LEFT(CELL("format",F23),1)="C",#REF!+F23))</f>
        <v/>
      </c>
      <c r="G24" s="2015">
        <f>IF(LEFT(CELL("format",G23),1)="P",#REF!*(1+G23),IF(LEFT(CELL("format",G23),1)="C",#REF!+G23))</f>
        <v/>
      </c>
      <c r="H24" s="2015">
        <f>IF(LEFT(CELL("format",H23),1)="P",#REF!*(1+H23),IF(LEFT(CELL("format",H23),1)="C",#REF!+H23))</f>
        <v/>
      </c>
      <c r="I24" s="2015">
        <f>IF(LEFT(CELL("format",I23),1)="P",#REF!*(1+I23),IF(LEFT(CELL("format",I23),1)="C",#REF!+I23))</f>
        <v/>
      </c>
      <c r="J24" s="646" t="n"/>
      <c r="K24" s="2016" t="n"/>
    </row>
    <row r="25" ht="18.75" customHeight="1" s="1449">
      <c r="C25" s="649" t="inlineStr">
        <is>
          <t>Total Quantified Adjustment</t>
        </is>
      </c>
      <c r="D25" s="758" t="n"/>
      <c r="E25" s="2017">
        <f>SUM(E19:E23)</f>
        <v/>
      </c>
      <c r="F25" s="2017">
        <f>SUM(F19:F23)</f>
        <v/>
      </c>
      <c r="G25" s="2017">
        <f>SUM(G19:G23)</f>
        <v/>
      </c>
      <c r="H25" s="2017">
        <f>SUM(H19:H23)</f>
        <v/>
      </c>
      <c r="I25" s="2017">
        <f>SUM(I19:I23)</f>
        <v/>
      </c>
      <c r="J25" s="651" t="n"/>
      <c r="K25" s="650" t="n"/>
    </row>
    <row r="26">
      <c r="C26" s="652" t="inlineStr">
        <is>
          <t>Quantitatively Adjusted Price</t>
        </is>
      </c>
      <c r="D26" s="759" t="n"/>
      <c r="E26" s="2018">
        <f>E17+(E17*E25)</f>
        <v/>
      </c>
      <c r="F26" s="2018">
        <f>F17+(F17*F25)</f>
        <v/>
      </c>
      <c r="G26" s="2018">
        <f>G17+(G17*G25)</f>
        <v/>
      </c>
      <c r="H26" s="2018">
        <f>H17+(H17*H25)</f>
        <v/>
      </c>
      <c r="I26" s="2018">
        <f>I17+(I17*I25)</f>
        <v/>
      </c>
      <c r="J26" s="651" t="n"/>
      <c r="K26" s="2019" t="n"/>
    </row>
    <row r="27">
      <c r="C27" s="802" t="inlineStr">
        <is>
          <t>Qualitative Adjustments</t>
        </is>
      </c>
      <c r="D27" s="803" t="n"/>
      <c r="E27" s="2020" t="n"/>
      <c r="F27" s="804" t="n"/>
      <c r="G27" s="804" t="n"/>
      <c r="H27" s="804" t="n"/>
      <c r="I27" s="804" t="n"/>
      <c r="J27" s="656" t="n"/>
      <c r="K27" s="2021" t="n"/>
    </row>
    <row r="28">
      <c r="C28" s="762">
        <f>Export030823!R1</f>
        <v/>
      </c>
      <c r="D28" s="764">
        <f>Export030823!R2</f>
        <v/>
      </c>
      <c r="E28" s="2013">
        <f>Export030823!R3</f>
        <v/>
      </c>
      <c r="F28" s="2013">
        <f>Export030823!R4</f>
        <v/>
      </c>
      <c r="G28" s="2013">
        <f>Export030823!R5</f>
        <v/>
      </c>
      <c r="H28" s="2013">
        <f>Export030823!R6</f>
        <v/>
      </c>
      <c r="I28" s="2013">
        <f>Export030823!R7</f>
        <v/>
      </c>
      <c r="J28" s="658" t="inlineStr">
        <is>
          <t>Good</t>
        </is>
      </c>
      <c r="K28" s="2022" t="n"/>
    </row>
    <row r="29">
      <c r="C29" s="763">
        <f>Export030823!S1</f>
        <v/>
      </c>
      <c r="D29" s="765">
        <f>Export030823!S2</f>
        <v/>
      </c>
      <c r="E29" s="2013">
        <f>Export030823!S3</f>
        <v/>
      </c>
      <c r="F29" s="2013">
        <f>Export030823!S4</f>
        <v/>
      </c>
      <c r="G29" s="2013">
        <f>Export030823!S5</f>
        <v/>
      </c>
      <c r="H29" s="2013">
        <f>Export030823!S6</f>
        <v/>
      </c>
      <c r="I29" s="2013">
        <f>Export030823!S7</f>
        <v/>
      </c>
      <c r="J29" s="659">
        <f>J13</f>
        <v/>
      </c>
      <c r="K29" s="2022" t="n"/>
    </row>
    <row r="30">
      <c r="C30" s="763">
        <f>Export030823!T1</f>
        <v/>
      </c>
      <c r="D30" s="788">
        <f>Export030823!T2</f>
        <v/>
      </c>
      <c r="E30" s="2013">
        <f>Export030823!T3</f>
        <v/>
      </c>
      <c r="F30" s="2013">
        <f>Export030823!T4</f>
        <v/>
      </c>
      <c r="G30" s="2013">
        <f>Export030823!T5</f>
        <v/>
      </c>
      <c r="H30" s="2013">
        <f>Export030823!T6</f>
        <v/>
      </c>
      <c r="I30" s="2013">
        <f>Export030823!T7</f>
        <v/>
      </c>
      <c r="J30" s="658" t="inlineStr">
        <is>
          <t>2019 / Very Good</t>
        </is>
      </c>
      <c r="K30" s="2022" t="n"/>
    </row>
    <row r="31">
      <c r="C31" s="762">
        <f>Export030823!U1</f>
        <v/>
      </c>
      <c r="D31" s="764">
        <f>Export030823!U2</f>
        <v/>
      </c>
      <c r="E31" s="2013">
        <f>Export030823!U3</f>
        <v/>
      </c>
      <c r="F31" s="2013">
        <f>Export030823!U4</f>
        <v/>
      </c>
      <c r="G31" s="2013">
        <f>Export030823!U5</f>
        <v/>
      </c>
      <c r="H31" s="2013">
        <f>Export030823!U6</f>
        <v/>
      </c>
      <c r="I31" s="2013">
        <f>Export030823!U7</f>
        <v/>
      </c>
      <c r="J31" s="658" t="inlineStr">
        <is>
          <t>Good</t>
        </is>
      </c>
      <c r="K31" s="2022" t="n"/>
    </row>
    <row r="32">
      <c r="C32" s="763">
        <f>Export030823!V1</f>
        <v/>
      </c>
      <c r="D32" s="766">
        <f>Export030823!V2</f>
        <v/>
      </c>
      <c r="E32" s="2013">
        <f>Export030823!V3</f>
        <v/>
      </c>
      <c r="F32" s="2013">
        <f>Export030823!V4</f>
        <v/>
      </c>
      <c r="G32" s="2013">
        <f>Export030823!V5</f>
        <v/>
      </c>
      <c r="H32" s="2013">
        <f>Export030823!V6</f>
        <v/>
      </c>
      <c r="I32" s="2013">
        <f>Export030823!V7</f>
        <v/>
      </c>
      <c r="J32" s="660">
        <f>ROUND((J15/J13)*1000,2)&amp; ":1,000 SF"</f>
        <v/>
      </c>
      <c r="K32" s="2022" t="n"/>
    </row>
    <row r="33">
      <c r="C33" s="762">
        <f>Export030823!W1</f>
        <v/>
      </c>
      <c r="D33" s="764">
        <f>Export030823!W2</f>
        <v/>
      </c>
      <c r="E33" s="2013">
        <f>Export030823!W3</f>
        <v/>
      </c>
      <c r="F33" s="2013">
        <f>Export030823!W4</f>
        <v/>
      </c>
      <c r="G33" s="2013">
        <f>Export030823!W5</f>
        <v/>
      </c>
      <c r="H33" s="2013">
        <f>Export030823!W6</f>
        <v/>
      </c>
      <c r="I33" s="2013">
        <f>Export030823!W7</f>
        <v/>
      </c>
      <c r="J33" s="658" t="inlineStr">
        <is>
          <t>Good</t>
        </is>
      </c>
      <c r="K33" s="2022" t="n"/>
    </row>
    <row r="34">
      <c r="C34" s="763">
        <f>Export030823!X1</f>
        <v/>
      </c>
      <c r="D34" s="764">
        <f>Export030823!X2</f>
        <v/>
      </c>
      <c r="E34" s="2023">
        <f>Export030823!X3</f>
        <v/>
      </c>
      <c r="F34" s="2023">
        <f>Export030823!X4</f>
        <v/>
      </c>
      <c r="G34" s="2023">
        <f>Export030823!X5</f>
        <v/>
      </c>
      <c r="H34" s="2023">
        <f>Export030823!X6</f>
        <v/>
      </c>
      <c r="I34" s="2023">
        <f>Export030823!X7</f>
        <v/>
      </c>
      <c r="J34" s="662" t="inlineStr">
        <is>
          <t>Good</t>
        </is>
      </c>
      <c r="K34" s="2024" t="n"/>
    </row>
    <row r="35">
      <c r="C35" s="663" t="inlineStr">
        <is>
          <t>Total Non Quantified Adj.</t>
        </is>
      </c>
      <c r="D35" s="760" t="n"/>
      <c r="E35" s="2025">
        <f>SUM(E28,E29,E30,E31,E32,E33,E34)</f>
        <v/>
      </c>
      <c r="F35" s="2025">
        <f>SUM(F28,F29,F30,F31,F32,F33,F34)</f>
        <v/>
      </c>
      <c r="G35" s="2025">
        <f>SUM(G28,G29,G30,G31,G32,G33,G34)</f>
        <v/>
      </c>
      <c r="H35" s="2025">
        <f>SUM(H28,H29,H30,H31,H32,H33,H34)</f>
        <v/>
      </c>
      <c r="I35" s="2026">
        <f>SUM(I28,I29,I30,I31,I32,I33,I34)</f>
        <v/>
      </c>
      <c r="J35" s="636" t="n"/>
      <c r="K35" s="2027">
        <f>SUM(K28,K29,K30,K31,K32,K33,K34)</f>
        <v/>
      </c>
    </row>
    <row r="36">
      <c r="C36" s="665" t="inlineStr">
        <is>
          <t>Indication for Subject:</t>
        </is>
      </c>
      <c r="D36" s="761" t="n"/>
      <c r="E36" s="2028">
        <f>E26+(E26*E35)</f>
        <v/>
      </c>
      <c r="F36" s="2029">
        <f>F26+(F26*F35)</f>
        <v/>
      </c>
      <c r="G36" s="2030">
        <f>G26+(G26*G35)</f>
        <v/>
      </c>
      <c r="H36" s="2030">
        <f>H26+(H26*H35)</f>
        <v/>
      </c>
      <c r="I36" s="2030">
        <f>I26+(I26*I35)</f>
        <v/>
      </c>
      <c r="J36" s="668" t="n"/>
      <c r="K36" s="2031">
        <f>IF(LEFT(CELL("format",K35),1)="P",K26*(1+K35),IF(LEFT(CELL("format",K35),1)="C",K26+K35))</f>
        <v/>
      </c>
    </row>
    <row r="37" hidden="1" s="1449"/>
    <row r="39">
      <c r="C39" s="1549" t="inlineStr">
        <is>
          <t xml:space="preserve">SALES COMPARISON APPROACH VALUE CONCLUSION </t>
        </is>
      </c>
    </row>
    <row r="40">
      <c r="C40" s="1560" t="inlineStr">
        <is>
          <t>Indicated Value per SF</t>
        </is>
      </c>
      <c r="D40" s="1885" t="n"/>
    </row>
    <row r="41">
      <c r="C41" s="1560" t="inlineStr">
        <is>
          <t>Building Area (SF)</t>
        </is>
      </c>
      <c r="D41" s="2032">
        <f>'Property Info'!B5</f>
        <v/>
      </c>
    </row>
    <row r="42" hidden="1" s="1449">
      <c r="C42" s="899">
        <f>IF(D43=0,"HIDE THIS ROW IF NO DEFERRED MAINTENANCE", "Indicated Value")</f>
        <v/>
      </c>
      <c r="D42" s="2033">
        <f>D40*D41</f>
        <v/>
      </c>
    </row>
    <row r="43" hidden="1" s="1449">
      <c r="C43" s="901" t="inlineStr">
        <is>
          <t xml:space="preserve">Contract Price </t>
        </is>
      </c>
      <c r="D43" s="2034" t="n">
        <v>0</v>
      </c>
    </row>
    <row r="44" hidden="1" s="1449">
      <c r="C44" s="2035">
        <f>D42+D43</f>
        <v/>
      </c>
      <c r="D44" s="1464" t="n"/>
    </row>
    <row r="45">
      <c r="C45" s="903">
        <f>IF(SUM(D43:D43)=0,"Indicated Value","Indicated Value - Adjusted")</f>
        <v/>
      </c>
      <c r="D45" s="2036">
        <f>C44</f>
        <v/>
      </c>
    </row>
    <row r="46">
      <c r="C46" s="1891" t="n">
        <v>5000</v>
      </c>
      <c r="D46" s="1892">
        <f>ROUND((D45/C46),0)*C46</f>
        <v/>
      </c>
    </row>
    <row r="47">
      <c r="C47" s="1666" t="inlineStr">
        <is>
          <t>Per SF</t>
        </is>
      </c>
      <c r="D47" s="1893">
        <f>D46/D41</f>
        <v/>
      </c>
      <c r="F47" s="2037" t="n"/>
      <c r="G47" s="1758" t="n"/>
    </row>
    <row r="48" hidden="1" s="1449">
      <c r="F48" s="909" t="n"/>
      <c r="G48" s="909" t="n"/>
    </row>
    <row r="49" hidden="1" s="1449"/>
    <row r="51">
      <c r="C51" s="722" t="inlineStr">
        <is>
          <t>Assessor's Assigned Value</t>
        </is>
      </c>
      <c r="D51" s="2038">
        <f>'Property Info'!B21</f>
        <v/>
      </c>
      <c r="E51" s="2039">
        <f>D51/D29</f>
        <v/>
      </c>
    </row>
    <row r="52">
      <c r="C52" s="725" t="inlineStr">
        <is>
          <t>Petition Value</t>
        </is>
      </c>
      <c r="D52" s="2040">
        <f>'Property Info'!B22</f>
        <v/>
      </c>
      <c r="E52" s="2041">
        <f>'Basic Sales Grid'!D52/'Basic Sales Grid'!D29</f>
        <v/>
      </c>
      <c r="O52" s="1493" t="inlineStr">
        <is>
          <t>COMPARABLE SALE SEARCH</t>
        </is>
      </c>
    </row>
    <row r="53" ht="16.5" customHeight="1" s="1449">
      <c r="O53" s="910" t="inlineStr">
        <is>
          <t>SEARCH FOR COMPARABLE SALES</t>
        </is>
      </c>
      <c r="P53" s="910" t="n"/>
    </row>
    <row r="54">
      <c r="O54" s="1051" t="inlineStr">
        <is>
          <t>Property Type Searched</t>
        </is>
      </c>
      <c r="P54" s="1212" t="n"/>
    </row>
    <row r="55">
      <c r="O55" s="1051" t="inlineStr">
        <is>
          <t>Search Radius</t>
        </is>
      </c>
      <c r="P55" s="1212" t="n"/>
    </row>
    <row r="56">
      <c r="O56" s="1051" t="inlineStr">
        <is>
          <t>SF Parameters</t>
        </is>
      </c>
      <c r="P56" s="1212" t="n"/>
    </row>
    <row r="57">
      <c r="O57" s="1051" t="inlineStr">
        <is>
          <t>Property Rights Conveyed</t>
        </is>
      </c>
      <c r="P57" s="1212" t="n"/>
    </row>
    <row r="58">
      <c r="O58" s="910" t="inlineStr">
        <is>
          <t>COMPARABLES UTILIZED</t>
        </is>
      </c>
      <c r="P58" s="910" t="n"/>
    </row>
    <row r="59">
      <c r="O59" s="1051" t="inlineStr">
        <is>
          <t>Sales</t>
        </is>
      </c>
      <c r="P59" s="1496" t="n"/>
    </row>
    <row r="60">
      <c r="O60" s="1052" t="inlineStr">
        <is>
          <t>Confirmations</t>
        </is>
      </c>
      <c r="P60" s="1334" t="n"/>
    </row>
    <row r="62" ht="13.5" customHeight="1" s="1449"/>
    <row r="63">
      <c r="R63" s="1493" t="inlineStr">
        <is>
          <t>RANKING OF THE SUBJECT PROPERTY</t>
        </is>
      </c>
    </row>
    <row r="64">
      <c r="R64" s="888" t="inlineStr">
        <is>
          <t>COMPARABLE</t>
        </is>
      </c>
      <c r="S64" s="888" t="inlineStr">
        <is>
          <t>VALUE PSF</t>
        </is>
      </c>
      <c r="T64" s="888" t="inlineStr">
        <is>
          <t>COMPARISON</t>
        </is>
      </c>
    </row>
    <row r="65">
      <c r="R65" s="1335" t="n">
        <v>4</v>
      </c>
      <c r="S65" s="1786">
        <f>H36</f>
        <v/>
      </c>
      <c r="T65" s="1335" t="inlineStr">
        <is>
          <t>Below</t>
        </is>
      </c>
    </row>
    <row r="66">
      <c r="R66" s="1335" t="n">
        <v>2</v>
      </c>
      <c r="S66" s="1786">
        <f>F36</f>
        <v/>
      </c>
      <c r="T66" s="1335" t="inlineStr">
        <is>
          <t>Below</t>
        </is>
      </c>
    </row>
    <row r="67">
      <c r="R67" s="1336" t="inlineStr">
        <is>
          <t>Subject</t>
        </is>
      </c>
      <c r="S67" s="2042" t="n"/>
      <c r="T67" s="1338" t="n"/>
    </row>
    <row r="68">
      <c r="R68" s="1335" t="n">
        <v>3</v>
      </c>
      <c r="S68" s="1786">
        <f>G36</f>
        <v/>
      </c>
      <c r="T68" s="1335" t="inlineStr">
        <is>
          <t>Above</t>
        </is>
      </c>
    </row>
    <row r="69">
      <c r="R69" s="1339" t="n">
        <v>1</v>
      </c>
      <c r="S69" s="1791">
        <f>E36</f>
        <v/>
      </c>
      <c r="T69" s="1339" t="inlineStr">
        <is>
          <t>Above</t>
        </is>
      </c>
    </row>
    <row r="70" hidden="1" s="1449">
      <c r="R70" s="911" t="n">
        <v>1</v>
      </c>
      <c r="S70" s="2043" t="n"/>
      <c r="T70" s="911" t="inlineStr">
        <is>
          <t>Inferior</t>
        </is>
      </c>
    </row>
  </sheetData>
  <mergeCells count="18">
    <mergeCell ref="J3:K3"/>
    <mergeCell ref="J4:K4"/>
    <mergeCell ref="J11:K11"/>
    <mergeCell ref="J12:K12"/>
    <mergeCell ref="J5:K5"/>
    <mergeCell ref="R63:T63"/>
    <mergeCell ref="J6:K6"/>
    <mergeCell ref="J16:K16"/>
    <mergeCell ref="J14:K14"/>
    <mergeCell ref="J15:K15"/>
    <mergeCell ref="J7:K7"/>
    <mergeCell ref="J9:K9"/>
    <mergeCell ref="C44:D44"/>
    <mergeCell ref="C2:I2"/>
    <mergeCell ref="J13:K13"/>
    <mergeCell ref="J8:K8"/>
    <mergeCell ref="C39:D39"/>
    <mergeCell ref="O52:P52"/>
  </mergeCells>
  <conditionalFormatting sqref="C42">
    <cfRule type="expression" priority="5" dxfId="0" stopIfTrue="1">
      <formula>SUM(D43:D43)=0</formula>
    </cfRule>
  </conditionalFormatting>
  <conditionalFormatting sqref="C43">
    <cfRule type="expression" priority="4" dxfId="2">
      <formula>D43=0</formula>
    </cfRule>
  </conditionalFormatting>
  <conditionalFormatting sqref="C44">
    <cfRule type="expression" priority="1" dxfId="0" stopIfTrue="1">
      <formula>SUM(D45:D45)=0</formula>
    </cfRule>
  </conditionalFormatting>
  <dataValidations count="2">
    <dataValidation sqref="J36" showDropDown="0" showInputMessage="1" showErrorMessage="1" allowBlank="1" type="list">
      <formula1>lstCondition</formula1>
    </dataValidation>
    <dataValidation sqref="D43" showDropDown="0" showInputMessage="1" showErrorMessage="1" allowBlank="1" promptTitle="Adjustment #2" prompt="Input adjustment to calculated value—default link to Deferred Maintenance entered in Cost Approach."/>
  </dataValidations>
  <pageMargins left="0.25" right="0.25" top="0.75" bottom="0.75" header="0.3" footer="0.3"/>
  <pageSetup orientation="landscape"/>
</worksheet>
</file>

<file path=xl/worksheets/sheet14.xml><?xml version="1.0" encoding="utf-8"?>
<worksheet xmlns="http://schemas.openxmlformats.org/spreadsheetml/2006/main">
  <sheetPr>
    <outlinePr summaryBelow="1" summaryRight="1"/>
    <pageSetUpPr/>
  </sheetPr>
  <dimension ref="C2:V68"/>
  <sheetViews>
    <sheetView showGridLines="0" zoomScale="120" zoomScaleNormal="120" workbookViewId="0">
      <selection activeCell="D61" sqref="D61"/>
    </sheetView>
  </sheetViews>
  <sheetFormatPr baseColWidth="8" defaultRowHeight="15"/>
  <cols>
    <col width="37.85546875" bestFit="1" customWidth="1" style="1449" min="3" max="3"/>
    <col width="26" bestFit="1" customWidth="1" style="1449" min="4" max="4"/>
    <col width="22.7109375" customWidth="1" style="1449" min="5" max="5"/>
    <col width="10.5703125" bestFit="1" customWidth="1" style="1449" min="6" max="6"/>
    <col width="22.7109375" customWidth="1" style="1449" min="7" max="7"/>
    <col width="9.140625" bestFit="1" customWidth="1" style="1449" min="8" max="8"/>
    <col width="22.7109375" customWidth="1" style="1449" min="9" max="9"/>
    <col width="9.140625" bestFit="1" customWidth="1" style="1449" min="10" max="10"/>
    <col width="23.85546875" customWidth="1" style="1449" min="11" max="11"/>
    <col width="9.140625" bestFit="1" customWidth="1" style="1449" min="12" max="12"/>
    <col width="22.7109375" customWidth="1" style="1449" min="13" max="13"/>
    <col width="9.140625" bestFit="1" customWidth="1" style="1449" min="14" max="14"/>
    <col hidden="1" width="20.7109375" customWidth="1" style="1449" min="15" max="15"/>
    <col hidden="1" width="8.85546875" customWidth="1" style="1449" min="16" max="16"/>
  </cols>
  <sheetData>
    <row r="2">
      <c r="C2" s="1577" t="inlineStr">
        <is>
          <t>COMPARABLE SALE ADJUSTMENT GRID</t>
        </is>
      </c>
    </row>
    <row r="3">
      <c r="C3" s="502" t="n"/>
      <c r="D3" s="502" t="inlineStr">
        <is>
          <t>Subject</t>
        </is>
      </c>
      <c r="E3" s="1598" t="inlineStr">
        <is>
          <t>Sale 1</t>
        </is>
      </c>
      <c r="G3" s="1548" t="inlineStr">
        <is>
          <t>Sale 2</t>
        </is>
      </c>
      <c r="I3" s="1548" t="inlineStr">
        <is>
          <t>Sale 3</t>
        </is>
      </c>
      <c r="K3" s="1598" t="inlineStr">
        <is>
          <t>Sale 4</t>
        </is>
      </c>
      <c r="M3" s="1548" t="inlineStr">
        <is>
          <t>Sale 5</t>
        </is>
      </c>
      <c r="O3" s="1600" t="inlineStr">
        <is>
          <t>Listing 1</t>
        </is>
      </c>
    </row>
    <row r="4">
      <c r="C4" s="503" t="inlineStr">
        <is>
          <t>Address</t>
        </is>
      </c>
      <c r="D4" s="505" t="n"/>
      <c r="E4" s="1601" t="n"/>
      <c r="F4" s="1575" t="n"/>
      <c r="G4" s="1574" t="n"/>
      <c r="H4" s="1575" t="n"/>
      <c r="I4" s="1574" t="n"/>
      <c r="J4" s="1575" t="n"/>
      <c r="K4" s="1574" t="n"/>
      <c r="L4" s="1575" t="n"/>
      <c r="M4" s="1576" t="n"/>
      <c r="O4" s="1584" t="n"/>
    </row>
    <row r="5">
      <c r="C5" s="503" t="inlineStr">
        <is>
          <t>City, State</t>
        </is>
      </c>
      <c r="D5" s="504" t="n"/>
      <c r="E5" s="1601" t="n"/>
      <c r="F5" s="1575" t="n"/>
      <c r="G5" s="1574" t="n"/>
      <c r="H5" s="1575" t="n"/>
      <c r="I5" s="1574" t="n"/>
      <c r="J5" s="1575" t="n"/>
      <c r="K5" s="1574" t="n"/>
      <c r="L5" s="1575" t="n"/>
      <c r="M5" s="1576" t="n"/>
      <c r="O5" s="1584" t="n"/>
    </row>
    <row r="6">
      <c r="C6" s="503" t="inlineStr">
        <is>
          <t>Parcel Number</t>
        </is>
      </c>
      <c r="D6" s="505" t="n"/>
      <c r="E6" s="1585" t="n"/>
      <c r="F6" s="1575" t="n"/>
      <c r="G6" s="1574" t="n"/>
      <c r="H6" s="1575" t="n"/>
      <c r="I6" s="1574" t="n"/>
      <c r="J6" s="1575" t="n"/>
      <c r="K6" s="1574" t="n"/>
      <c r="L6" s="1575" t="n"/>
      <c r="M6" s="1543" t="n"/>
      <c r="O6" s="1584" t="n"/>
    </row>
    <row r="7">
      <c r="C7" s="503" t="inlineStr">
        <is>
          <t>Property Type</t>
        </is>
      </c>
      <c r="D7" s="505" t="n"/>
      <c r="E7" s="1578" t="n"/>
      <c r="G7" s="1574" t="n"/>
      <c r="H7" s="1575" t="n"/>
      <c r="I7" s="1576" t="n"/>
      <c r="K7" s="1574" t="n"/>
      <c r="L7" s="1575" t="n"/>
      <c r="M7" s="1576" t="n"/>
      <c r="O7" s="1584" t="n"/>
    </row>
    <row r="8">
      <c r="C8" s="503" t="inlineStr">
        <is>
          <t>Sale Date</t>
        </is>
      </c>
      <c r="D8" s="506" t="n"/>
      <c r="E8" s="1999" t="n"/>
      <c r="G8" s="2044" t="n"/>
      <c r="H8" s="1575" t="n"/>
      <c r="I8" s="2045" t="n"/>
      <c r="K8" s="2044" t="n"/>
      <c r="L8" s="1575" t="n"/>
      <c r="M8" s="2045" t="n"/>
      <c r="O8" s="2046" t="n"/>
    </row>
    <row r="9">
      <c r="C9" s="503" t="inlineStr">
        <is>
          <t>Sale Price</t>
        </is>
      </c>
      <c r="D9" s="2047" t="n"/>
      <c r="E9" s="2004" t="n"/>
      <c r="F9" s="1575" t="n"/>
      <c r="G9" s="2048" t="n"/>
      <c r="H9" s="1575" t="n"/>
      <c r="I9" s="2048" t="n"/>
      <c r="J9" s="1575" t="n"/>
      <c r="K9" s="2048" t="n"/>
      <c r="L9" s="1575" t="n"/>
      <c r="M9" s="2049" t="n"/>
      <c r="O9" s="2050" t="n"/>
    </row>
    <row r="10">
      <c r="C10" s="503" t="inlineStr">
        <is>
          <t>Listing Price</t>
        </is>
      </c>
      <c r="D10" s="2047" t="n"/>
      <c r="E10" s="2003" t="n"/>
      <c r="F10" s="2002" t="n"/>
      <c r="G10" s="2048" t="n"/>
      <c r="H10" s="1575" t="n"/>
      <c r="I10" s="2048" t="n"/>
      <c r="J10" s="1575" t="n"/>
      <c r="K10" s="2048" t="n"/>
      <c r="L10" s="1575" t="n"/>
      <c r="M10" s="2049" t="n"/>
      <c r="O10" s="2050" t="n"/>
    </row>
    <row r="11">
      <c r="C11" s="503" t="inlineStr">
        <is>
          <t>Days On Market</t>
        </is>
      </c>
      <c r="D11" s="506" t="n"/>
      <c r="E11" s="1578" t="n"/>
      <c r="G11" s="1574" t="n"/>
      <c r="H11" s="1575" t="n"/>
      <c r="I11" s="1574" t="n"/>
      <c r="J11" s="1575" t="n"/>
      <c r="K11" s="2051" t="n"/>
      <c r="L11" s="1575" t="n"/>
      <c r="M11" s="508" t="n"/>
      <c r="N11" s="1584" t="n"/>
      <c r="O11" s="1584" t="n"/>
    </row>
    <row r="12" ht="38.25" customHeight="1" s="1449">
      <c r="C12" s="503" t="inlineStr">
        <is>
          <t>Data Source</t>
        </is>
      </c>
      <c r="D12" s="510" t="n"/>
      <c r="E12" s="1599" t="n"/>
      <c r="G12" s="1589" t="n"/>
      <c r="H12" s="1575" t="n"/>
      <c r="I12" s="1587" t="n"/>
      <c r="K12" s="1589" t="n"/>
      <c r="L12" s="1575" t="n"/>
      <c r="M12" s="1587" t="n"/>
      <c r="O12" s="1590" t="n"/>
    </row>
    <row r="13">
      <c r="C13" s="503" t="inlineStr">
        <is>
          <t>Property Size (SF)</t>
        </is>
      </c>
      <c r="D13" s="511" t="n"/>
      <c r="E13" s="1597" t="n"/>
      <c r="F13" s="1575" t="n"/>
      <c r="G13" s="1583" t="n"/>
      <c r="H13" s="1575" t="n"/>
      <c r="I13" s="1583" t="n"/>
      <c r="J13" s="1575" t="n"/>
      <c r="K13" s="1583" t="n"/>
      <c r="L13" s="1575" t="n"/>
      <c r="M13" s="1586" t="n"/>
      <c r="O13" s="1573" t="n"/>
    </row>
    <row r="14">
      <c r="C14" s="503" t="inlineStr">
        <is>
          <t>Site Size (SF)</t>
        </is>
      </c>
      <c r="D14" s="511" t="n"/>
      <c r="E14" s="1606" t="n"/>
      <c r="G14" s="1583" t="n"/>
      <c r="H14" s="1575" t="n"/>
      <c r="I14" s="1586" t="n"/>
      <c r="K14" s="1583" t="n"/>
      <c r="L14" s="1575" t="n"/>
      <c r="M14" s="1586" t="n"/>
      <c r="O14" s="1573" t="n"/>
      <c r="V14" s="471" t="n"/>
    </row>
    <row r="15">
      <c r="C15" s="503" t="inlineStr">
        <is>
          <t>Parking Spaces</t>
        </is>
      </c>
      <c r="D15" s="511" t="n"/>
      <c r="E15" s="1588" t="n"/>
      <c r="G15" s="1583" t="n"/>
      <c r="H15" s="1575" t="n"/>
      <c r="I15" s="1583" t="n"/>
      <c r="J15" s="1575" t="n"/>
      <c r="K15" s="1583" t="n"/>
      <c r="L15" s="1575" t="n"/>
      <c r="M15" s="1586" t="n"/>
      <c r="O15" s="1573" t="n"/>
    </row>
    <row r="16" ht="72" customHeight="1" s="1449">
      <c r="C16" s="503" t="inlineStr">
        <is>
          <t>Comments</t>
        </is>
      </c>
      <c r="D16" s="2052" t="n"/>
      <c r="E16" s="2053" t="n"/>
      <c r="F16" s="1593" t="n"/>
      <c r="G16" s="2054" t="n"/>
      <c r="H16" s="1593" t="n"/>
      <c r="I16" s="2054" t="n"/>
      <c r="J16" s="1593" t="n"/>
      <c r="K16" s="2054" t="n"/>
      <c r="L16" s="1593" t="n"/>
      <c r="M16" s="2055" t="n"/>
      <c r="N16" s="1545" t="n"/>
      <c r="O16" s="2056" t="n"/>
    </row>
    <row r="17" ht="12.6" customHeight="1" s="1449">
      <c r="C17" s="513" t="inlineStr">
        <is>
          <t>Unadjusted Price Per SF</t>
        </is>
      </c>
      <c r="D17" s="1843" t="n"/>
      <c r="E17" s="515" t="n"/>
      <c r="F17" s="1844" t="n"/>
      <c r="G17" s="515" t="n"/>
      <c r="H17" s="1844" t="n"/>
      <c r="I17" s="517" t="n"/>
      <c r="J17" s="2057" t="n"/>
      <c r="K17" s="515" t="n"/>
      <c r="L17" s="2058" t="n"/>
      <c r="M17" s="517" t="n"/>
      <c r="N17" s="2057" t="n"/>
      <c r="O17" s="609" t="n"/>
      <c r="P17" s="2059" t="n"/>
    </row>
    <row r="18">
      <c r="C18" s="520" t="inlineStr">
        <is>
          <t>Quantified Adjustments</t>
        </is>
      </c>
      <c r="D18" s="521" t="n"/>
      <c r="E18" s="522" t="n"/>
      <c r="F18" s="523" t="n"/>
      <c r="G18" s="522" t="n"/>
      <c r="H18" s="523" t="n"/>
      <c r="I18" s="524" t="n"/>
      <c r="J18" s="525" t="n"/>
      <c r="K18" s="522" t="n"/>
      <c r="L18" s="526" t="n"/>
      <c r="M18" s="524" t="n"/>
      <c r="N18" s="608" t="n"/>
      <c r="O18" s="525" t="n"/>
      <c r="P18" s="525" t="n"/>
    </row>
    <row r="19">
      <c r="C19" s="527" t="inlineStr">
        <is>
          <t>Property Rights Conveyed</t>
        </is>
      </c>
      <c r="D19" s="528" t="n"/>
      <c r="E19" s="529" t="n"/>
      <c r="F19" s="2060" t="n"/>
      <c r="G19" s="529" t="n"/>
      <c r="H19" s="2060" t="n"/>
      <c r="I19" s="531" t="n"/>
      <c r="J19" s="2061" t="n"/>
      <c r="K19" s="529" t="n"/>
      <c r="L19" s="2062" t="n"/>
      <c r="M19" s="529" t="n"/>
      <c r="N19" s="2061" t="n"/>
      <c r="O19" s="611" t="n"/>
      <c r="P19" s="2063" t="n"/>
    </row>
    <row r="20">
      <c r="C20" s="534" t="inlineStr">
        <is>
          <t>Property Rights Conveyed Adjusted</t>
        </is>
      </c>
      <c r="D20" s="506" t="n"/>
      <c r="E20" s="531" t="n"/>
      <c r="F20" s="2064" t="n"/>
      <c r="G20" s="531" t="n"/>
      <c r="H20" s="2065" t="n"/>
      <c r="I20" s="531" t="n"/>
      <c r="J20" s="2065" t="n"/>
      <c r="K20" s="531" t="n"/>
      <c r="L20" s="2066" t="n"/>
      <c r="M20" s="531" t="n"/>
      <c r="N20" s="2065" t="n"/>
      <c r="O20" s="611" t="n"/>
      <c r="P20" s="2065" t="n"/>
    </row>
    <row r="21">
      <c r="C21" s="503" t="inlineStr">
        <is>
          <t>Financing</t>
        </is>
      </c>
      <c r="D21" s="506" t="n"/>
      <c r="E21" s="531" t="n"/>
      <c r="F21" s="2061" t="n"/>
      <c r="G21" s="531" t="n"/>
      <c r="H21" s="2061" t="n"/>
      <c r="I21" s="531" t="n"/>
      <c r="J21" s="2067" t="n"/>
      <c r="K21" s="531" t="n"/>
      <c r="L21" s="2068" t="n"/>
      <c r="M21" s="531" t="n"/>
      <c r="N21" s="2067" t="n"/>
      <c r="O21" s="613" t="n"/>
      <c r="P21" s="2067" t="n"/>
    </row>
    <row r="22">
      <c r="C22" s="534" t="inlineStr">
        <is>
          <t>Financing Adjusted</t>
        </is>
      </c>
      <c r="D22" s="506" t="n"/>
      <c r="E22" s="531" t="n"/>
      <c r="F22" s="2064" t="n"/>
      <c r="G22" s="531" t="n"/>
      <c r="H22" s="2064" t="n"/>
      <c r="I22" s="531" t="n"/>
      <c r="J22" s="2065" t="n"/>
      <c r="K22" s="531" t="n"/>
      <c r="L22" s="2069" t="n"/>
      <c r="M22" s="531" t="n"/>
      <c r="N22" s="2065" t="n"/>
      <c r="O22" s="611" t="n"/>
      <c r="P22" s="2065" t="n"/>
    </row>
    <row r="23">
      <c r="C23" s="503" t="inlineStr">
        <is>
          <t>Terms/Conditions of Sale</t>
        </is>
      </c>
      <c r="D23" s="506" t="n"/>
      <c r="E23" s="531" t="n"/>
      <c r="F23" s="2061" t="n"/>
      <c r="G23" s="531" t="n"/>
      <c r="H23" s="2061" t="n"/>
      <c r="I23" s="531" t="n"/>
      <c r="J23" s="2067" t="n"/>
      <c r="K23" s="531" t="n"/>
      <c r="L23" s="2068" t="n"/>
      <c r="M23" s="531" t="n"/>
      <c r="N23" s="2067" t="n"/>
      <c r="O23" s="613" t="n"/>
      <c r="P23" s="2067" t="n"/>
    </row>
    <row r="24">
      <c r="C24" s="534" t="inlineStr">
        <is>
          <t>Terms/Conditions of Sale Adjusted</t>
        </is>
      </c>
      <c r="D24" s="506" t="n"/>
      <c r="E24" s="531" t="n"/>
      <c r="F24" s="2064" t="n"/>
      <c r="G24" s="531" t="n"/>
      <c r="H24" s="2064" t="n"/>
      <c r="I24" s="531" t="n"/>
      <c r="J24" s="2065" t="n"/>
      <c r="K24" s="531" t="n"/>
      <c r="L24" s="2069" t="n"/>
      <c r="M24" s="531" t="n"/>
      <c r="N24" s="2065" t="n"/>
      <c r="O24" s="611" t="n"/>
      <c r="P24" s="2065" t="n"/>
    </row>
    <row r="25">
      <c r="C25" s="503" t="inlineStr">
        <is>
          <t>Expenditures After Sale</t>
        </is>
      </c>
      <c r="D25" s="506" t="n"/>
      <c r="E25" s="531" t="n"/>
      <c r="F25" s="2061" t="n"/>
      <c r="G25" s="531" t="n"/>
      <c r="H25" s="2061" t="n"/>
      <c r="I25" s="531" t="n"/>
      <c r="J25" s="2067" t="n"/>
      <c r="K25" s="531" t="n"/>
      <c r="L25" s="2068" t="n"/>
      <c r="M25" s="531" t="n"/>
      <c r="N25" s="2067" t="n"/>
      <c r="O25" s="613" t="n"/>
      <c r="P25" s="2067" t="n"/>
    </row>
    <row r="26">
      <c r="C26" s="534" t="inlineStr">
        <is>
          <t>Expenditures After Sale Adjusted</t>
        </is>
      </c>
      <c r="D26" s="506" t="n"/>
      <c r="E26" s="531" t="n"/>
      <c r="F26" s="2064" t="n"/>
      <c r="G26" s="531" t="n"/>
      <c r="H26" s="2064" t="n"/>
      <c r="I26" s="531" t="n"/>
      <c r="J26" s="2065" t="n"/>
      <c r="K26" s="531" t="n"/>
      <c r="L26" s="2069" t="n"/>
      <c r="M26" s="531" t="n"/>
      <c r="N26" s="2065" t="n"/>
      <c r="O26" s="611" t="n"/>
      <c r="P26" s="2065" t="n"/>
    </row>
    <row r="27" ht="15" customHeight="1" s="1449">
      <c r="C27" s="503" t="inlineStr">
        <is>
          <t>Market Conditions</t>
        </is>
      </c>
      <c r="D27" s="506" t="n"/>
      <c r="E27" s="2070" t="n"/>
      <c r="F27" s="2061" t="n"/>
      <c r="G27" s="2070" t="n"/>
      <c r="H27" s="2061" t="n"/>
      <c r="I27" s="2070" t="n"/>
      <c r="J27" s="2067" t="n"/>
      <c r="K27" s="2070" t="n"/>
      <c r="L27" s="2068" t="n"/>
      <c r="M27" s="2070" t="n"/>
      <c r="N27" s="2067" t="n"/>
      <c r="O27" s="2071" t="n"/>
      <c r="P27" s="2067" t="n"/>
    </row>
    <row r="28">
      <c r="C28" s="534" t="inlineStr">
        <is>
          <t>Market Conditions Adjusted</t>
        </is>
      </c>
      <c r="D28" s="506" t="n"/>
      <c r="E28" s="531" t="n"/>
      <c r="F28" s="2064" t="n"/>
      <c r="G28" s="531" t="n"/>
      <c r="H28" s="2064" t="n"/>
      <c r="I28" s="531" t="n"/>
      <c r="J28" s="2065" t="n"/>
      <c r="K28" s="531" t="n"/>
      <c r="L28" s="2069" t="n"/>
      <c r="M28" s="531" t="n"/>
      <c r="N28" s="2065" t="n"/>
      <c r="O28" s="611" t="n"/>
      <c r="P28" s="2065" t="n"/>
    </row>
    <row r="29" ht="12.6" customHeight="1" s="1449">
      <c r="C29" s="542" t="inlineStr">
        <is>
          <t>Total Quantified Adjustment</t>
        </is>
      </c>
      <c r="D29" s="543" t="n"/>
      <c r="E29" s="544" t="n"/>
      <c r="F29" s="545" t="n"/>
      <c r="G29" s="544" t="n"/>
      <c r="H29" s="545" t="n"/>
      <c r="I29" s="517" t="n"/>
      <c r="J29" s="546" t="n"/>
      <c r="K29" s="544" t="n"/>
      <c r="L29" s="547" t="n"/>
      <c r="M29" s="517" t="n"/>
      <c r="N29" s="546" t="n"/>
      <c r="O29" s="609" t="n"/>
      <c r="P29" s="615" t="n"/>
    </row>
    <row r="30" ht="12.6" customHeight="1" s="1449">
      <c r="C30" s="548" t="inlineStr">
        <is>
          <t>Quantitatively Adjusted Price</t>
        </is>
      </c>
      <c r="D30" s="549" t="n"/>
      <c r="E30" s="544" t="n"/>
      <c r="F30" s="1863" t="n"/>
      <c r="G30" s="544" t="n"/>
      <c r="H30" s="1863" t="n"/>
      <c r="I30" s="517" t="n"/>
      <c r="J30" s="1862" t="n"/>
      <c r="K30" s="544" t="n"/>
      <c r="L30" s="1861" t="n"/>
      <c r="M30" s="517" t="n"/>
      <c r="N30" s="1862" t="n"/>
      <c r="O30" s="609" t="n"/>
      <c r="P30" s="2072" t="n"/>
    </row>
    <row r="31">
      <c r="C31" s="553" t="inlineStr">
        <is>
          <t>Qualitative Adjustments</t>
        </is>
      </c>
      <c r="D31" s="554" t="n"/>
      <c r="E31" s="555" t="n"/>
      <c r="F31" s="2073" t="n"/>
      <c r="G31" s="555" t="n"/>
      <c r="H31" s="2073" t="n"/>
      <c r="I31" s="555" t="n"/>
      <c r="J31" s="2073" t="n"/>
      <c r="K31" s="555" t="n"/>
      <c r="L31" s="2074" t="n"/>
      <c r="M31" s="555" t="n"/>
      <c r="N31" s="2073" t="n"/>
      <c r="O31" s="617" t="n"/>
      <c r="P31" s="2073" t="n"/>
    </row>
    <row r="32" ht="15.75" customHeight="1" s="1449">
      <c r="C32" s="558" t="inlineStr">
        <is>
          <t>Location</t>
        </is>
      </c>
      <c r="D32" s="559" t="n"/>
      <c r="E32" s="560" t="n"/>
      <c r="F32" s="1866" t="n"/>
      <c r="G32" s="560" t="n"/>
      <c r="H32" s="1866" t="n"/>
      <c r="I32" s="560" t="n"/>
      <c r="J32" s="1866" t="n"/>
      <c r="K32" s="560" t="n"/>
      <c r="L32" s="2075" t="n"/>
      <c r="M32" s="560" t="n"/>
      <c r="N32" s="1866" t="n"/>
      <c r="O32" s="618" t="n"/>
      <c r="P32" s="1866" t="n"/>
    </row>
    <row r="33" hidden="1" ht="12.6" customHeight="1" s="1449">
      <c r="C33" s="563" t="inlineStr">
        <is>
          <t>Distance from Subject</t>
        </is>
      </c>
      <c r="D33" s="564" t="n"/>
      <c r="E33" s="564" t="n"/>
      <c r="F33" s="2067" t="n"/>
      <c r="G33" s="564" t="n"/>
      <c r="H33" s="2067" t="n"/>
      <c r="I33" s="564" t="n"/>
      <c r="J33" s="2067" t="n"/>
      <c r="K33" s="564" t="n"/>
      <c r="L33" s="2076" t="n"/>
      <c r="M33" s="564" t="n"/>
      <c r="N33" s="2067" t="n"/>
      <c r="O33" s="619" t="n"/>
      <c r="P33" s="2067" t="n"/>
    </row>
    <row r="34">
      <c r="C34" s="563" t="inlineStr">
        <is>
          <t>Surrounding Land Uses</t>
        </is>
      </c>
      <c r="D34" s="564" t="n"/>
      <c r="E34" s="564" t="n"/>
      <c r="F34" s="2067" t="n"/>
      <c r="G34" s="564" t="n"/>
      <c r="H34" s="2067" t="n"/>
      <c r="I34" s="564" t="n"/>
      <c r="J34" s="2067" t="n"/>
      <c r="K34" s="564" t="n"/>
      <c r="L34" s="2076" t="n"/>
      <c r="M34" s="564" t="n"/>
      <c r="N34" s="2067" t="n"/>
      <c r="O34" s="619" t="n"/>
      <c r="P34" s="2067" t="n"/>
    </row>
    <row r="35">
      <c r="C35" s="563" t="inlineStr">
        <is>
          <t>Quality/Condition of Surrounding Area</t>
        </is>
      </c>
      <c r="D35" s="566" t="n"/>
      <c r="E35" s="566" t="n"/>
      <c r="F35" s="2067" t="n"/>
      <c r="G35" s="566" t="n"/>
      <c r="H35" s="2067" t="n"/>
      <c r="I35" s="566" t="n"/>
      <c r="J35" s="2067" t="n"/>
      <c r="K35" s="566" t="n"/>
      <c r="L35" s="2076" t="n"/>
      <c r="M35" s="566" t="n"/>
      <c r="N35" s="2067" t="n"/>
      <c r="O35" s="620" t="n"/>
      <c r="P35" s="2067" t="n"/>
    </row>
    <row r="36" hidden="1" ht="15" customHeight="1" s="1449">
      <c r="C36" s="563" t="inlineStr">
        <is>
          <t>Access to Commercial Services/Amenities</t>
        </is>
      </c>
      <c r="D36" s="566" t="n"/>
      <c r="E36" s="566" t="n"/>
      <c r="F36" s="2067" t="n"/>
      <c r="G36" s="566" t="n"/>
      <c r="H36" s="2067" t="n"/>
      <c r="I36" s="566" t="n"/>
      <c r="J36" s="2067" t="n"/>
      <c r="K36" s="566" t="n"/>
      <c r="L36" s="2076" t="n"/>
      <c r="M36" s="566" t="n"/>
      <c r="N36" s="2067" t="n"/>
      <c r="O36" s="620" t="n"/>
      <c r="P36" s="2067" t="n"/>
    </row>
    <row r="37" ht="45" customHeight="1" s="1449">
      <c r="C37" s="563" t="inlineStr">
        <is>
          <t>Visibility/Access</t>
        </is>
      </c>
      <c r="D37" s="567" t="n"/>
      <c r="E37" s="567" t="n"/>
      <c r="F37" s="2067" t="n"/>
      <c r="G37" s="567" t="n"/>
      <c r="H37" s="2067" t="n"/>
      <c r="I37" s="567" t="n"/>
      <c r="J37" s="2067" t="n"/>
      <c r="K37" s="567" t="n"/>
      <c r="L37" s="2076" t="n"/>
      <c r="M37" s="567" t="n"/>
      <c r="N37" s="2067" t="n"/>
      <c r="O37" s="621" t="n"/>
      <c r="P37" s="2067" t="n"/>
    </row>
    <row r="38" ht="105" customHeight="1" s="1449">
      <c r="C38" s="568" t="inlineStr">
        <is>
          <t>Demographics</t>
        </is>
      </c>
      <c r="D38" s="569" t="n"/>
      <c r="E38" s="569" t="n"/>
      <c r="F38" s="2067" t="n"/>
      <c r="G38" s="569" t="n"/>
      <c r="H38" s="2067" t="n"/>
      <c r="I38" s="569" t="n"/>
      <c r="J38" s="2067" t="n"/>
      <c r="K38" s="569" t="n"/>
      <c r="L38" s="2076" t="n"/>
      <c r="M38" s="569" t="n"/>
      <c r="N38" s="2067" t="n"/>
      <c r="O38" s="622" t="n"/>
      <c r="P38" s="2067" t="n"/>
    </row>
    <row r="39">
      <c r="C39" s="570" t="inlineStr">
        <is>
          <t>Property Size (SF)</t>
        </is>
      </c>
      <c r="D39" s="571" t="n"/>
      <c r="E39" s="571" t="n"/>
      <c r="F39" s="1866" t="n"/>
      <c r="G39" s="571" t="n"/>
      <c r="H39" s="1866" t="n"/>
      <c r="I39" s="571" t="n"/>
      <c r="J39" s="1866" t="n"/>
      <c r="K39" s="571" t="n"/>
      <c r="L39" s="2075" t="n"/>
      <c r="M39" s="571" t="n"/>
      <c r="N39" s="1866" t="n"/>
      <c r="O39" s="623" t="n"/>
      <c r="P39" s="1866" t="n"/>
    </row>
    <row r="40" ht="39" customHeight="1" s="1449">
      <c r="C40" s="572" t="inlineStr">
        <is>
          <t>YOC / Condition</t>
        </is>
      </c>
      <c r="D40" s="559" t="n"/>
      <c r="E40" s="600" t="n"/>
      <c r="F40" s="1866" t="n"/>
      <c r="G40" s="560" t="n"/>
      <c r="H40" s="1866" t="n"/>
      <c r="I40" s="600" t="n"/>
      <c r="J40" s="1866" t="n"/>
      <c r="K40" s="560" t="n"/>
      <c r="L40" s="2075" t="n"/>
      <c r="M40" s="560" t="n"/>
      <c r="N40" s="1866" t="n"/>
      <c r="O40" s="618" t="n"/>
      <c r="P40" s="1866" t="n"/>
    </row>
    <row r="41" ht="16.5" customHeight="1" s="1449">
      <c r="C41" s="558" t="inlineStr">
        <is>
          <t>Quality</t>
        </is>
      </c>
      <c r="D41" s="559" t="n"/>
      <c r="E41" s="560" t="n"/>
      <c r="F41" s="1866" t="n"/>
      <c r="G41" s="560" t="n"/>
      <c r="H41" s="1866" t="n"/>
      <c r="I41" s="560" t="n"/>
      <c r="J41" s="1866" t="n"/>
      <c r="K41" s="560" t="n"/>
      <c r="L41" s="2075" t="n"/>
      <c r="M41" s="560" t="n"/>
      <c r="N41" s="1866" t="n"/>
      <c r="O41" s="618" t="n"/>
      <c r="P41" s="1866" t="n"/>
    </row>
    <row r="42">
      <c r="C42" s="563" t="inlineStr">
        <is>
          <t>Frame</t>
        </is>
      </c>
      <c r="D42" s="564" t="n"/>
      <c r="E42" s="564" t="n"/>
      <c r="F42" s="2077" t="n"/>
      <c r="G42" s="564" t="n"/>
      <c r="H42" s="2077" t="n"/>
      <c r="I42" s="564" t="n"/>
      <c r="J42" s="2077" t="n"/>
      <c r="K42" s="564" t="n"/>
      <c r="L42" s="2078" t="n"/>
      <c r="M42" s="564" t="n"/>
      <c r="N42" s="2077" t="n"/>
      <c r="O42" s="619" t="n"/>
      <c r="P42" s="2077" t="n"/>
    </row>
    <row r="43">
      <c r="C43" s="563" t="inlineStr">
        <is>
          <t>Exterior</t>
        </is>
      </c>
      <c r="D43" s="564" t="n"/>
      <c r="E43" s="564" t="n"/>
      <c r="F43" s="2077" t="n"/>
      <c r="G43" s="564" t="n"/>
      <c r="H43" s="2077" t="n"/>
      <c r="I43" s="564" t="n"/>
      <c r="J43" s="2077" t="n"/>
      <c r="K43" s="564" t="n"/>
      <c r="L43" s="2078" t="n"/>
      <c r="M43" s="564" t="n"/>
      <c r="N43" s="2077" t="n"/>
      <c r="O43" s="619" t="n"/>
      <c r="P43" s="2077" t="n"/>
    </row>
    <row r="44">
      <c r="C44" s="563" t="inlineStr">
        <is>
          <t>Architectural Styling</t>
        </is>
      </c>
      <c r="D44" s="566" t="n"/>
      <c r="E44" s="566" t="n"/>
      <c r="F44" s="2077" t="n"/>
      <c r="G44" s="566" t="n"/>
      <c r="H44" s="2077" t="n"/>
      <c r="I44" s="566" t="n"/>
      <c r="J44" s="2077" t="n"/>
      <c r="K44" s="566" t="n"/>
      <c r="L44" s="2078" t="n"/>
      <c r="M44" s="566" t="n"/>
      <c r="N44" s="2077" t="n"/>
      <c r="O44" s="624" t="n"/>
      <c r="P44" s="2077" t="n"/>
    </row>
    <row r="45" ht="45" customHeight="1" s="1449">
      <c r="C45" s="563" t="inlineStr">
        <is>
          <t>Typical Interior Finishes</t>
        </is>
      </c>
      <c r="D45" s="575" t="n"/>
      <c r="E45" s="575" t="n"/>
      <c r="F45" s="2077" t="n"/>
      <c r="G45" s="575" t="n"/>
      <c r="H45" s="2077" t="n"/>
      <c r="I45" s="575" t="n"/>
      <c r="J45" s="2077" t="n"/>
      <c r="K45" s="575" t="n"/>
      <c r="L45" s="2078" t="n"/>
      <c r="M45" s="575" t="n"/>
      <c r="N45" s="2077" t="n"/>
      <c r="O45" s="624" t="n"/>
      <c r="P45" s="2077" t="n"/>
    </row>
    <row r="46" ht="19.5" customHeight="1" s="1449">
      <c r="C46" s="570" t="inlineStr">
        <is>
          <t>Parking Ratio (Per 1,000 SF)</t>
        </is>
      </c>
      <c r="D46" s="576" t="n"/>
      <c r="E46" s="577" t="n"/>
      <c r="F46" s="1866" t="n"/>
      <c r="G46" s="577" t="n"/>
      <c r="H46" s="1866" t="n"/>
      <c r="I46" s="577" t="n"/>
      <c r="J46" s="1866" t="n"/>
      <c r="K46" s="577" t="n"/>
      <c r="L46" s="2075" t="n"/>
      <c r="M46" s="577" t="n"/>
      <c r="N46" s="1866" t="n"/>
      <c r="O46" s="625" t="n"/>
      <c r="P46" s="1866" t="n"/>
    </row>
    <row r="47">
      <c r="C47" s="558" t="inlineStr">
        <is>
          <t>Tenancy / Occupancy</t>
        </is>
      </c>
      <c r="D47" s="559" t="n"/>
      <c r="E47" s="560" t="n"/>
      <c r="F47" s="1866" t="n"/>
      <c r="G47" s="560" t="n"/>
      <c r="H47" s="1866" t="n"/>
      <c r="I47" s="560" t="n"/>
      <c r="J47" s="1866" t="n"/>
      <c r="K47" s="560" t="n"/>
      <c r="L47" s="2075" t="n"/>
      <c r="M47" s="560" t="n"/>
      <c r="N47" s="1866" t="n"/>
      <c r="O47" s="618" t="n"/>
      <c r="P47" s="1866" t="n"/>
    </row>
    <row r="48">
      <c r="C48" s="563" t="inlineStr">
        <is>
          <t>Occupancy</t>
        </is>
      </c>
      <c r="D48" s="575" t="n"/>
      <c r="E48" s="566" t="n"/>
      <c r="F48" s="2077" t="n"/>
      <c r="G48" s="566" t="n"/>
      <c r="H48" s="2077" t="n"/>
      <c r="I48" s="566" t="n"/>
      <c r="J48" s="2077" t="n"/>
      <c r="K48" s="566" t="n"/>
      <c r="L48" s="2078" t="n"/>
      <c r="M48" s="566" t="n"/>
      <c r="N48" s="2077" t="n"/>
      <c r="O48" s="620" t="n"/>
      <c r="P48" s="2077" t="n"/>
    </row>
    <row r="49" ht="30" customHeight="1" s="1449">
      <c r="C49" s="563" t="inlineStr">
        <is>
          <t>Tenant Risk</t>
        </is>
      </c>
      <c r="D49" s="566" t="n"/>
      <c r="E49" s="566" t="n"/>
      <c r="F49" s="2077" t="n"/>
      <c r="G49" s="566" t="n"/>
      <c r="H49" s="2077" t="n"/>
      <c r="I49" s="566" t="n"/>
      <c r="J49" s="2077" t="n"/>
      <c r="K49" s="575" t="n"/>
      <c r="L49" s="2078" t="n"/>
      <c r="M49" s="575" t="n"/>
      <c r="N49" s="2077" t="n"/>
      <c r="O49" s="620" t="n"/>
      <c r="P49" s="2077" t="n"/>
    </row>
    <row r="50" ht="12.6" customHeight="1" s="1449">
      <c r="C50" s="563" t="inlineStr">
        <is>
          <t>Overall Cap Rate</t>
        </is>
      </c>
      <c r="D50" s="578" t="n"/>
      <c r="E50" s="579" t="n"/>
      <c r="F50" s="2077" t="n"/>
      <c r="G50" s="579" t="n"/>
      <c r="H50" s="2077" t="n"/>
      <c r="I50" s="579" t="n"/>
      <c r="J50" s="2077" t="n"/>
      <c r="K50" s="579" t="n"/>
      <c r="L50" s="2078" t="n"/>
      <c r="M50" s="579" t="n"/>
      <c r="N50" s="2077" t="n"/>
      <c r="O50" s="626" t="n"/>
      <c r="P50" s="2077" t="n"/>
    </row>
    <row r="51" hidden="1" ht="12.6" customHeight="1" s="1449">
      <c r="C51" s="563" t="inlineStr">
        <is>
          <t>Years Remaining</t>
        </is>
      </c>
      <c r="D51" s="578" t="n"/>
      <c r="E51" s="2079" t="n"/>
      <c r="F51" s="2077" t="n"/>
      <c r="G51" s="2079" t="n"/>
      <c r="H51" s="2077" t="n"/>
      <c r="I51" s="2079" t="n"/>
      <c r="J51" s="2077" t="n"/>
      <c r="K51" s="2079" t="n"/>
      <c r="L51" s="2078" t="n"/>
      <c r="M51" s="2079" t="n"/>
      <c r="N51" s="2077" t="n"/>
      <c r="O51" s="2080" t="n"/>
      <c r="P51" s="2077" t="n"/>
    </row>
    <row r="52" hidden="1" ht="12.6" customHeight="1" s="1449">
      <c r="C52" s="563" t="inlineStr">
        <is>
          <t>Renewal Options</t>
        </is>
      </c>
      <c r="D52" s="578" t="n"/>
      <c r="E52" s="2079" t="n"/>
      <c r="F52" s="2077" t="n"/>
      <c r="G52" s="2079" t="n"/>
      <c r="H52" s="2077" t="n"/>
      <c r="I52" s="2079" t="n"/>
      <c r="J52" s="2077" t="n"/>
      <c r="K52" s="2079" t="n"/>
      <c r="L52" s="2078" t="n"/>
      <c r="M52" s="2079" t="n"/>
      <c r="N52" s="2077" t="n"/>
      <c r="O52" s="2080" t="n"/>
      <c r="P52" s="2077" t="n"/>
    </row>
    <row r="53">
      <c r="C53" s="570" t="inlineStr">
        <is>
          <t>Functional Utility</t>
        </is>
      </c>
      <c r="D53" s="559" t="n"/>
      <c r="E53" s="581" t="n"/>
      <c r="F53" s="1873" t="n"/>
      <c r="G53" s="560" t="n"/>
      <c r="H53" s="1873" t="n"/>
      <c r="I53" s="560" t="n"/>
      <c r="J53" s="1873" t="n"/>
      <c r="K53" s="581" t="n"/>
      <c r="L53" s="2081" t="n"/>
      <c r="M53" s="560" t="n"/>
      <c r="N53" s="1873" t="n"/>
      <c r="O53" s="618" t="n"/>
      <c r="P53" s="1873" t="n"/>
    </row>
    <row r="54" ht="30" customHeight="1" s="1449">
      <c r="C54" s="563" t="inlineStr">
        <is>
          <t>Building Layout</t>
        </is>
      </c>
      <c r="D54" s="566" t="n"/>
      <c r="E54" s="566" t="n"/>
      <c r="F54" s="2077" t="n"/>
      <c r="G54" s="566" t="n"/>
      <c r="H54" s="2077" t="n"/>
      <c r="I54" s="575" t="n"/>
      <c r="J54" s="2077" t="n"/>
      <c r="K54" s="575" t="n"/>
      <c r="L54" s="2078" t="n"/>
      <c r="M54" s="575" t="n"/>
      <c r="N54" s="2077" t="n"/>
      <c r="O54" s="620" t="n"/>
      <c r="P54" s="2077" t="n"/>
    </row>
    <row r="55" ht="45" customHeight="1" s="1449">
      <c r="C55" s="563" t="inlineStr">
        <is>
          <t>Building Amenities</t>
        </is>
      </c>
      <c r="D55" s="584" t="n"/>
      <c r="E55" s="584" t="n"/>
      <c r="F55" s="2077" t="n"/>
      <c r="G55" s="584" t="n"/>
      <c r="H55" s="2077" t="n"/>
      <c r="I55" s="584" t="n"/>
      <c r="J55" s="2077" t="n"/>
      <c r="K55" s="584" t="n"/>
      <c r="L55" s="2078" t="n"/>
      <c r="M55" s="584" t="n"/>
      <c r="N55" s="2077" t="n"/>
      <c r="O55" s="624" t="n"/>
      <c r="P55" s="2077" t="n"/>
    </row>
    <row r="56">
      <c r="C56" s="563" t="inlineStr">
        <is>
          <t>Above/Below Grade Space</t>
        </is>
      </c>
      <c r="D56" s="584" t="n"/>
      <c r="E56" s="584" t="n"/>
      <c r="F56" s="2077" t="n"/>
      <c r="G56" s="584" t="n"/>
      <c r="H56" s="2077" t="n"/>
      <c r="I56" s="584" t="n"/>
      <c r="J56" s="2077" t="n"/>
      <c r="K56" s="584" t="n"/>
      <c r="L56" s="2078" t="n"/>
      <c r="M56" s="584" t="n"/>
      <c r="N56" s="2077" t="n"/>
      <c r="O56" s="628" t="n"/>
      <c r="P56" s="2077" t="n"/>
    </row>
    <row r="57" ht="30" customHeight="1" s="1449">
      <c r="C57" s="563" t="inlineStr">
        <is>
          <t>Site Improvements, Other</t>
        </is>
      </c>
      <c r="D57" s="584" t="n"/>
      <c r="E57" s="584" t="n"/>
      <c r="F57" s="2077" t="n"/>
      <c r="G57" s="584" t="n"/>
      <c r="H57" s="2077" t="n"/>
      <c r="I57" s="584" t="n"/>
      <c r="J57" s="2082" t="n"/>
      <c r="K57" s="584" t="n"/>
      <c r="L57" s="2078" t="n"/>
      <c r="M57" s="584" t="n"/>
      <c r="N57" s="2082" t="n"/>
      <c r="O57" s="628" t="n"/>
      <c r="P57" s="2077" t="n"/>
    </row>
    <row r="58" ht="12.6" customHeight="1" s="1449">
      <c r="C58" s="586" t="inlineStr">
        <is>
          <t>Total Non Quantified Adj.</t>
        </is>
      </c>
      <c r="D58" s="587" t="n"/>
      <c r="E58" s="588" t="n"/>
      <c r="F58" s="2083" t="n"/>
      <c r="G58" s="588" t="n"/>
      <c r="H58" s="2083" t="n"/>
      <c r="I58" s="590" t="n"/>
      <c r="J58" s="2084" t="n"/>
      <c r="K58" s="592" t="n"/>
      <c r="L58" s="2085" t="n"/>
      <c r="M58" s="590" t="n"/>
      <c r="N58" s="2084" t="n"/>
      <c r="O58" s="570" t="n"/>
      <c r="P58" s="2086" t="n"/>
    </row>
    <row r="59" ht="12.6" customHeight="1" s="1449">
      <c r="C59" s="594" t="inlineStr">
        <is>
          <t>Indication for Subject:</t>
        </is>
      </c>
      <c r="D59" s="595" t="n"/>
      <c r="E59" s="596" t="n"/>
      <c r="F59" s="1884" t="n"/>
      <c r="G59" s="596" t="n"/>
      <c r="H59" s="1884" t="n"/>
      <c r="I59" s="596" t="n"/>
      <c r="J59" s="2087" t="n"/>
      <c r="K59" s="596" t="n"/>
      <c r="L59" s="2088" t="n"/>
      <c r="M59" s="596" t="n"/>
      <c r="N59" s="2087" t="n"/>
      <c r="O59" s="630" t="n"/>
      <c r="P59" s="2089" t="n"/>
    </row>
    <row r="60">
      <c r="E60" s="358" t="n"/>
      <c r="G60" s="358" t="n"/>
      <c r="I60" s="358" t="n"/>
      <c r="K60" s="358" t="n"/>
      <c r="M60" s="358" t="n"/>
    </row>
    <row r="61">
      <c r="E61" s="2090" t="n"/>
    </row>
    <row r="62">
      <c r="E62" s="2091" t="n"/>
      <c r="F62" s="2037" t="n"/>
    </row>
    <row r="63">
      <c r="E63" s="2090" t="n"/>
    </row>
    <row r="64">
      <c r="E64" s="2092" t="n"/>
    </row>
    <row r="68">
      <c r="F68" s="2093" t="n"/>
    </row>
  </sheetData>
  <mergeCells count="83">
    <mergeCell ref="O7:P7"/>
    <mergeCell ref="O6:P6"/>
    <mergeCell ref="O15:P15"/>
    <mergeCell ref="E8:F8"/>
    <mergeCell ref="I16:J16"/>
    <mergeCell ref="M10:N10"/>
    <mergeCell ref="M16:N16"/>
    <mergeCell ref="O16:P16"/>
    <mergeCell ref="M8:N8"/>
    <mergeCell ref="O8:P8"/>
    <mergeCell ref="O11:P11"/>
    <mergeCell ref="I13:J13"/>
    <mergeCell ref="K13:L13"/>
    <mergeCell ref="E3:F3"/>
    <mergeCell ref="E12:F12"/>
    <mergeCell ref="O3:P3"/>
    <mergeCell ref="G12:H12"/>
    <mergeCell ref="I6:J6"/>
    <mergeCell ref="I15:J15"/>
    <mergeCell ref="K15:L15"/>
    <mergeCell ref="E5:F5"/>
    <mergeCell ref="E14:F14"/>
    <mergeCell ref="E4:F4"/>
    <mergeCell ref="G7:H7"/>
    <mergeCell ref="I7:J7"/>
    <mergeCell ref="M13:N13"/>
    <mergeCell ref="M7:N7"/>
    <mergeCell ref="I8:J8"/>
    <mergeCell ref="E16:F16"/>
    <mergeCell ref="G16:H16"/>
    <mergeCell ref="I10:J10"/>
    <mergeCell ref="K10:L10"/>
    <mergeCell ref="K6:L6"/>
    <mergeCell ref="G9:H9"/>
    <mergeCell ref="I9:J9"/>
    <mergeCell ref="K3:L3"/>
    <mergeCell ref="K16:L16"/>
    <mergeCell ref="G11:H11"/>
    <mergeCell ref="K9:L9"/>
    <mergeCell ref="I11:J11"/>
    <mergeCell ref="K5:L5"/>
    <mergeCell ref="M9:N9"/>
    <mergeCell ref="M5:N5"/>
    <mergeCell ref="O9:P9"/>
    <mergeCell ref="K11:L11"/>
    <mergeCell ref="O5:P5"/>
    <mergeCell ref="E13:F13"/>
    <mergeCell ref="G13:H13"/>
    <mergeCell ref="O4:P4"/>
    <mergeCell ref="E6:F6"/>
    <mergeCell ref="M15:N15"/>
    <mergeCell ref="M12:N12"/>
    <mergeCell ref="K8:L8"/>
    <mergeCell ref="E15:F15"/>
    <mergeCell ref="G15:H15"/>
    <mergeCell ref="C2:P2"/>
    <mergeCell ref="K7:L7"/>
    <mergeCell ref="E7:F7"/>
    <mergeCell ref="O10:P10"/>
    <mergeCell ref="G8:H8"/>
    <mergeCell ref="G10:H10"/>
    <mergeCell ref="G6:H6"/>
    <mergeCell ref="E9:F9"/>
    <mergeCell ref="G3:H3"/>
    <mergeCell ref="I3:J3"/>
    <mergeCell ref="I12:J12"/>
    <mergeCell ref="K12:L12"/>
    <mergeCell ref="M6:N6"/>
    <mergeCell ref="E11:F11"/>
    <mergeCell ref="G5:H5"/>
    <mergeCell ref="I5:J5"/>
    <mergeCell ref="G14:H14"/>
    <mergeCell ref="M3:N3"/>
    <mergeCell ref="I14:J14"/>
    <mergeCell ref="K14:L14"/>
    <mergeCell ref="O12:P12"/>
    <mergeCell ref="G4:H4"/>
    <mergeCell ref="I4:J4"/>
    <mergeCell ref="M14:N14"/>
    <mergeCell ref="O14:P14"/>
    <mergeCell ref="K4:L4"/>
    <mergeCell ref="M4:N4"/>
    <mergeCell ref="O13:P13"/>
  </mergeCells>
  <dataValidations count="1">
    <dataValidation sqref="E59 G59 I59 K59 M59 O59" showDropDown="0" showInputMessage="1" showErrorMessage="1" allowBlank="1" type="list">
      <formula1>lstCondition</formula1>
    </dataValidation>
  </dataValidation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B2:K53"/>
  <sheetViews>
    <sheetView showGridLines="0" workbookViewId="0">
      <selection activeCell="E31" sqref="E31"/>
    </sheetView>
  </sheetViews>
  <sheetFormatPr baseColWidth="8" defaultRowHeight="15"/>
  <cols>
    <col width="3.42578125" customWidth="1" style="1449" min="1" max="1"/>
    <col width="45.42578125" bestFit="1" customWidth="1" style="1449" min="2" max="2"/>
    <col width="53" customWidth="1" style="1449" min="3" max="3"/>
    <col width="14" customWidth="1" style="1449" min="4" max="4"/>
    <col width="11.5703125" bestFit="1" customWidth="1" style="1449" min="6" max="6"/>
    <col width="9.7109375" bestFit="1" customWidth="1" style="1449" min="7" max="7"/>
    <col width="12.5703125" bestFit="1" customWidth="1" style="1449" min="8" max="8"/>
    <col width="11.5703125" bestFit="1" customWidth="1" style="1449" min="9" max="9"/>
  </cols>
  <sheetData>
    <row r="2" ht="15.75" customHeight="1" s="1449">
      <c r="B2" s="1607" t="inlineStr">
        <is>
          <t xml:space="preserve">LEASE ABSTRACT </t>
        </is>
      </c>
    </row>
    <row r="3" ht="12.75" customHeight="1" s="1449">
      <c r="B3" s="1043" t="inlineStr">
        <is>
          <t>Lessor</t>
        </is>
      </c>
      <c r="C3" s="1351" t="n"/>
      <c r="G3" s="1355" t="inlineStr">
        <is>
          <t>Annual Rent Calc. Table</t>
        </is>
      </c>
      <c r="H3" s="1356" t="n"/>
    </row>
    <row r="4" ht="12.75" customHeight="1" s="1449">
      <c r="B4" s="1043" t="inlineStr">
        <is>
          <t>Lessee</t>
        </is>
      </c>
      <c r="C4" s="1352" t="n"/>
      <c r="G4" s="725" t="inlineStr">
        <is>
          <t>Month</t>
        </is>
      </c>
      <c r="H4" s="1357" t="inlineStr">
        <is>
          <t>Monthly Rent</t>
        </is>
      </c>
    </row>
    <row r="5" ht="12.75" customHeight="1" s="1449">
      <c r="B5" s="1043" t="inlineStr">
        <is>
          <t>Building Size (SF)</t>
        </is>
      </c>
      <c r="C5" s="1353" t="n"/>
      <c r="G5" s="1358" t="n"/>
      <c r="H5" s="2094" t="n"/>
    </row>
    <row r="6" ht="12.75" customHeight="1" s="1449">
      <c r="B6" s="1043" t="inlineStr">
        <is>
          <t>Lease Sign Date</t>
        </is>
      </c>
      <c r="C6" s="1354" t="n"/>
      <c r="G6" s="1358" t="n"/>
      <c r="H6" s="2094" t="n"/>
    </row>
    <row r="7" ht="12.75" customHeight="1" s="1449">
      <c r="B7" s="1043" t="inlineStr">
        <is>
          <t>Lease Commencement Date</t>
        </is>
      </c>
      <c r="C7" s="1354" t="n"/>
      <c r="G7" s="1358" t="n"/>
      <c r="H7" s="2094" t="n"/>
      <c r="K7" s="358" t="n"/>
    </row>
    <row r="8" ht="12.75" customHeight="1" s="1449">
      <c r="B8" s="1043" t="inlineStr">
        <is>
          <t>Lease Expiration Date</t>
        </is>
      </c>
      <c r="C8" s="1354" t="n"/>
      <c r="G8" s="1358" t="n"/>
      <c r="H8" s="2094" t="n"/>
    </row>
    <row r="9">
      <c r="B9" s="1043" t="inlineStr">
        <is>
          <t>Base Lease Term (Months)</t>
        </is>
      </c>
      <c r="C9" s="1044">
        <f>+(C8-C7)/365*12</f>
        <v/>
      </c>
      <c r="G9" s="1358" t="n"/>
      <c r="H9" s="2094" t="n"/>
      <c r="K9" s="358" t="n"/>
    </row>
    <row r="10" ht="20.25" customHeight="1" s="1449">
      <c r="B10" s="1043" t="inlineStr">
        <is>
          <t>12 Months Contract Rental Income (Jan-Dec 2020)</t>
        </is>
      </c>
      <c r="C10" s="2095">
        <f>H17</f>
        <v/>
      </c>
      <c r="G10" s="1358" t="n"/>
      <c r="H10" s="2094" t="n"/>
    </row>
    <row r="11" ht="12.75" customHeight="1" s="1449">
      <c r="B11" s="1043" t="inlineStr">
        <is>
          <t>12 Months Contract Rental Income (Jan-Dec 2020)</t>
        </is>
      </c>
      <c r="C11" s="2096">
        <f>C10/C5</f>
        <v/>
      </c>
      <c r="G11" s="1358" t="n"/>
      <c r="H11" s="2094" t="n"/>
    </row>
    <row r="12" ht="12.75" customHeight="1" s="1449">
      <c r="B12" s="1043" t="inlineStr">
        <is>
          <t>Base Rents</t>
        </is>
      </c>
      <c r="C12" s="1043" t="n"/>
      <c r="D12" t="inlineStr">
        <is>
          <t>Annual Rent (Lease)</t>
        </is>
      </c>
      <c r="G12" s="1358" t="n"/>
      <c r="H12" s="2094" t="n"/>
    </row>
    <row r="13">
      <c r="B13" s="1047" t="inlineStr">
        <is>
          <t>Year 1 (11/16-10/17)</t>
        </is>
      </c>
      <c r="C13" s="2096">
        <f>D13/$C$5</f>
        <v/>
      </c>
      <c r="D13" s="1756" t="n"/>
      <c r="G13" s="1358" t="n"/>
      <c r="H13" s="2094" t="n"/>
    </row>
    <row r="14">
      <c r="B14" s="1047" t="inlineStr">
        <is>
          <t>Year 2 (11/17-10/18)</t>
        </is>
      </c>
      <c r="C14" s="2096">
        <f>D14/$C$5</f>
        <v/>
      </c>
      <c r="D14" s="1756" t="n"/>
      <c r="G14" s="1358" t="n"/>
      <c r="H14" s="2094" t="n"/>
    </row>
    <row r="15">
      <c r="B15" s="1047" t="inlineStr">
        <is>
          <t>Year 3 (11/18-10/19)</t>
        </is>
      </c>
      <c r="C15" s="2096">
        <f>D15/$C$5</f>
        <v/>
      </c>
      <c r="D15" s="1756" t="n"/>
      <c r="G15" s="1358" t="n"/>
      <c r="H15" s="2094" t="n"/>
    </row>
    <row r="16">
      <c r="B16" s="1047" t="inlineStr">
        <is>
          <t>Year 4 (11/19-10/20)</t>
        </is>
      </c>
      <c r="C16" s="2096">
        <f>D16/$C$5</f>
        <v/>
      </c>
      <c r="D16" s="1756" t="n"/>
      <c r="G16" s="1360" t="n"/>
      <c r="H16" s="2097" t="n"/>
    </row>
    <row r="17">
      <c r="B17" s="1047" t="inlineStr">
        <is>
          <t>Year 5 (11/20-10/21)</t>
        </is>
      </c>
      <c r="C17" s="2096">
        <f>D17/$C$5</f>
        <v/>
      </c>
      <c r="D17" s="1756" t="n"/>
      <c r="G17" s="1362" t="inlineStr">
        <is>
          <t>Total</t>
        </is>
      </c>
      <c r="H17" s="2098">
        <f>SUM(H5:H16)</f>
        <v/>
      </c>
    </row>
    <row r="18">
      <c r="B18" s="1047" t="inlineStr">
        <is>
          <t>Frist Renewal Period</t>
        </is>
      </c>
      <c r="C18" s="2096" t="n"/>
      <c r="D18" s="1756" t="n"/>
      <c r="G18" s="1364" t="inlineStr">
        <is>
          <t>PSF</t>
        </is>
      </c>
      <c r="H18" s="2099">
        <f>H17/FE!C14</f>
        <v/>
      </c>
      <c r="I18" s="2091" t="n"/>
    </row>
    <row r="19">
      <c r="B19" s="1047" t="inlineStr">
        <is>
          <t>Year 6</t>
        </is>
      </c>
      <c r="C19" s="2096">
        <f>D19/$C$5</f>
        <v/>
      </c>
      <c r="D19" s="1756" t="n"/>
      <c r="H19" s="2091" t="n"/>
      <c r="I19" s="2091" t="n"/>
    </row>
    <row r="20">
      <c r="B20" s="1047" t="inlineStr">
        <is>
          <t>Year 7</t>
        </is>
      </c>
      <c r="C20" s="2096">
        <f>D20/$C$5</f>
        <v/>
      </c>
      <c r="D20" s="1756" t="n"/>
      <c r="H20" s="2091" t="n"/>
      <c r="I20" s="2091" t="n"/>
    </row>
    <row r="21">
      <c r="B21" s="1047" t="inlineStr">
        <is>
          <t>Year 8</t>
        </is>
      </c>
      <c r="C21" s="2096">
        <f>D21/$C$5</f>
        <v/>
      </c>
      <c r="D21" s="1756" t="n"/>
      <c r="H21" s="2091" t="n"/>
      <c r="I21" s="2091" t="n"/>
    </row>
    <row r="22">
      <c r="B22" s="1047" t="inlineStr">
        <is>
          <t>Year 9</t>
        </is>
      </c>
      <c r="C22" s="2096">
        <f>D22/$C$5</f>
        <v/>
      </c>
      <c r="D22" s="1756" t="n"/>
      <c r="H22" s="2091" t="n"/>
      <c r="I22" s="2091" t="n"/>
    </row>
    <row r="23">
      <c r="B23" s="1047" t="inlineStr">
        <is>
          <t>Year 10</t>
        </is>
      </c>
      <c r="C23" s="2096">
        <f>D23/$C$5</f>
        <v/>
      </c>
      <c r="D23" s="1756" t="n"/>
      <c r="H23" s="2091" t="n"/>
      <c r="I23" s="2091" t="n"/>
    </row>
    <row r="24">
      <c r="B24" s="1047" t="inlineStr">
        <is>
          <t>Year 11</t>
        </is>
      </c>
      <c r="C24" s="2096">
        <f>D24/$C$5</f>
        <v/>
      </c>
      <c r="D24" s="1756" t="n"/>
      <c r="H24" s="2091" t="n"/>
      <c r="I24" s="2091" t="n"/>
    </row>
    <row r="25" hidden="1" ht="12" customHeight="1" s="1449">
      <c r="B25" s="1047" t="n"/>
      <c r="C25" s="2096" t="n"/>
      <c r="H25" s="2091" t="n"/>
      <c r="I25" s="2091" t="n"/>
    </row>
    <row r="26" hidden="1" ht="12" customHeight="1" s="1449">
      <c r="B26" s="1047" t="n"/>
      <c r="C26" s="2096" t="n"/>
      <c r="H26" s="2091" t="n"/>
      <c r="I26" s="2091" t="n"/>
    </row>
    <row r="27" hidden="1" ht="12" customHeight="1" s="1449">
      <c r="B27" s="1047" t="n"/>
      <c r="C27" s="2096" t="n"/>
      <c r="H27" s="2091" t="n"/>
      <c r="I27" s="2091" t="n"/>
    </row>
    <row r="28" hidden="1" ht="12" customHeight="1" s="1449">
      <c r="B28" s="1047" t="n"/>
      <c r="C28" s="2096" t="n"/>
      <c r="H28" s="2091" t="n"/>
      <c r="I28" s="2091" t="n"/>
    </row>
    <row r="29" ht="15" customHeight="1" s="1449">
      <c r="B29" s="1048" t="inlineStr">
        <is>
          <t>Expense Structure</t>
        </is>
      </c>
      <c r="C29" s="1366" t="inlineStr">
        <is>
          <t>NNN</t>
        </is>
      </c>
      <c r="H29" s="2091" t="n"/>
      <c r="I29" s="2091" t="n"/>
      <c r="J29" s="2093" t="n"/>
    </row>
    <row r="30" ht="15" customHeight="1" s="1449">
      <c r="B30" s="1043" t="inlineStr">
        <is>
          <t>Landlord Expense Responsibilities</t>
        </is>
      </c>
      <c r="C30" s="1351" t="n"/>
      <c r="H30" s="2091" t="n"/>
      <c r="I30" s="2091" t="n"/>
      <c r="J30" s="2093" t="n"/>
    </row>
    <row r="31" ht="52.5" customHeight="1" s="1449">
      <c r="B31" s="1049" t="inlineStr">
        <is>
          <t>Tenant Expense Responsibilities</t>
        </is>
      </c>
      <c r="C31" s="1367" t="n"/>
      <c r="H31" s="2091" t="n"/>
      <c r="I31" s="2090" t="n"/>
      <c r="J31" s="2037" t="n"/>
    </row>
    <row r="32" ht="37.5" customHeight="1" s="1449">
      <c r="B32" s="1043" t="inlineStr">
        <is>
          <t>Comments</t>
        </is>
      </c>
      <c r="C32" s="1351" t="n"/>
    </row>
    <row r="33">
      <c r="B33" s="1043" t="inlineStr">
        <is>
          <t>Purchase Options</t>
        </is>
      </c>
      <c r="C33" s="1351" t="inlineStr">
        <is>
          <t>None</t>
        </is>
      </c>
    </row>
    <row r="34">
      <c r="B34" s="1043" t="inlineStr">
        <is>
          <t>Termination Clause</t>
        </is>
      </c>
      <c r="C34" s="1351" t="inlineStr">
        <is>
          <t>None</t>
        </is>
      </c>
    </row>
    <row r="35">
      <c r="B35" s="1043" t="inlineStr">
        <is>
          <t>Guarantor</t>
        </is>
      </c>
      <c r="C35" s="1351" t="inlineStr">
        <is>
          <t>None</t>
        </is>
      </c>
    </row>
    <row r="36">
      <c r="B36" s="1043" t="inlineStr">
        <is>
          <t>Other</t>
        </is>
      </c>
      <c r="C36" s="1351" t="n"/>
    </row>
    <row r="37" ht="24" customHeight="1" s="1449">
      <c r="B37" s="1050" t="inlineStr">
        <is>
          <t>Source</t>
        </is>
      </c>
      <c r="C37" s="1368" t="inlineStr">
        <is>
          <t>Lease Agreement, owner, inspection, assessor data</t>
        </is>
      </c>
    </row>
    <row r="41">
      <c r="C41" s="2100" t="n"/>
    </row>
    <row r="42">
      <c r="C42" s="2100" t="n"/>
    </row>
    <row r="43">
      <c r="C43" s="2100" t="n"/>
    </row>
    <row r="44">
      <c r="C44" s="2100" t="n"/>
    </row>
    <row r="45">
      <c r="C45" s="2100" t="n"/>
    </row>
    <row r="46">
      <c r="C46" s="2100" t="n"/>
    </row>
    <row r="47">
      <c r="C47" s="2100" t="n"/>
    </row>
    <row r="48">
      <c r="C48" s="2100" t="n"/>
    </row>
    <row r="49">
      <c r="C49" s="2100" t="n"/>
    </row>
    <row r="50">
      <c r="C50" s="2100" t="n"/>
    </row>
    <row r="51">
      <c r="C51" s="2100" t="n"/>
    </row>
    <row r="52">
      <c r="C52" s="2100" t="n"/>
    </row>
    <row r="53">
      <c r="C53" s="2100" t="n"/>
    </row>
  </sheetData>
  <mergeCells count="1">
    <mergeCell ref="B2:C2"/>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2:DZ41"/>
  <sheetViews>
    <sheetView showGridLines="0" workbookViewId="0">
      <selection activeCell="S29" sqref="S29:T29"/>
    </sheetView>
  </sheetViews>
  <sheetFormatPr baseColWidth="8" defaultRowHeight="15"/>
  <cols>
    <col width="10.7109375" customWidth="1" style="1449" min="1" max="1"/>
    <col width="13.28515625" customWidth="1" style="1449" min="2" max="2"/>
    <col width="12.5703125" customWidth="1" style="1449" min="3" max="3"/>
    <col width="9.85546875" customWidth="1" style="1449" min="4" max="4"/>
    <col width="20.7109375" customWidth="1" style="1449" min="5" max="5"/>
    <col width="7.42578125" customWidth="1" style="1449" min="6" max="6"/>
    <col width="20.7109375" customWidth="1" style="1449" min="7" max="7"/>
    <col width="7.42578125" customWidth="1" style="1449" min="8" max="8"/>
    <col width="20.7109375" customWidth="1" style="1449" min="9" max="9"/>
    <col width="7.5703125" customWidth="1" style="1449" min="10" max="10"/>
    <col width="20.7109375" customWidth="1" style="1449" min="11" max="11"/>
    <col width="8" customWidth="1" style="1449" min="12" max="12"/>
    <col hidden="1" width="21" customWidth="1" style="1449" min="13" max="13"/>
    <col hidden="1" width="10.28515625" customWidth="1" style="1449" min="14" max="14"/>
  </cols>
  <sheetData>
    <row r="2" ht="15.75" customFormat="1" customHeight="1" s="4">
      <c r="A2" s="1621" t="inlineStr">
        <is>
          <t>COMPARABLE LEASE ADJUSTMENT GRID</t>
        </is>
      </c>
      <c r="B2" s="1477" t="n"/>
      <c r="C2" s="1477" t="n"/>
      <c r="D2" s="1477" t="n"/>
      <c r="E2" s="1477" t="n"/>
      <c r="F2" s="1477" t="n"/>
      <c r="G2" s="1477" t="n"/>
      <c r="H2" s="1477" t="n"/>
      <c r="I2" s="1477" t="n"/>
      <c r="J2" s="1477" t="n"/>
      <c r="K2" s="1477" t="n"/>
      <c r="L2" s="1477" t="n"/>
      <c r="M2" s="1477" t="n"/>
      <c r="N2" s="1622" t="n"/>
    </row>
    <row r="3" ht="15" customHeight="1" s="1449">
      <c r="A3" s="1633" t="inlineStr">
        <is>
          <t>Characteristics</t>
        </is>
      </c>
      <c r="C3" s="1628" t="inlineStr">
        <is>
          <t>Subject</t>
        </is>
      </c>
      <c r="E3" s="1628" t="inlineStr">
        <is>
          <t>Lease 1</t>
        </is>
      </c>
      <c r="G3" s="1628" t="inlineStr">
        <is>
          <t>Lease 2</t>
        </is>
      </c>
      <c r="I3" s="1628" t="inlineStr">
        <is>
          <t>Lease 3</t>
        </is>
      </c>
      <c r="K3" s="1628" t="inlineStr">
        <is>
          <t>Lease 4</t>
        </is>
      </c>
      <c r="M3" s="1630" t="inlineStr">
        <is>
          <t>Rent 5</t>
        </is>
      </c>
      <c r="N3" s="1575" t="n"/>
    </row>
    <row r="4" ht="15" customHeight="1" s="1449">
      <c r="A4" s="1615" t="inlineStr">
        <is>
          <t>Address</t>
        </is>
      </c>
      <c r="B4" s="1575" t="n"/>
      <c r="C4" s="1613">
        <f>'Property Info'!B17</f>
        <v/>
      </c>
      <c r="D4" s="1575" t="n"/>
      <c r="E4" s="1613" t="n"/>
      <c r="F4" s="1575" t="n"/>
      <c r="G4" s="1613" t="n"/>
      <c r="H4" s="1575" t="n"/>
      <c r="I4" s="1613" t="n"/>
      <c r="J4" s="1575" t="n"/>
      <c r="K4" s="1613" t="n"/>
      <c r="L4" s="1575" t="n"/>
      <c r="M4" s="1629" t="n"/>
      <c r="N4" s="1575" t="n"/>
    </row>
    <row r="5" ht="12.75" customHeight="1" s="1449">
      <c r="A5" s="1611" t="inlineStr">
        <is>
          <t>City</t>
        </is>
      </c>
      <c r="B5" s="1575" t="n"/>
      <c r="C5" s="1613">
        <f>'Property Info'!B18</f>
        <v/>
      </c>
      <c r="D5" s="1575" t="n"/>
      <c r="E5" s="1613" t="n"/>
      <c r="F5" s="1575" t="n"/>
      <c r="G5" s="1613" t="n"/>
      <c r="H5" s="1575" t="n"/>
      <c r="I5" s="1613" t="n"/>
      <c r="J5" s="1575" t="n"/>
      <c r="K5" s="1613" t="n"/>
      <c r="L5" s="1575" t="n"/>
      <c r="M5" s="1629" t="n"/>
      <c r="N5" s="1575" t="n"/>
    </row>
    <row r="6" hidden="1" ht="12.75" customHeight="1" s="1449">
      <c r="A6" s="1615" t="inlineStr">
        <is>
          <t>Distance from Subject</t>
        </is>
      </c>
      <c r="B6" s="1575" t="n"/>
      <c r="C6" s="1613" t="inlineStr">
        <is>
          <t>N/A</t>
        </is>
      </c>
      <c r="D6" s="1575" t="n"/>
      <c r="E6" s="1613" t="inlineStr">
        <is>
          <t>1 mile</t>
        </is>
      </c>
      <c r="F6" s="1575" t="n"/>
      <c r="G6" s="1613" t="inlineStr">
        <is>
          <t>1 mile</t>
        </is>
      </c>
      <c r="H6" s="1575" t="n"/>
      <c r="I6" s="1613" t="inlineStr">
        <is>
          <t>1 mile</t>
        </is>
      </c>
      <c r="J6" s="1575" t="n"/>
      <c r="K6" s="1613" t="inlineStr">
        <is>
          <t>1/4 mile</t>
        </is>
      </c>
      <c r="L6" s="1575" t="n"/>
      <c r="M6" s="1629" t="inlineStr">
        <is>
          <t>1 mile</t>
        </is>
      </c>
      <c r="N6" s="1575" t="n"/>
    </row>
    <row r="7" hidden="1" ht="40.5" customHeight="1" s="1449">
      <c r="A7" s="797" t="inlineStr">
        <is>
          <t>Data Source</t>
        </is>
      </c>
      <c r="B7" s="790" t="n"/>
      <c r="C7" s="1613">
        <f>'Detailed Sales Grid'!D12</f>
        <v/>
      </c>
      <c r="D7" s="1575" t="n"/>
      <c r="E7" s="1613" t="inlineStr">
        <is>
          <t>CoStar, Assessor, OM</t>
        </is>
      </c>
      <c r="F7" s="1575" t="n"/>
      <c r="G7" s="1613" t="inlineStr">
        <is>
          <t>CoStar, Assessor, OM</t>
        </is>
      </c>
      <c r="H7" s="1575" t="n"/>
      <c r="I7" s="1613" t="inlineStr">
        <is>
          <t>CoStar, Assessor, OM</t>
        </is>
      </c>
      <c r="J7" s="1575" t="n"/>
      <c r="K7" s="1613" t="inlineStr">
        <is>
          <t>CoStar, Broker, Listing</t>
        </is>
      </c>
      <c r="L7" s="1575" t="n"/>
      <c r="M7" s="1629" t="inlineStr">
        <is>
          <t>CoStar, Assessor</t>
        </is>
      </c>
      <c r="N7" s="1575" t="n"/>
    </row>
    <row r="8" hidden="1" ht="12.75" customHeight="1" s="1449">
      <c r="A8" s="1611" t="inlineStr">
        <is>
          <t>Proximity to Subject</t>
        </is>
      </c>
      <c r="B8" s="1575" t="n"/>
      <c r="C8" s="1613" t="inlineStr">
        <is>
          <t>N/A</t>
        </is>
      </c>
      <c r="D8" s="1575" t="n"/>
      <c r="E8" s="1613" t="inlineStr">
        <is>
          <t>1.5 miles</t>
        </is>
      </c>
      <c r="F8" s="1575" t="n"/>
      <c r="G8" s="1613" t="inlineStr">
        <is>
          <t>1.5 miles</t>
        </is>
      </c>
      <c r="H8" s="1575" t="n"/>
      <c r="I8" s="1613" t="inlineStr">
        <is>
          <t>1.5 miles</t>
        </is>
      </c>
      <c r="J8" s="1575" t="n"/>
      <c r="K8" s="1613" t="inlineStr">
        <is>
          <t>5.0 miles</t>
        </is>
      </c>
      <c r="L8" s="1575" t="n"/>
      <c r="M8" s="1613" t="inlineStr">
        <is>
          <t>3.0 miles</t>
        </is>
      </c>
      <c r="N8" s="1575" t="n"/>
    </row>
    <row r="9" ht="12.75" customHeight="1" s="1449">
      <c r="A9" s="1615" t="inlineStr">
        <is>
          <t xml:space="preserve">Building Size </t>
        </is>
      </c>
      <c r="B9" s="1575" t="n"/>
      <c r="C9" s="1612">
        <f>'Property Info'!B5</f>
        <v/>
      </c>
      <c r="D9" s="1575" t="n"/>
      <c r="E9" s="1612" t="n"/>
      <c r="F9" s="1575" t="n"/>
      <c r="G9" s="1612" t="n"/>
      <c r="H9" s="1575" t="n"/>
      <c r="I9" s="1612" t="n"/>
      <c r="J9" s="1575" t="n"/>
      <c r="K9" s="1612" t="n"/>
      <c r="L9" s="1575" t="n"/>
      <c r="M9" s="1636" t="n"/>
      <c r="N9" s="1575" t="n"/>
    </row>
    <row r="10" hidden="1" ht="12.75" customHeight="1" s="1449">
      <c r="A10" s="1615" t="inlineStr">
        <is>
          <t>Vacancy</t>
        </is>
      </c>
      <c r="B10" s="1575" t="n"/>
      <c r="C10" s="789" t="n"/>
      <c r="D10" s="490">
        <f>C10/C9</f>
        <v/>
      </c>
      <c r="E10" s="791" t="n">
        <v>0</v>
      </c>
      <c r="F10" s="491" t="n">
        <v>0</v>
      </c>
      <c r="G10" s="791" t="n">
        <v>0</v>
      </c>
      <c r="H10" s="491" t="n">
        <v>0</v>
      </c>
      <c r="I10" s="791" t="n">
        <v>0</v>
      </c>
      <c r="J10" s="491" t="n">
        <v>0</v>
      </c>
      <c r="K10" s="791" t="n">
        <v>0</v>
      </c>
      <c r="L10" s="491" t="n">
        <v>0</v>
      </c>
      <c r="M10" s="791" t="n">
        <v>0</v>
      </c>
      <c r="N10" s="491" t="n">
        <v>0</v>
      </c>
    </row>
    <row r="11" hidden="1" ht="15" customHeight="1" s="1449">
      <c r="A11" s="1639" t="inlineStr">
        <is>
          <t>Parking Ratio</t>
        </is>
      </c>
      <c r="B11" s="1575" t="n"/>
      <c r="C11" s="791" t="n"/>
      <c r="D11" s="492">
        <f>ROUND((C11/C9)*1000,2)&amp;":1,000SF"</f>
        <v/>
      </c>
      <c r="E11" s="791" t="n">
        <v>19</v>
      </c>
      <c r="F11" s="492">
        <f>ROUND((E11/E9)*1000,2)&amp;":1,000SF"</f>
        <v/>
      </c>
      <c r="G11" s="791" t="n">
        <v>19</v>
      </c>
      <c r="H11" s="492">
        <f>ROUND((G11/G9)*1000,2)&amp;":1,000SF"</f>
        <v/>
      </c>
      <c r="I11" s="791" t="n">
        <v>19</v>
      </c>
      <c r="J11" s="492">
        <f>ROUND((I11/I9)*1000,2)&amp;":1,000SF"</f>
        <v/>
      </c>
      <c r="K11" s="791" t="n">
        <v>19</v>
      </c>
      <c r="L11" s="492">
        <f>ROUND((K11/K9)*1000,2)&amp;":1,000SF"</f>
        <v/>
      </c>
      <c r="M11" s="791" t="n">
        <v>19</v>
      </c>
      <c r="N11" s="491">
        <f>ROUND((M11/M9)*1000,2)&amp;":1,000SF"</f>
        <v/>
      </c>
    </row>
    <row r="12" ht="12.75" customHeight="1" s="1449">
      <c r="A12" s="1623" t="inlineStr">
        <is>
          <t>Representative Lease</t>
        </is>
      </c>
      <c r="C12" s="1634" t="n"/>
      <c r="E12" s="1634" t="n"/>
      <c r="F12" s="1634" t="n"/>
      <c r="G12" s="1634" t="n"/>
      <c r="H12" s="1634" t="n"/>
      <c r="I12" s="1634" t="n"/>
      <c r="J12" s="1634" t="n"/>
      <c r="K12" s="1634" t="n"/>
      <c r="L12" s="1634" t="n"/>
      <c r="M12" s="792" t="n"/>
      <c r="N12" s="798" t="n"/>
    </row>
    <row r="13" ht="12.75" customHeight="1" s="1449">
      <c r="A13" s="2101" t="inlineStr">
        <is>
          <t>Actual or Asking Lease Rate</t>
        </is>
      </c>
      <c r="B13" s="1575" t="n"/>
      <c r="C13" s="2102" t="inlineStr">
        <is>
          <t>N/A</t>
        </is>
      </c>
      <c r="D13" s="1575" t="n"/>
      <c r="E13" s="2103" t="inlineStr">
        <is>
          <t>Actual</t>
        </is>
      </c>
      <c r="F13" s="1575" t="n"/>
      <c r="G13" s="2103" t="inlineStr">
        <is>
          <t>Actual</t>
        </is>
      </c>
      <c r="H13" s="1575" t="n"/>
      <c r="I13" s="2103" t="inlineStr">
        <is>
          <t>Actual</t>
        </is>
      </c>
      <c r="J13" s="1575" t="n"/>
      <c r="K13" s="2103" t="inlineStr">
        <is>
          <t>Actual</t>
        </is>
      </c>
      <c r="L13" s="1575" t="n"/>
      <c r="M13" s="2104" t="inlineStr">
        <is>
          <t>Actual</t>
        </is>
      </c>
      <c r="N13" s="1575" t="n"/>
    </row>
    <row r="14" ht="33.75" customHeight="1" s="1449">
      <c r="A14" s="2101" t="inlineStr">
        <is>
          <t>Tenant</t>
        </is>
      </c>
      <c r="B14" s="1575" t="n"/>
      <c r="C14" s="2102">
        <f>LA!C4</f>
        <v/>
      </c>
      <c r="D14" s="1575" t="n"/>
      <c r="E14" s="2103" t="n"/>
      <c r="F14" s="1575" t="n"/>
      <c r="G14" s="2103" t="n"/>
      <c r="H14" s="1575" t="n"/>
      <c r="I14" s="2103" t="n"/>
      <c r="J14" s="1575" t="n"/>
      <c r="K14" s="2103" t="n"/>
      <c r="L14" s="1575" t="n"/>
      <c r="M14" s="2104" t="n"/>
      <c r="N14" s="1575" t="n"/>
    </row>
    <row r="15">
      <c r="A15" s="2101" t="inlineStr">
        <is>
          <t>SF Area Leased</t>
        </is>
      </c>
      <c r="B15" s="1575" t="n"/>
      <c r="C15" s="1643">
        <f>'Property Info'!B5</f>
        <v/>
      </c>
      <c r="D15" s="1575" t="n"/>
      <c r="E15" s="1612">
        <f>E9</f>
        <v/>
      </c>
      <c r="F15" s="1575" t="n"/>
      <c r="G15" s="1612" t="n">
        <v>22248</v>
      </c>
      <c r="H15" s="1575" t="n"/>
      <c r="I15" s="1612" t="n">
        <v>20000</v>
      </c>
      <c r="J15" s="1575" t="n"/>
      <c r="K15" s="1612" t="n">
        <v>37044</v>
      </c>
      <c r="L15" s="1575" t="n"/>
      <c r="M15" s="1636">
        <f>M9</f>
        <v/>
      </c>
      <c r="N15" s="1575" t="n"/>
    </row>
    <row r="16">
      <c r="A16" s="2101" t="inlineStr">
        <is>
          <t>Commencement</t>
        </is>
      </c>
      <c r="B16" s="1575" t="n"/>
      <c r="C16" s="2105" t="n"/>
      <c r="D16" s="1575" t="n"/>
      <c r="E16" s="2105" t="n"/>
      <c r="F16" s="1575" t="n"/>
      <c r="G16" s="2105" t="n"/>
      <c r="H16" s="1575" t="n"/>
      <c r="I16" s="2105" t="n"/>
      <c r="J16" s="1575" t="n"/>
      <c r="K16" s="2105" t="n"/>
      <c r="L16" s="1575" t="n"/>
      <c r="M16" s="2106" t="n"/>
      <c r="N16" s="1575" t="n"/>
    </row>
    <row r="17">
      <c r="A17" s="2101" t="inlineStr">
        <is>
          <t>Term</t>
        </is>
      </c>
      <c r="B17" s="1575" t="n"/>
      <c r="C17" s="2102" t="n"/>
      <c r="D17" s="1575" t="n"/>
      <c r="E17" s="2103" t="inlineStr">
        <is>
          <t>3 Years</t>
        </is>
      </c>
      <c r="F17" s="1575" t="n"/>
      <c r="G17" s="2103" t="inlineStr">
        <is>
          <t>5 Years</t>
        </is>
      </c>
      <c r="H17" s="1575" t="n"/>
      <c r="I17" s="2103" t="inlineStr">
        <is>
          <t>3 Years</t>
        </is>
      </c>
      <c r="J17" s="1575" t="n"/>
      <c r="K17" s="2103" t="inlineStr">
        <is>
          <t>3 Years</t>
        </is>
      </c>
      <c r="L17" s="1575" t="n"/>
      <c r="M17" s="2104" t="inlineStr">
        <is>
          <t>5 Years</t>
        </is>
      </c>
      <c r="N17" s="1575" t="n"/>
    </row>
    <row r="18">
      <c r="A18" s="2101" t="inlineStr">
        <is>
          <t>TI Allowance</t>
        </is>
      </c>
      <c r="B18" s="1575" t="n"/>
      <c r="C18" s="2102" t="inlineStr">
        <is>
          <t>N/A</t>
        </is>
      </c>
      <c r="D18" s="1575" t="n"/>
      <c r="E18" s="2103" t="inlineStr">
        <is>
          <t>N/R</t>
        </is>
      </c>
      <c r="F18" s="1575" t="n"/>
      <c r="G18" s="2103" t="inlineStr">
        <is>
          <t>N/R</t>
        </is>
      </c>
      <c r="H18" s="1575" t="n"/>
      <c r="I18" s="2103" t="inlineStr">
        <is>
          <t>N/R</t>
        </is>
      </c>
      <c r="J18" s="1575" t="n"/>
      <c r="K18" s="2103" t="inlineStr">
        <is>
          <t>N/R</t>
        </is>
      </c>
      <c r="L18" s="1575" t="n"/>
      <c r="M18" s="2104" t="inlineStr">
        <is>
          <t>N/R</t>
        </is>
      </c>
      <c r="N18" s="1575" t="n"/>
    </row>
    <row r="19">
      <c r="A19" s="2101" t="inlineStr">
        <is>
          <t>Lease Rate Expense Structure</t>
        </is>
      </c>
      <c r="B19" s="1575" t="n"/>
      <c r="C19" s="2102" t="inlineStr">
        <is>
          <t>NNN</t>
        </is>
      </c>
      <c r="D19" s="1575" t="n"/>
      <c r="E19" s="2103" t="inlineStr">
        <is>
          <t>NNN</t>
        </is>
      </c>
      <c r="F19" s="1575" t="n"/>
      <c r="G19" s="2103" t="inlineStr">
        <is>
          <t>NNN</t>
        </is>
      </c>
      <c r="H19" s="1575" t="n"/>
      <c r="I19" s="2103" t="inlineStr">
        <is>
          <t>NNN</t>
        </is>
      </c>
      <c r="J19" s="1575" t="n"/>
      <c r="K19" s="2103" t="inlineStr">
        <is>
          <t>NNN</t>
        </is>
      </c>
      <c r="L19" s="1575" t="n"/>
      <c r="M19" s="2104" t="inlineStr">
        <is>
          <t>NNN</t>
        </is>
      </c>
      <c r="N19" s="1575" t="n"/>
    </row>
    <row r="20">
      <c r="A20" s="2101" t="inlineStr">
        <is>
          <t>Base Annual Rent</t>
        </is>
      </c>
      <c r="B20" s="1575" t="n"/>
      <c r="C20" s="2103">
        <f>LA!C11</f>
        <v/>
      </c>
      <c r="D20" s="1575" t="n"/>
      <c r="E20" s="2103" t="n"/>
      <c r="F20" s="1575" t="n"/>
      <c r="G20" s="2103" t="n"/>
      <c r="H20" s="1575" t="n"/>
      <c r="I20" s="2103" t="n"/>
      <c r="J20" s="1575" t="n"/>
      <c r="K20" s="2103" t="n"/>
      <c r="L20" s="1575" t="n"/>
      <c r="M20" s="2104" t="n"/>
      <c r="N20" s="1575" t="n"/>
    </row>
    <row r="21">
      <c r="A21" s="2107" t="inlineStr">
        <is>
          <t>Expense Adjustments</t>
        </is>
      </c>
      <c r="B21" s="1620" t="n"/>
      <c r="C21" s="2103" t="inlineStr">
        <is>
          <t>N/A</t>
        </is>
      </c>
      <c r="D21" s="1575" t="n"/>
      <c r="E21" s="2103" t="n">
        <v>0</v>
      </c>
      <c r="F21" s="1575" t="n"/>
      <c r="G21" s="2103" t="n">
        <v>0</v>
      </c>
      <c r="H21" s="1575" t="n"/>
      <c r="I21" s="2103" t="n">
        <v>0</v>
      </c>
      <c r="J21" s="1575" t="n"/>
      <c r="K21" s="2108" t="n">
        <v>0</v>
      </c>
      <c r="L21" s="1620" t="n"/>
      <c r="M21" s="2109" t="n">
        <v>0</v>
      </c>
      <c r="N21" s="1620" t="n"/>
    </row>
    <row r="22" ht="15" customFormat="1" customHeight="1" s="5">
      <c r="A22" s="2110" t="inlineStr">
        <is>
          <t>Adjusted Rent (NNN)</t>
        </is>
      </c>
      <c r="B22" s="1610" t="n"/>
      <c r="C22" s="2111">
        <f>C20</f>
        <v/>
      </c>
      <c r="D22" s="1610" t="n"/>
      <c r="E22" s="2111">
        <f>E20+E21</f>
        <v/>
      </c>
      <c r="F22" s="1610" t="n"/>
      <c r="G22" s="2111">
        <f>G20+G21</f>
        <v/>
      </c>
      <c r="H22" s="1610" t="n"/>
      <c r="I22" s="2111">
        <f>I20+I21</f>
        <v/>
      </c>
      <c r="J22" s="1610" t="n"/>
      <c r="K22" s="2111">
        <f>K20+K21</f>
        <v/>
      </c>
      <c r="L22" s="1610" t="n"/>
      <c r="M22" s="2111">
        <f>M20+M21</f>
        <v/>
      </c>
      <c r="N22" s="1610" t="n"/>
    </row>
    <row r="23" customFormat="1" s="1624">
      <c r="A23" s="1623" t="inlineStr">
        <is>
          <t>Adjustments</t>
        </is>
      </c>
      <c r="C23" s="1625" t="inlineStr">
        <is>
          <t>Description</t>
        </is>
      </c>
      <c r="D23" s="1477" t="n"/>
      <c r="E23" s="1625" t="inlineStr">
        <is>
          <t>Description</t>
        </is>
      </c>
      <c r="F23" s="1625" t="inlineStr">
        <is>
          <t>Adj.</t>
        </is>
      </c>
      <c r="G23" s="1625" t="inlineStr">
        <is>
          <t>Description</t>
        </is>
      </c>
      <c r="H23" s="1625" t="inlineStr">
        <is>
          <t>Adj.</t>
        </is>
      </c>
      <c r="I23" s="1625" t="inlineStr">
        <is>
          <t>Description</t>
        </is>
      </c>
      <c r="J23" s="1625" t="inlineStr">
        <is>
          <t>Adj.</t>
        </is>
      </c>
      <c r="K23" s="1625" t="inlineStr">
        <is>
          <t>Description</t>
        </is>
      </c>
      <c r="L23" s="1625" t="inlineStr">
        <is>
          <t>Adj.</t>
        </is>
      </c>
      <c r="M23" s="793" t="inlineStr">
        <is>
          <t>Description</t>
        </is>
      </c>
      <c r="N23" s="799" t="inlineStr">
        <is>
          <t>Adj.</t>
        </is>
      </c>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1" t="n"/>
      <c r="BA23" s="11" t="n"/>
      <c r="BB23" s="11" t="n"/>
      <c r="BC23" s="11" t="n"/>
      <c r="BD23" s="11" t="n"/>
      <c r="BE23" s="11" t="n"/>
      <c r="BF23" s="11" t="n"/>
      <c r="BG23" s="11" t="n"/>
      <c r="BH23" s="11" t="n"/>
      <c r="BI23" s="11" t="n"/>
      <c r="BJ23" s="11" t="n"/>
      <c r="BK23" s="11" t="n"/>
      <c r="BL23" s="11" t="n"/>
      <c r="BM23" s="11" t="n"/>
      <c r="BN23" s="11" t="n"/>
      <c r="BO23" s="11" t="n"/>
      <c r="BP23" s="11" t="n"/>
      <c r="BQ23" s="11" t="n"/>
      <c r="BR23" s="11" t="n"/>
      <c r="BS23" s="11" t="n"/>
      <c r="BT23" s="11" t="n"/>
      <c r="BU23" s="11" t="n"/>
      <c r="BV23" s="11" t="n"/>
      <c r="BW23" s="11" t="n"/>
      <c r="BX23" s="11" t="n"/>
      <c r="BY23" s="11" t="n"/>
      <c r="BZ23" s="11" t="n"/>
      <c r="CA23" s="11" t="n"/>
      <c r="CB23" s="11" t="n"/>
      <c r="CC23" s="11" t="n"/>
      <c r="CD23" s="11" t="n"/>
      <c r="CE23" s="11" t="n"/>
      <c r="CF23" s="11" t="n"/>
      <c r="CG23" s="11" t="n"/>
      <c r="CH23" s="11" t="n"/>
      <c r="CI23" s="11" t="n"/>
      <c r="CJ23" s="11" t="n"/>
      <c r="CK23" s="11" t="n"/>
      <c r="CL23" s="11" t="n"/>
      <c r="CM23" s="11" t="n"/>
      <c r="CN23" s="11" t="n"/>
      <c r="CO23" s="11" t="n"/>
      <c r="CP23" s="11" t="n"/>
      <c r="CQ23" s="11" t="n"/>
      <c r="CR23" s="11" t="n"/>
      <c r="CS23" s="11" t="n"/>
      <c r="CT23" s="11" t="n"/>
      <c r="CU23" s="11" t="n"/>
      <c r="CV23" s="11" t="n"/>
      <c r="CW23" s="11" t="n"/>
      <c r="CX23" s="11" t="n"/>
      <c r="CY23" s="11" t="n"/>
      <c r="CZ23" s="11" t="n"/>
      <c r="DA23" s="11" t="n"/>
      <c r="DB23" s="11" t="n"/>
      <c r="DC23" s="11" t="n"/>
      <c r="DD23" s="11" t="n"/>
      <c r="DE23" s="11" t="n"/>
      <c r="DF23" s="11" t="n"/>
      <c r="DG23" s="11" t="n"/>
      <c r="DH23" s="11" t="n"/>
      <c r="DI23" s="11" t="n"/>
      <c r="DJ23" s="11" t="n"/>
      <c r="DK23" s="11" t="n"/>
      <c r="DL23" s="11" t="n"/>
      <c r="DM23" s="11" t="n"/>
      <c r="DN23" s="11" t="n"/>
      <c r="DO23" s="11" t="n"/>
      <c r="DP23" s="11" t="n"/>
      <c r="DQ23" s="11" t="n"/>
      <c r="DR23" s="11" t="n"/>
      <c r="DS23" s="11" t="n"/>
      <c r="DT23" s="11" t="n"/>
      <c r="DU23" s="11" t="n"/>
      <c r="DV23" s="11" t="n"/>
      <c r="DW23" s="11" t="n"/>
      <c r="DX23" s="11" t="n"/>
      <c r="DY23" s="11" t="n"/>
      <c r="DZ23" s="11" t="n"/>
    </row>
    <row r="24">
      <c r="A24" s="1611" t="inlineStr">
        <is>
          <t>Market Trends</t>
        </is>
      </c>
      <c r="B24" s="1575" t="n"/>
      <c r="C24" s="1612" t="inlineStr">
        <is>
          <t>N/A</t>
        </is>
      </c>
      <c r="D24" s="1575" t="n"/>
      <c r="E24" s="2112">
        <f>E16</f>
        <v/>
      </c>
      <c r="F24" s="1345" t="n">
        <v>0</v>
      </c>
      <c r="G24" s="2112">
        <f>G16</f>
        <v/>
      </c>
      <c r="H24" s="1345" t="n">
        <v>0</v>
      </c>
      <c r="I24" s="2112">
        <f>I16</f>
        <v/>
      </c>
      <c r="J24" s="1345" t="n">
        <v>0</v>
      </c>
      <c r="K24" s="2112">
        <f>K16</f>
        <v/>
      </c>
      <c r="L24" s="1350" t="n">
        <v>0</v>
      </c>
      <c r="M24" s="2113">
        <f>M16</f>
        <v/>
      </c>
      <c r="N24" s="800" t="n">
        <v>0.1</v>
      </c>
    </row>
    <row r="25" ht="30" customHeight="1" s="1449">
      <c r="A25" s="1615" t="inlineStr">
        <is>
          <t>Economics/Tenancy</t>
        </is>
      </c>
      <c r="B25" s="1575" t="n"/>
      <c r="C25" s="1612" t="inlineStr">
        <is>
          <t>Industrial, Average Credit Risk</t>
        </is>
      </c>
      <c r="D25" s="1575" t="n"/>
      <c r="E25" s="2112" t="inlineStr">
        <is>
          <t>Industrial, Average Credit Risk</t>
        </is>
      </c>
      <c r="F25" s="1345" t="n">
        <v>0</v>
      </c>
      <c r="G25" s="2112" t="inlineStr">
        <is>
          <t>Industrial, Average Credit Risk</t>
        </is>
      </c>
      <c r="H25" s="1345" t="n">
        <v>0</v>
      </c>
      <c r="I25" s="2112" t="inlineStr">
        <is>
          <t>Industrial, Average Credit Risk</t>
        </is>
      </c>
      <c r="J25" s="1345" t="n">
        <v>0</v>
      </c>
      <c r="K25" s="2112" t="inlineStr">
        <is>
          <t>Industrial, Average Credit Risk</t>
        </is>
      </c>
      <c r="L25" s="1350" t="n">
        <v>0</v>
      </c>
      <c r="M25" s="2113" t="inlineStr">
        <is>
          <t>Local Tenant - Good Quality</t>
        </is>
      </c>
      <c r="N25" s="800" t="n">
        <v>0.1</v>
      </c>
    </row>
    <row r="26">
      <c r="A26" s="1611" t="inlineStr">
        <is>
          <t>Location</t>
        </is>
      </c>
      <c r="B26" s="1575" t="n"/>
      <c r="C26" s="1612">
        <f>Export030823!R2</f>
        <v/>
      </c>
      <c r="D26" s="1575" t="n"/>
      <c r="E26" s="1346" t="inlineStr">
        <is>
          <t>Average</t>
        </is>
      </c>
      <c r="F26" s="1345" t="n">
        <v>0</v>
      </c>
      <c r="G26" s="1346" t="inlineStr">
        <is>
          <t>Average</t>
        </is>
      </c>
      <c r="H26" s="1345" t="n">
        <v>0</v>
      </c>
      <c r="I26" s="1346" t="inlineStr">
        <is>
          <t>Average</t>
        </is>
      </c>
      <c r="J26" s="1345" t="n">
        <v>0</v>
      </c>
      <c r="K26" s="1346" t="inlineStr">
        <is>
          <t>Average</t>
        </is>
      </c>
      <c r="L26" s="1350" t="n">
        <v>0</v>
      </c>
      <c r="M26" s="494" t="n"/>
      <c r="N26" s="800" t="n">
        <v>0</v>
      </c>
    </row>
    <row r="27" ht="30" customHeight="1" s="1449">
      <c r="A27" s="1611" t="inlineStr">
        <is>
          <t>Age/Condition</t>
        </is>
      </c>
      <c r="B27" s="1575" t="n"/>
      <c r="C27" s="1631">
        <f>Export030823!T2</f>
        <v/>
      </c>
      <c r="D27" s="1575" t="n"/>
      <c r="E27" s="1346" t="inlineStr">
        <is>
          <t>1972/Average</t>
        </is>
      </c>
      <c r="F27" s="1345" t="n">
        <v>0</v>
      </c>
      <c r="G27" s="1346" t="inlineStr">
        <is>
          <t>1971/Fair</t>
        </is>
      </c>
      <c r="H27" s="1345" t="n">
        <v>0.1</v>
      </c>
      <c r="I27" s="1346" t="inlineStr">
        <is>
          <t>1922 (Ren.)/
Above-Average</t>
        </is>
      </c>
      <c r="J27" s="1345" t="n">
        <v>-0.05</v>
      </c>
      <c r="K27" s="1346" t="inlineStr">
        <is>
          <t>1954/Average</t>
        </is>
      </c>
      <c r="L27" s="1350" t="n">
        <v>0</v>
      </c>
      <c r="M27" s="494" t="inlineStr">
        <is>
          <t>2014 (Ren.)/Above-Average</t>
        </is>
      </c>
      <c r="N27" s="800" t="n">
        <v>0.1</v>
      </c>
    </row>
    <row r="28">
      <c r="A28" s="1611" t="inlineStr">
        <is>
          <t>Size (SF)</t>
        </is>
      </c>
      <c r="B28" s="1575" t="n"/>
      <c r="C28" s="1612">
        <f>C15</f>
        <v/>
      </c>
      <c r="D28" s="1575" t="n"/>
      <c r="E28" s="1346">
        <f>E15</f>
        <v/>
      </c>
      <c r="F28" s="1345" t="n">
        <v>0</v>
      </c>
      <c r="G28" s="1346">
        <f>G15</f>
        <v/>
      </c>
      <c r="H28" s="1345" t="n">
        <v>-0.05</v>
      </c>
      <c r="I28" s="1346">
        <f>I15</f>
        <v/>
      </c>
      <c r="J28" s="1345" t="n">
        <v>-0.05</v>
      </c>
      <c r="K28" s="1346">
        <f>K15</f>
        <v/>
      </c>
      <c r="L28" s="1350" t="n">
        <v>0</v>
      </c>
      <c r="M28" s="494">
        <f>M15</f>
        <v/>
      </c>
      <c r="N28" s="800" t="n">
        <v>-0.05</v>
      </c>
    </row>
    <row r="29" ht="24" customHeight="1" s="1449">
      <c r="A29" s="1611" t="inlineStr">
        <is>
          <t>Quality</t>
        </is>
      </c>
      <c r="B29" s="1575" t="n"/>
      <c r="C29" s="1631">
        <f>Export030823!U2</f>
        <v/>
      </c>
      <c r="D29" s="1575" t="n"/>
      <c r="E29" s="1347" t="inlineStr">
        <is>
          <t>Average</t>
        </is>
      </c>
      <c r="F29" s="1345" t="n">
        <v>0</v>
      </c>
      <c r="G29" s="1347" t="inlineStr">
        <is>
          <t>Average</t>
        </is>
      </c>
      <c r="H29" s="1345" t="n">
        <v>0</v>
      </c>
      <c r="I29" s="1347" t="inlineStr">
        <is>
          <t>Average</t>
        </is>
      </c>
      <c r="J29" s="1345" t="n">
        <v>0</v>
      </c>
      <c r="K29" s="1347" t="inlineStr">
        <is>
          <t>Average</t>
        </is>
      </c>
      <c r="L29" s="1350" t="n">
        <v>0</v>
      </c>
      <c r="M29" s="495" t="inlineStr">
        <is>
          <t>Good</t>
        </is>
      </c>
      <c r="N29" s="800" t="n">
        <v>0</v>
      </c>
    </row>
    <row r="30" customFormat="1" s="12">
      <c r="A30" s="1611" t="inlineStr">
        <is>
          <t>Land-To-Building Ratio</t>
        </is>
      </c>
      <c r="B30" s="1575" t="n"/>
      <c r="C30" s="1638">
        <f>Export030823!V2</f>
        <v/>
      </c>
      <c r="D30" s="1575" t="n"/>
      <c r="E30" s="1348">
        <f>75359/E9</f>
        <v/>
      </c>
      <c r="F30" s="1345" t="n">
        <v>0</v>
      </c>
      <c r="G30" s="1348">
        <f>143748/G9</f>
        <v/>
      </c>
      <c r="H30" s="1345" t="n">
        <v>0</v>
      </c>
      <c r="I30" s="1348">
        <f>87120/I9</f>
        <v/>
      </c>
      <c r="J30" s="1345" t="n">
        <v>0</v>
      </c>
      <c r="K30" s="1348">
        <f>91912/K9</f>
        <v/>
      </c>
      <c r="L30" s="1350" t="n">
        <v>0</v>
      </c>
      <c r="M30" s="496" t="n">
        <v>5.52</v>
      </c>
      <c r="N30" s="800" t="n">
        <v>-0.05</v>
      </c>
    </row>
    <row r="31" ht="35.25" customFormat="1" customHeight="1" s="12">
      <c r="A31" s="1619" t="inlineStr">
        <is>
          <t>Functional Utility</t>
        </is>
      </c>
      <c r="B31" s="1620" t="n"/>
      <c r="C31" s="1632">
        <f>Export030823!X2</f>
        <v/>
      </c>
      <c r="D31" s="1575" t="n"/>
      <c r="E31" s="1349" t="inlineStr">
        <is>
          <t>Good: I-3 Zoning</t>
        </is>
      </c>
      <c r="F31" s="1345" t="n">
        <v>-0.1</v>
      </c>
      <c r="G31" s="1349" t="inlineStr">
        <is>
          <t>Average</t>
        </is>
      </c>
      <c r="H31" s="1345" t="n">
        <v>0</v>
      </c>
      <c r="I31" s="1349" t="inlineStr">
        <is>
          <t>Above-Average: I-B Zoning</t>
        </is>
      </c>
      <c r="J31" s="1345" t="n">
        <v>-0.05</v>
      </c>
      <c r="K31" s="1349" t="inlineStr">
        <is>
          <t>Average</t>
        </is>
      </c>
      <c r="L31" s="1350" t="n">
        <v>0</v>
      </c>
      <c r="M31" s="497" t="inlineStr">
        <is>
          <t>Average</t>
        </is>
      </c>
      <c r="N31" s="800" t="n">
        <v>0</v>
      </c>
    </row>
    <row r="32" ht="12.75" customHeight="1" s="1449">
      <c r="A32" s="1608" t="inlineStr">
        <is>
          <t>Subtotal Net Adjustments</t>
        </is>
      </c>
      <c r="B32" s="1609" t="n"/>
      <c r="C32" s="1609" t="n"/>
      <c r="D32" s="1610" t="n"/>
      <c r="E32" s="2114" t="n"/>
      <c r="F32" s="499">
        <f>SUM(F24:F31)</f>
        <v/>
      </c>
      <c r="G32" s="2114" t="n"/>
      <c r="H32" s="499">
        <f>SUM(H24:H31)</f>
        <v/>
      </c>
      <c r="I32" s="2114" t="n"/>
      <c r="J32" s="499">
        <f>SUM(J24:J31)</f>
        <v/>
      </c>
      <c r="K32" s="2114" t="n"/>
      <c r="L32" s="499">
        <f>SUM(L24:L31)</f>
        <v/>
      </c>
      <c r="M32" s="2114" t="n"/>
      <c r="N32" s="499">
        <f>SUM(N24:N31)</f>
        <v/>
      </c>
    </row>
    <row r="33">
      <c r="A33" s="1608" t="inlineStr">
        <is>
          <t>Adjusted Lease Rate Per Square Foot</t>
        </is>
      </c>
      <c r="B33" s="1609" t="n"/>
      <c r="C33" s="1609" t="n"/>
      <c r="D33" s="1610" t="n"/>
      <c r="E33" s="2114" t="n"/>
      <c r="F33" s="2115">
        <f>+E22*(1+F32)</f>
        <v/>
      </c>
      <c r="G33" s="2114" t="n"/>
      <c r="H33" s="2115">
        <f>+G22*(1+H32)</f>
        <v/>
      </c>
      <c r="I33" s="2114" t="n"/>
      <c r="J33" s="2115">
        <f>+I22*(1+J32)</f>
        <v/>
      </c>
      <c r="K33" s="2114" t="n"/>
      <c r="L33" s="2115">
        <f>+K22*(1+L32)</f>
        <v/>
      </c>
      <c r="M33" s="2114" t="n"/>
      <c r="N33" s="2115">
        <f>+M22*(1+N32)</f>
        <v/>
      </c>
    </row>
    <row r="34">
      <c r="A34" s="6" t="n"/>
      <c r="B34" s="7" t="n"/>
      <c r="C34" s="7" t="n"/>
      <c r="D34" s="7" t="n"/>
      <c r="E34" s="2116" t="n"/>
      <c r="F34" s="2117" t="n"/>
      <c r="G34" s="2117" t="n"/>
      <c r="H34" s="2117" t="n"/>
      <c r="I34" s="2117" t="n"/>
      <c r="J34" s="2117" t="n"/>
      <c r="K34" s="2116" t="n"/>
      <c r="L34" s="2117" t="n"/>
      <c r="M34" s="2116" t="n"/>
      <c r="N34" s="2117" t="n"/>
    </row>
    <row r="35" hidden="1" ht="15" customHeight="1" s="1449">
      <c r="A35" s="6" t="n"/>
      <c r="B35" s="7" t="n"/>
      <c r="C35" s="7" t="n"/>
      <c r="D35" s="7" t="n"/>
      <c r="E35" s="2116" t="n"/>
      <c r="F35" s="2117" t="n"/>
      <c r="G35" s="2117" t="n"/>
      <c r="H35" s="2117" t="n"/>
      <c r="I35" s="2117" t="n"/>
      <c r="J35" s="2117" t="n"/>
      <c r="K35" s="2116" t="n"/>
      <c r="L35" s="2117" t="n"/>
      <c r="M35" s="2116" t="n"/>
      <c r="N35" s="2117" t="n"/>
    </row>
    <row r="36" hidden="1" s="1449">
      <c r="F36" s="2118">
        <f>F33</f>
        <v/>
      </c>
    </row>
    <row r="37" hidden="1" s="1449">
      <c r="F37" s="2118">
        <f>H33</f>
        <v/>
      </c>
    </row>
    <row r="38" hidden="1" s="1449">
      <c r="F38" s="2118">
        <f>J33</f>
        <v/>
      </c>
    </row>
    <row r="39" hidden="1" s="1449">
      <c r="F39" s="2118">
        <f>L33</f>
        <v/>
      </c>
    </row>
    <row r="40" hidden="1" s="1449"/>
    <row r="41">
      <c r="E41" s="358">
        <f>(E28-$C$28)/$C$28</f>
        <v/>
      </c>
      <c r="G41" s="358">
        <f>(G28-$C$28)/$C$28</f>
        <v/>
      </c>
      <c r="I41" s="358">
        <f>(I28-$C$28)/$C$28</f>
        <v/>
      </c>
      <c r="K41" s="358">
        <f>(K28-$C$28)/$C$28</f>
        <v/>
      </c>
    </row>
  </sheetData>
  <mergeCells count="143">
    <mergeCell ref="G21:H21"/>
    <mergeCell ref="C6:D6"/>
    <mergeCell ref="A15:B15"/>
    <mergeCell ref="C15:D15"/>
    <mergeCell ref="E8:F8"/>
    <mergeCell ref="I16:J16"/>
    <mergeCell ref="A27:B27"/>
    <mergeCell ref="G18:H18"/>
    <mergeCell ref="I18:J18"/>
    <mergeCell ref="M16:N16"/>
    <mergeCell ref="C27:D27"/>
    <mergeCell ref="M18:N18"/>
    <mergeCell ref="A17:B17"/>
    <mergeCell ref="C17:D17"/>
    <mergeCell ref="M8:N8"/>
    <mergeCell ref="A22:B22"/>
    <mergeCell ref="M17:N17"/>
    <mergeCell ref="G20:H20"/>
    <mergeCell ref="I20:J20"/>
    <mergeCell ref="A19:B19"/>
    <mergeCell ref="C19:D19"/>
    <mergeCell ref="A28:B28"/>
    <mergeCell ref="C28:D28"/>
    <mergeCell ref="M19:N19"/>
    <mergeCell ref="E22:F22"/>
    <mergeCell ref="A33:D33"/>
    <mergeCell ref="G22:H22"/>
    <mergeCell ref="A9:B9"/>
    <mergeCell ref="K13:L13"/>
    <mergeCell ref="C3:D3"/>
    <mergeCell ref="I13:J13"/>
    <mergeCell ref="E3:F3"/>
    <mergeCell ref="A30:B30"/>
    <mergeCell ref="C30:D30"/>
    <mergeCell ref="I6:J6"/>
    <mergeCell ref="I15:J15"/>
    <mergeCell ref="A11:B11"/>
    <mergeCell ref="K15:L15"/>
    <mergeCell ref="C5:D5"/>
    <mergeCell ref="E5:F5"/>
    <mergeCell ref="C14:D14"/>
    <mergeCell ref="E14:F14"/>
    <mergeCell ref="C4:D4"/>
    <mergeCell ref="K21:L21"/>
    <mergeCell ref="E4:F4"/>
    <mergeCell ref="G7:H7"/>
    <mergeCell ref="I7:J7"/>
    <mergeCell ref="M13:N13"/>
    <mergeCell ref="M7:N7"/>
    <mergeCell ref="A26:B26"/>
    <mergeCell ref="M21:N21"/>
    <mergeCell ref="I8:J8"/>
    <mergeCell ref="A8:B8"/>
    <mergeCell ref="I17:J17"/>
    <mergeCell ref="C8:D8"/>
    <mergeCell ref="K17:L17"/>
    <mergeCell ref="E16:F16"/>
    <mergeCell ref="G16:H16"/>
    <mergeCell ref="A10:B10"/>
    <mergeCell ref="I19:J19"/>
    <mergeCell ref="K19:L19"/>
    <mergeCell ref="C18:D18"/>
    <mergeCell ref="K6:L6"/>
    <mergeCell ref="G9:H9"/>
    <mergeCell ref="E18:F18"/>
    <mergeCell ref="I9:J9"/>
    <mergeCell ref="K3:L3"/>
    <mergeCell ref="K16:L16"/>
    <mergeCell ref="K9:L9"/>
    <mergeCell ref="K5:L5"/>
    <mergeCell ref="M9:N9"/>
    <mergeCell ref="M5:N5"/>
    <mergeCell ref="C20:D20"/>
    <mergeCell ref="E20:F20"/>
    <mergeCell ref="C29:D29"/>
    <mergeCell ref="E13:F13"/>
    <mergeCell ref="C22:D22"/>
    <mergeCell ref="G13:H13"/>
    <mergeCell ref="C31:D31"/>
    <mergeCell ref="A3:B3"/>
    <mergeCell ref="A12:B12"/>
    <mergeCell ref="I21:J21"/>
    <mergeCell ref="C12:D12"/>
    <mergeCell ref="A21:B21"/>
    <mergeCell ref="E6:F6"/>
    <mergeCell ref="M15:N15"/>
    <mergeCell ref="C21:D21"/>
    <mergeCell ref="E15:F15"/>
    <mergeCell ref="K8:L8"/>
    <mergeCell ref="G15:H15"/>
    <mergeCell ref="A2:N2"/>
    <mergeCell ref="A5:B5"/>
    <mergeCell ref="A14:B14"/>
    <mergeCell ref="A23:B23"/>
    <mergeCell ref="C23:D23"/>
    <mergeCell ref="A4:B4"/>
    <mergeCell ref="K7:L7"/>
    <mergeCell ref="C7:D7"/>
    <mergeCell ref="E7:F7"/>
    <mergeCell ref="K18:L18"/>
    <mergeCell ref="A32:D32"/>
    <mergeCell ref="A24:B24"/>
    <mergeCell ref="C24:D24"/>
    <mergeCell ref="G8:H8"/>
    <mergeCell ref="E17:F17"/>
    <mergeCell ref="C26:D26"/>
    <mergeCell ref="A6:B6"/>
    <mergeCell ref="G17:H17"/>
    <mergeCell ref="A16:B16"/>
    <mergeCell ref="K20:L20"/>
    <mergeCell ref="C16:D16"/>
    <mergeCell ref="M20:N20"/>
    <mergeCell ref="A25:B25"/>
    <mergeCell ref="C25:D25"/>
    <mergeCell ref="E19:F19"/>
    <mergeCell ref="G19:H19"/>
    <mergeCell ref="I22:J22"/>
    <mergeCell ref="G6:H6"/>
    <mergeCell ref="C9:D9"/>
    <mergeCell ref="K22:L22"/>
    <mergeCell ref="A18:B18"/>
    <mergeCell ref="E9:F9"/>
    <mergeCell ref="M22:N22"/>
    <mergeCell ref="G3:H3"/>
    <mergeCell ref="I3:J3"/>
    <mergeCell ref="M6:N6"/>
    <mergeCell ref="G5:H5"/>
    <mergeCell ref="I5:J5"/>
    <mergeCell ref="G14:H14"/>
    <mergeCell ref="M3:N3"/>
    <mergeCell ref="I14:J14"/>
    <mergeCell ref="K14:L14"/>
    <mergeCell ref="G4:H4"/>
    <mergeCell ref="A20:B20"/>
    <mergeCell ref="I4:J4"/>
    <mergeCell ref="A29:B29"/>
    <mergeCell ref="M14:N14"/>
    <mergeCell ref="A13:B13"/>
    <mergeCell ref="C13:D13"/>
    <mergeCell ref="K4:L4"/>
    <mergeCell ref="A31:B31"/>
    <mergeCell ref="M4:N4"/>
    <mergeCell ref="E21:F21"/>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C3:R27"/>
  <sheetViews>
    <sheetView showGridLines="0" workbookViewId="0">
      <selection activeCell="J16" sqref="J16"/>
    </sheetView>
  </sheetViews>
  <sheetFormatPr baseColWidth="8" defaultRowHeight="15"/>
  <cols>
    <col width="5.7109375" customWidth="1" style="1449" min="3" max="3"/>
    <col width="8.7109375" customWidth="1" style="1449" min="4" max="4"/>
    <col width="28.7109375" customWidth="1" style="1449" min="5" max="5"/>
    <col width="9.42578125" bestFit="1" customWidth="1" style="1449" min="8" max="8"/>
    <col width="11.5703125" bestFit="1" customWidth="1" style="1449" min="15" max="15"/>
    <col width="11.140625" customWidth="1" style="1449" min="16" max="16"/>
    <col width="11.42578125" customWidth="1" style="1449" min="17" max="17"/>
    <col hidden="1" width="13" customWidth="1" style="1449" min="18" max="18"/>
  </cols>
  <sheetData>
    <row r="3">
      <c r="C3" s="1562" t="inlineStr">
        <is>
          <t xml:space="preserve"> SUMMARY OF IMPROVED SALES</t>
        </is>
      </c>
    </row>
    <row r="4" ht="39" customHeight="1" s="1449">
      <c r="C4" s="1650" t="inlineStr">
        <is>
          <t>No.</t>
        </is>
      </c>
      <c r="D4" s="1650" t="inlineStr">
        <is>
          <t>Type</t>
        </is>
      </c>
      <c r="E4" s="69" t="inlineStr">
        <is>
          <t>Property Type / Location</t>
        </is>
      </c>
      <c r="F4" s="182" t="inlineStr">
        <is>
          <t>Date of
Sale</t>
        </is>
      </c>
      <c r="G4" s="182" t="inlineStr">
        <is>
          <t>Property Rights</t>
        </is>
      </c>
      <c r="H4" s="182" t="inlineStr">
        <is>
          <t>Year
Built</t>
        </is>
      </c>
      <c r="I4" s="182" t="inlineStr">
        <is>
          <t>Bldg. Size 
(SF)</t>
        </is>
      </c>
      <c r="J4" s="182" t="inlineStr">
        <is>
          <t>Site Size
(SF)
(Acres)</t>
        </is>
      </c>
      <c r="K4" s="182" t="inlineStr">
        <is>
          <t>Building Footprint</t>
        </is>
      </c>
      <c r="L4" s="191" t="inlineStr">
        <is>
          <t>Coverage Ratio</t>
        </is>
      </c>
      <c r="M4" s="182" t="inlineStr">
        <is>
          <t>Percent Office</t>
        </is>
      </c>
      <c r="N4" s="182" t="inlineStr">
        <is>
          <t>Clear
Heights (ft.)</t>
        </is>
      </c>
      <c r="O4" s="192" t="inlineStr">
        <is>
          <t>Occupancy</t>
        </is>
      </c>
      <c r="P4" s="182" t="inlineStr">
        <is>
          <t>Sale Price</t>
        </is>
      </c>
      <c r="Q4" s="182" t="inlineStr">
        <is>
          <t>Price PSF</t>
        </is>
      </c>
      <c r="R4" s="193" t="inlineStr">
        <is>
          <t>Overall Rate</t>
        </is>
      </c>
    </row>
    <row r="5" ht="12" customHeight="1" s="1449">
      <c r="C5" s="309">
        <f>ROW()-4</f>
        <v/>
      </c>
      <c r="D5" s="309" t="inlineStr">
        <is>
          <t>Sale</t>
        </is>
      </c>
      <c r="E5" s="310" t="n"/>
      <c r="F5" s="2119" t="n"/>
      <c r="G5" s="2120" t="n"/>
      <c r="H5" s="1644" t="n"/>
      <c r="I5" s="313" t="n"/>
      <c r="J5" s="314" t="n"/>
      <c r="K5" s="1648" t="n"/>
      <c r="L5" s="315" t="n"/>
      <c r="M5" s="316" t="n"/>
      <c r="N5" s="317" t="n"/>
      <c r="O5" s="318" t="inlineStr">
        <is>
          <t>Vacant at TOS</t>
        </is>
      </c>
      <c r="P5" s="2121" t="n">
        <v>1800000</v>
      </c>
      <c r="Q5" s="2122">
        <f>P5/I5</f>
        <v/>
      </c>
      <c r="R5" s="295" t="inlineStr">
        <is>
          <t>N/A</t>
        </is>
      </c>
    </row>
    <row r="6" ht="12" customHeight="1" s="1449">
      <c r="C6" s="309" t="n"/>
      <c r="D6" s="309" t="n"/>
      <c r="E6" s="310" t="n"/>
      <c r="F6" s="2123" t="n"/>
      <c r="G6" s="2120" t="n"/>
      <c r="I6" s="322" t="n"/>
      <c r="J6" s="323" t="n"/>
      <c r="L6" s="315" t="n"/>
      <c r="M6" s="316" t="n"/>
      <c r="N6" s="317" t="n"/>
      <c r="O6" s="318" t="n"/>
      <c r="P6" s="2124" t="n"/>
      <c r="Q6" s="2122" t="n"/>
      <c r="R6" s="295" t="n"/>
    </row>
    <row r="7" ht="12" customHeight="1" s="1449">
      <c r="C7" s="309" t="n"/>
      <c r="D7" s="309" t="n"/>
      <c r="E7" s="310" t="n"/>
      <c r="F7" s="2119" t="n"/>
      <c r="G7" s="2125" t="n"/>
      <c r="H7" s="1644" t="n"/>
      <c r="I7" s="313" t="n"/>
      <c r="J7" s="323" t="n"/>
      <c r="K7" s="1648" t="n"/>
      <c r="L7" s="315" t="n"/>
      <c r="M7" s="316" t="n"/>
      <c r="N7" s="317" t="n"/>
      <c r="O7" s="318" t="n"/>
      <c r="P7" s="2124" t="n"/>
      <c r="Q7" s="2122" t="n"/>
      <c r="R7" s="295" t="n"/>
    </row>
    <row r="8" ht="12" customHeight="1" s="1449">
      <c r="C8" s="309" t="n"/>
      <c r="D8" s="309" t="n"/>
      <c r="E8" s="310" t="n"/>
      <c r="F8" s="2126" t="n"/>
      <c r="G8" s="2127" t="n"/>
      <c r="H8" s="330" t="n"/>
      <c r="I8" s="314" t="n"/>
      <c r="J8" s="331" t="n"/>
      <c r="K8" s="332" t="n"/>
      <c r="L8" s="333" t="n"/>
      <c r="M8" s="334" t="n"/>
      <c r="N8" s="335" t="n"/>
      <c r="O8" s="336" t="inlineStr">
        <is>
          <t> </t>
        </is>
      </c>
      <c r="P8" s="2124" t="n"/>
      <c r="Q8" s="2122" t="n"/>
      <c r="R8" s="295" t="inlineStr">
        <is>
          <t> </t>
        </is>
      </c>
    </row>
    <row r="9" ht="12" customHeight="1" s="1449">
      <c r="C9" s="309" t="n">
        <v>2</v>
      </c>
      <c r="D9" s="309" t="inlineStr">
        <is>
          <t>Sale</t>
        </is>
      </c>
      <c r="E9" s="310" t="n"/>
      <c r="F9" s="2119" t="n"/>
      <c r="G9" s="2125" t="n"/>
      <c r="H9" s="1644" t="n"/>
      <c r="I9" s="313" t="n"/>
      <c r="J9" s="314" t="n"/>
      <c r="K9" s="1648" t="n"/>
      <c r="L9" s="315" t="n"/>
      <c r="M9" s="316" t="n"/>
      <c r="N9" s="317" t="n"/>
      <c r="O9" s="318" t="inlineStr">
        <is>
          <t>Vacant at TOS</t>
        </is>
      </c>
      <c r="P9" s="2121" t="n">
        <v>1350000</v>
      </c>
      <c r="Q9" s="2122">
        <f>P9/I9</f>
        <v/>
      </c>
      <c r="R9" s="295" t="inlineStr">
        <is>
          <t>N/A</t>
        </is>
      </c>
    </row>
    <row r="10" ht="12" customHeight="1" s="1449">
      <c r="C10" s="309" t="n"/>
      <c r="D10" s="309" t="n"/>
      <c r="E10" s="310" t="n"/>
      <c r="F10" s="2119" t="n"/>
      <c r="G10" s="2125" t="n"/>
      <c r="H10" s="1644" t="n"/>
      <c r="I10" s="313" t="n"/>
      <c r="J10" s="323" t="n"/>
      <c r="K10" s="1648" t="n"/>
      <c r="L10" s="315" t="n"/>
      <c r="M10" s="316" t="n"/>
      <c r="N10" s="317" t="n"/>
      <c r="O10" s="318" t="n"/>
      <c r="P10" s="2121" t="n"/>
      <c r="Q10" s="2122" t="n"/>
      <c r="R10" s="295" t="n"/>
    </row>
    <row r="11" ht="12" customHeight="1" s="1449">
      <c r="C11" s="309" t="n"/>
      <c r="D11" s="309" t="n"/>
      <c r="E11" s="310" t="n"/>
      <c r="F11" s="2119" t="n"/>
      <c r="G11" s="2125" t="n"/>
      <c r="H11" s="1644" t="n"/>
      <c r="I11" s="313" t="n"/>
      <c r="J11" s="323" t="n"/>
      <c r="K11" s="1648" t="n"/>
      <c r="L11" s="315" t="n"/>
      <c r="M11" s="316" t="n"/>
      <c r="N11" s="317" t="n"/>
      <c r="O11" s="318" t="n"/>
      <c r="P11" s="2121" t="n"/>
      <c r="Q11" s="2122" t="n"/>
      <c r="R11" s="295" t="n"/>
    </row>
    <row r="12" ht="12" customHeight="1" s="1449">
      <c r="C12" s="309" t="n"/>
      <c r="D12" s="309" t="n"/>
      <c r="E12" s="310" t="n"/>
      <c r="F12" s="2126" t="n"/>
      <c r="G12" s="2126" t="n"/>
      <c r="H12" s="330" t="n"/>
      <c r="I12" s="332" t="n"/>
      <c r="J12" s="314" t="n"/>
      <c r="K12" s="332" t="n"/>
      <c r="L12" s="333" t="n"/>
      <c r="M12" s="337" t="n"/>
      <c r="N12" s="337" t="n"/>
      <c r="O12" s="336" t="inlineStr">
        <is>
          <t> </t>
        </is>
      </c>
      <c r="P12" s="2128" t="n"/>
      <c r="Q12" s="2122" t="n"/>
      <c r="R12" s="295" t="inlineStr">
        <is>
          <t> </t>
        </is>
      </c>
    </row>
    <row r="13" ht="12" customHeight="1" s="1449">
      <c r="C13" s="309" t="n">
        <v>3</v>
      </c>
      <c r="D13" s="309" t="inlineStr">
        <is>
          <t>Sale</t>
        </is>
      </c>
      <c r="E13" s="310" t="n"/>
      <c r="F13" s="2119" t="n"/>
      <c r="G13" s="2125" t="n"/>
      <c r="H13" s="1644" t="n"/>
      <c r="I13" s="313" t="n"/>
      <c r="J13" s="314" t="n"/>
      <c r="K13" s="1648" t="n"/>
      <c r="L13" s="315" t="n"/>
      <c r="M13" s="316" t="n"/>
      <c r="N13" s="317" t="n"/>
      <c r="O13" s="318" t="inlineStr">
        <is>
          <t>Vacant at TOS</t>
        </is>
      </c>
      <c r="P13" s="2121" t="n">
        <v>530000</v>
      </c>
      <c r="Q13" s="2122">
        <f>P13/I13</f>
        <v/>
      </c>
      <c r="R13" s="295" t="n">
        <v>0.074</v>
      </c>
    </row>
    <row r="14" ht="12" customHeight="1" s="1449">
      <c r="C14" s="309" t="n"/>
      <c r="D14" s="309" t="n"/>
      <c r="E14" s="310" t="n"/>
      <c r="F14" s="2119" t="n"/>
      <c r="G14" s="2125" t="n"/>
      <c r="H14" s="1644" t="n"/>
      <c r="I14" s="313" t="n"/>
      <c r="J14" s="323" t="n"/>
      <c r="K14" s="1648" t="n"/>
      <c r="L14" s="315" t="n"/>
      <c r="M14" s="316" t="n"/>
      <c r="N14" s="317" t="n"/>
      <c r="O14" s="318" t="n"/>
      <c r="P14" s="2121" t="n"/>
      <c r="Q14" s="2122" t="n"/>
      <c r="R14" s="295" t="n"/>
    </row>
    <row r="15" ht="12" customHeight="1" s="1449">
      <c r="C15" s="309" t="n"/>
      <c r="D15" s="309" t="n"/>
      <c r="E15" s="310" t="n"/>
      <c r="F15" s="2119" t="n"/>
      <c r="G15" s="2125" t="n"/>
      <c r="H15" s="1644" t="n"/>
      <c r="I15" s="313" t="n"/>
      <c r="J15" s="323" t="n"/>
      <c r="K15" s="1648" t="n"/>
      <c r="L15" s="315" t="n"/>
      <c r="M15" s="316" t="n"/>
      <c r="N15" s="317" t="n"/>
      <c r="O15" s="318" t="n"/>
      <c r="P15" s="2121" t="n"/>
      <c r="Q15" s="2122" t="n"/>
      <c r="R15" s="295" t="n"/>
    </row>
    <row r="16" ht="12" customHeight="1" s="1449">
      <c r="C16" s="309" t="n"/>
      <c r="D16" s="309" t="n"/>
      <c r="E16" s="310" t="n"/>
      <c r="F16" s="2126" t="n"/>
      <c r="G16" s="2126" t="n"/>
      <c r="H16" s="330" t="n"/>
      <c r="I16" s="332" t="n"/>
      <c r="J16" s="314" t="n"/>
      <c r="K16" s="332" t="n"/>
      <c r="L16" s="333" t="n"/>
      <c r="M16" s="337" t="n"/>
      <c r="N16" s="337" t="n"/>
      <c r="O16" s="336" t="inlineStr">
        <is>
          <t> </t>
        </is>
      </c>
      <c r="P16" s="2128" t="n"/>
      <c r="Q16" s="2122" t="n"/>
      <c r="R16" s="295" t="inlineStr">
        <is>
          <t> </t>
        </is>
      </c>
    </row>
    <row r="17" ht="12" customHeight="1" s="1449">
      <c r="C17" s="309" t="n">
        <v>4</v>
      </c>
      <c r="D17" s="309" t="inlineStr">
        <is>
          <t>Sale</t>
        </is>
      </c>
      <c r="E17" s="310" t="n"/>
      <c r="F17" s="2119" t="n"/>
      <c r="G17" s="2125" t="n"/>
      <c r="H17" s="1644" t="n"/>
      <c r="I17" s="313" t="n"/>
      <c r="J17" s="314" t="n"/>
      <c r="K17" s="1648" t="n"/>
      <c r="L17" s="315" t="n"/>
      <c r="M17" s="316" t="n"/>
      <c r="N17" s="317" t="n"/>
      <c r="O17" s="318" t="inlineStr">
        <is>
          <t>Vacant at TOS</t>
        </is>
      </c>
      <c r="P17" s="2121" t="n">
        <v>417000</v>
      </c>
      <c r="Q17" s="2122">
        <f>P17/I17</f>
        <v/>
      </c>
      <c r="R17" s="295" t="n">
        <v>0.065</v>
      </c>
    </row>
    <row r="18" ht="12" customHeight="1" s="1449">
      <c r="C18" s="309" t="n"/>
      <c r="D18" s="309" t="n"/>
      <c r="E18" s="310" t="n"/>
      <c r="F18" s="2119" t="n"/>
      <c r="G18" s="2125" t="n"/>
      <c r="H18" s="1644" t="n"/>
      <c r="I18" s="313" t="n"/>
      <c r="J18" s="323" t="n"/>
      <c r="K18" s="1648" t="n"/>
      <c r="L18" s="315" t="n"/>
      <c r="M18" s="316" t="n"/>
      <c r="N18" s="317" t="n"/>
      <c r="O18" s="318" t="n"/>
      <c r="P18" s="2121" t="n"/>
      <c r="Q18" s="2122" t="n"/>
      <c r="R18" s="295" t="n"/>
    </row>
    <row r="19" ht="12" customHeight="1" s="1449">
      <c r="C19" s="309" t="n"/>
      <c r="D19" s="309" t="n"/>
      <c r="E19" s="310" t="n"/>
      <c r="F19" s="2119" t="n"/>
      <c r="G19" s="2125" t="n"/>
      <c r="H19" s="1644" t="n"/>
      <c r="I19" s="313" t="n"/>
      <c r="J19" s="323" t="n"/>
      <c r="K19" s="1648" t="n"/>
      <c r="L19" s="315" t="n"/>
      <c r="M19" s="316" t="n"/>
      <c r="N19" s="317" t="n"/>
      <c r="O19" s="318" t="n"/>
      <c r="P19" s="2121" t="n"/>
      <c r="Q19" s="2122" t="n"/>
      <c r="R19" s="295" t="n"/>
    </row>
    <row r="20" ht="12" customHeight="1" s="1449">
      <c r="C20" s="309" t="n"/>
      <c r="D20" s="309" t="n"/>
      <c r="E20" s="310" t="n"/>
      <c r="F20" s="2119" t="n"/>
      <c r="G20" s="2125" t="n"/>
      <c r="H20" s="1644" t="n"/>
      <c r="I20" s="313" t="n"/>
      <c r="J20" s="323" t="n"/>
      <c r="K20" s="1648" t="n"/>
      <c r="L20" s="315" t="n"/>
      <c r="M20" s="316" t="n"/>
      <c r="N20" s="317" t="n"/>
      <c r="O20" s="318" t="n"/>
      <c r="P20" s="2121" t="n"/>
      <c r="Q20" s="2122" t="n"/>
      <c r="R20" s="295" t="n"/>
    </row>
    <row r="21" ht="12" customHeight="1" s="1449">
      <c r="C21" s="309" t="n">
        <v>5</v>
      </c>
      <c r="D21" s="309" t="inlineStr">
        <is>
          <t>Sale</t>
        </is>
      </c>
      <c r="E21" s="310" t="n"/>
      <c r="F21" s="2119" t="n"/>
      <c r="G21" s="2125" t="n"/>
      <c r="H21" s="1644" t="n"/>
      <c r="I21" s="313" t="n"/>
      <c r="J21" s="314" t="n"/>
      <c r="K21" s="1648" t="n"/>
      <c r="L21" s="315" t="n"/>
      <c r="M21" s="316" t="n"/>
      <c r="N21" s="317" t="n"/>
      <c r="O21" s="318" t="inlineStr">
        <is>
          <t>Vacant at TOS</t>
        </is>
      </c>
      <c r="P21" s="2121" t="n">
        <v>400000</v>
      </c>
      <c r="Q21" s="2122">
        <f>P21/I21</f>
        <v/>
      </c>
      <c r="R21" s="295" t="n">
        <v>0.055</v>
      </c>
    </row>
    <row r="22" ht="12" customHeight="1" s="1449">
      <c r="C22" s="309" t="n"/>
      <c r="D22" s="309" t="n"/>
      <c r="E22" s="310" t="n"/>
      <c r="F22" s="2119" t="n"/>
      <c r="G22" s="2125" t="n"/>
      <c r="H22" s="1644" t="n"/>
      <c r="I22" s="313" t="n"/>
      <c r="J22" s="323" t="n"/>
      <c r="K22" s="1648" t="n"/>
      <c r="L22" s="315" t="n"/>
      <c r="M22" s="316" t="n"/>
      <c r="N22" s="317" t="n"/>
      <c r="O22" s="318" t="n"/>
      <c r="P22" s="2121" t="n"/>
      <c r="Q22" s="2122" t="n"/>
      <c r="R22" s="295" t="n"/>
    </row>
    <row r="23" ht="12" customHeight="1" s="1449">
      <c r="C23" s="309" t="n"/>
      <c r="D23" s="309" t="n"/>
      <c r="E23" s="310" t="n"/>
      <c r="F23" s="2119" t="n"/>
      <c r="G23" s="2125" t="n"/>
      <c r="H23" s="1644" t="n"/>
      <c r="I23" s="313" t="n"/>
      <c r="J23" s="323" t="n"/>
      <c r="K23" s="1648" t="n"/>
      <c r="L23" s="315" t="n"/>
      <c r="M23" s="316" t="n"/>
      <c r="N23" s="317" t="n"/>
      <c r="O23" s="318" t="n"/>
      <c r="P23" s="2121" t="n"/>
      <c r="Q23" s="2122" t="n"/>
      <c r="R23" s="295" t="n"/>
    </row>
    <row r="24" ht="12" customHeight="1" s="1449">
      <c r="C24" s="309" t="n"/>
      <c r="D24" s="309" t="n"/>
      <c r="E24" s="310" t="n"/>
      <c r="F24" s="2119" t="n"/>
      <c r="G24" s="2125" t="n"/>
      <c r="H24" s="1644" t="n"/>
      <c r="I24" s="313" t="n"/>
      <c r="J24" s="323" t="n"/>
      <c r="K24" s="1648" t="n"/>
      <c r="L24" s="315" t="n"/>
      <c r="M24" s="316" t="n"/>
      <c r="N24" s="317" t="n"/>
      <c r="O24" s="318" t="n"/>
      <c r="P24" s="2121" t="n"/>
      <c r="Q24" s="2122" t="n"/>
      <c r="R24" s="295" t="n"/>
    </row>
    <row r="25" ht="12.75" customHeight="1" s="1449">
      <c r="C25" s="194" t="inlineStr">
        <is>
          <t>Subj.</t>
        </is>
      </c>
      <c r="D25" s="194" t="n"/>
      <c r="E25" s="284">
        <f>'Property Info'!B15</f>
        <v/>
      </c>
      <c r="F25" s="2129" t="n"/>
      <c r="G25" s="194" t="n"/>
      <c r="H25" s="1646">
        <f>'Property Info'!B8</f>
        <v/>
      </c>
      <c r="I25" s="1645">
        <f>'Property Info'!B5</f>
        <v/>
      </c>
      <c r="J25" s="286">
        <f>'Property Info'!B11</f>
        <v/>
      </c>
      <c r="K25" s="1647">
        <f>'Property Info'!B5</f>
        <v/>
      </c>
      <c r="L25" s="287">
        <f>'Property Info'!B13</f>
        <v/>
      </c>
      <c r="M25" s="288">
        <f>'Property Info'!B14</f>
        <v/>
      </c>
      <c r="N25" s="289">
        <f>'Property Info'!#REF!</f>
        <v/>
      </c>
      <c r="O25" s="288">
        <f>'Property Info'!B19</f>
        <v/>
      </c>
      <c r="P25" s="2130" t="n"/>
      <c r="Q25" s="2131" t="n"/>
      <c r="R25" s="197" t="n"/>
    </row>
    <row r="26" ht="12.75" customHeight="1" s="1449">
      <c r="C26" s="198" t="n"/>
      <c r="D26" s="198" t="n"/>
      <c r="E26" s="290">
        <f>'Property Info'!B16</f>
        <v/>
      </c>
      <c r="F26" s="291" t="n"/>
      <c r="G26" s="291" t="n"/>
      <c r="J26" s="292">
        <f>'Property Info'!B12</f>
        <v/>
      </c>
      <c r="L26" s="291" t="n"/>
      <c r="M26" s="291" t="n"/>
      <c r="N26" s="291" t="n"/>
      <c r="O26" s="291" t="n"/>
      <c r="P26" s="198" t="n"/>
      <c r="Q26" s="198" t="n"/>
      <c r="R26" s="198" t="n"/>
    </row>
    <row r="27" ht="12.75" customHeight="1" s="1449">
      <c r="C27" s="199" t="n"/>
      <c r="D27" s="199" t="n"/>
      <c r="E27" s="293">
        <f>'Property Info'!B17</f>
        <v/>
      </c>
      <c r="F27" s="294" t="n"/>
      <c r="G27" s="294" t="n"/>
      <c r="H27" s="1464" t="n"/>
      <c r="I27" s="1464" t="n"/>
      <c r="J27" s="294" t="n"/>
      <c r="K27" s="1464" t="n"/>
      <c r="L27" s="294" t="n"/>
      <c r="M27" s="294" t="n"/>
      <c r="N27" s="294" t="n"/>
      <c r="O27" s="294" t="n"/>
      <c r="P27" s="199" t="n"/>
      <c r="Q27" s="199" t="n"/>
      <c r="R27" s="199" t="n"/>
    </row>
  </sheetData>
  <mergeCells count="6">
    <mergeCell ref="H5:H6"/>
    <mergeCell ref="I25:I27"/>
    <mergeCell ref="H25:H27"/>
    <mergeCell ref="C3:R3"/>
    <mergeCell ref="K25:K27"/>
    <mergeCell ref="K5:K6"/>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C2:AA35"/>
  <sheetViews>
    <sheetView showGridLines="0" workbookViewId="0">
      <selection activeCell="AC33" sqref="AC33"/>
    </sheetView>
  </sheetViews>
  <sheetFormatPr baseColWidth="8" defaultRowHeight="15"/>
  <cols>
    <col width="30" customWidth="1" style="1449" min="3" max="3"/>
    <col hidden="1" width="13" customWidth="1" style="1449" min="4" max="12"/>
    <col hidden="1" width="13" customWidth="1" style="1449" min="19" max="24"/>
    <col hidden="1" width="9.140625" customWidth="1" style="1449" min="27" max="27"/>
  </cols>
  <sheetData>
    <row r="2">
      <c r="C2" s="1649" t="inlineStr">
        <is>
          <t>HISTORICAL OPERATING ANALYSIS</t>
        </is>
      </c>
    </row>
    <row r="3">
      <c r="C3" s="1383" t="n"/>
      <c r="D3" s="1384" t="n"/>
      <c r="E3" s="1384" t="n"/>
      <c r="F3" s="1384" t="n"/>
      <c r="G3" s="1384" t="n"/>
      <c r="H3" s="1384" t="n"/>
      <c r="I3" s="1384" t="n"/>
      <c r="J3" s="1385" t="n"/>
      <c r="K3" s="1385" t="n"/>
      <c r="L3" s="1384" t="n"/>
      <c r="M3" s="1385" t="n"/>
      <c r="N3" s="1385" t="n"/>
      <c r="O3" s="1384" t="n"/>
      <c r="P3" s="2132" t="n"/>
      <c r="Q3" s="1385" t="n"/>
      <c r="R3" s="1387" t="n"/>
      <c r="S3" s="17" t="n"/>
      <c r="T3" s="17" t="n"/>
      <c r="U3" s="16" t="n"/>
      <c r="V3" s="17" t="n"/>
      <c r="W3" s="18" t="n"/>
      <c r="X3" s="19" t="n"/>
      <c r="AA3" s="67">
        <f>LA!C5</f>
        <v/>
      </c>
    </row>
    <row r="4">
      <c r="C4" s="1388" t="n"/>
      <c r="D4" s="1389" t="n"/>
      <c r="E4" s="1389" t="n"/>
      <c r="F4" s="1390" t="n"/>
      <c r="G4" s="1389" t="n"/>
      <c r="H4" s="1389" t="n"/>
      <c r="I4" s="1390" t="n"/>
      <c r="J4" s="1389" t="n"/>
      <c r="K4" s="1389" t="n"/>
      <c r="L4" s="1391" t="n"/>
      <c r="M4" s="1389" t="n"/>
      <c r="N4" s="1389" t="n"/>
      <c r="O4" s="1391" t="n"/>
      <c r="P4" s="1389" t="n"/>
      <c r="Q4" s="1389" t="n"/>
      <c r="R4" s="1391" t="n"/>
      <c r="S4" s="17" t="inlineStr">
        <is>
          <t>Budget</t>
        </is>
      </c>
      <c r="T4" s="17" t="n"/>
      <c r="U4" s="20" t="n"/>
      <c r="V4" s="17" t="inlineStr">
        <is>
          <t>BBG Projection*</t>
        </is>
      </c>
      <c r="W4" s="17" t="n"/>
      <c r="X4" s="21" t="n"/>
    </row>
    <row r="5">
      <c r="C5" s="1388" t="n"/>
      <c r="D5" s="1391" t="inlineStr">
        <is>
          <t>Total</t>
        </is>
      </c>
      <c r="E5" s="1391" t="inlineStr">
        <is>
          <t>per SF</t>
        </is>
      </c>
      <c r="F5" s="1391" t="n"/>
      <c r="G5" s="1391" t="inlineStr">
        <is>
          <t>Total</t>
        </is>
      </c>
      <c r="H5" s="1391" t="inlineStr">
        <is>
          <t>per SF</t>
        </is>
      </c>
      <c r="I5" s="1391" t="n"/>
      <c r="J5" s="1391" t="inlineStr">
        <is>
          <t>Total</t>
        </is>
      </c>
      <c r="K5" s="1391" t="inlineStr">
        <is>
          <t>per SF</t>
        </is>
      </c>
      <c r="L5" s="1391" t="n"/>
      <c r="M5" s="1391" t="inlineStr">
        <is>
          <t>Total</t>
        </is>
      </c>
      <c r="N5" s="1391" t="inlineStr">
        <is>
          <t>per SF</t>
        </is>
      </c>
      <c r="O5" s="1391" t="n"/>
      <c r="P5" s="1391" t="inlineStr">
        <is>
          <t>Total</t>
        </is>
      </c>
      <c r="Q5" s="1391" t="inlineStr">
        <is>
          <t>per SF</t>
        </is>
      </c>
      <c r="R5" s="1391" t="n"/>
      <c r="S5" s="20" t="inlineStr">
        <is>
          <t>Total</t>
        </is>
      </c>
      <c r="T5" s="20" t="inlineStr">
        <is>
          <t>per SF</t>
        </is>
      </c>
      <c r="U5" s="20" t="n"/>
      <c r="V5" s="20" t="inlineStr">
        <is>
          <t>Total</t>
        </is>
      </c>
      <c r="W5" s="20" t="inlineStr">
        <is>
          <t>per SF</t>
        </is>
      </c>
      <c r="X5" s="1650" t="n"/>
    </row>
    <row r="6">
      <c r="C6" s="24" t="inlineStr">
        <is>
          <t>Rental Income</t>
        </is>
      </c>
      <c r="D6" s="2133">
        <f>SUMIF(Category,$B6,AMTY1)</f>
        <v/>
      </c>
      <c r="E6" s="2134">
        <f>D6/NRA</f>
        <v/>
      </c>
      <c r="F6" s="27" t="n"/>
      <c r="G6" s="2133">
        <f>SUMIF(Category,$B6,AMTY2)</f>
        <v/>
      </c>
      <c r="H6" s="1946">
        <f>G6/NRA</f>
        <v/>
      </c>
      <c r="I6" s="27" t="n"/>
      <c r="J6" s="2133">
        <f>SUMIF(Category,$B6,AMTY3)</f>
        <v/>
      </c>
      <c r="K6" s="1946">
        <f>J6/NRA</f>
        <v/>
      </c>
      <c r="L6" s="27" t="n"/>
      <c r="M6" s="2133" t="n"/>
      <c r="N6" s="2135">
        <f>M6/$AA$3</f>
        <v/>
      </c>
      <c r="O6" s="2133" t="n"/>
      <c r="P6" s="2133" t="n"/>
      <c r="Q6" s="2135">
        <f>P6/$AA$3</f>
        <v/>
      </c>
      <c r="R6" s="27" t="n"/>
      <c r="S6" s="2133">
        <f>SUMIF(Category,$B6,AmtBdgt)</f>
        <v/>
      </c>
      <c r="T6" s="1946">
        <f>S6/NRA</f>
        <v/>
      </c>
      <c r="U6" s="27" t="n"/>
      <c r="V6" s="2136">
        <f>[3]ProForma!C3</f>
        <v/>
      </c>
      <c r="W6" s="2137">
        <f>V6/NRA</f>
        <v/>
      </c>
      <c r="X6" s="2138" t="n"/>
    </row>
    <row r="7">
      <c r="C7" s="24" t="inlineStr">
        <is>
          <t>Operating Expense Recoveries</t>
        </is>
      </c>
      <c r="D7" s="32">
        <f>SUMIF(Category,$B7,AMTY1)</f>
        <v/>
      </c>
      <c r="E7" s="2134">
        <f>D7/NRA</f>
        <v/>
      </c>
      <c r="F7" s="27" t="n"/>
      <c r="G7" s="32">
        <f>SUMIF(Category,$B7,AMTY2)</f>
        <v/>
      </c>
      <c r="H7" s="1946">
        <f>G7/NRA</f>
        <v/>
      </c>
      <c r="I7" s="27" t="n"/>
      <c r="J7" s="32">
        <f>SUMIF(Category,$B7,AMTY3)</f>
        <v/>
      </c>
      <c r="K7" s="1946">
        <f>J7/NRA</f>
        <v/>
      </c>
      <c r="L7" s="27" t="n"/>
      <c r="M7" s="2133" t="n"/>
      <c r="N7" s="2135">
        <f>M7/$AA$3</f>
        <v/>
      </c>
      <c r="O7" s="2133" t="n"/>
      <c r="P7" s="2133" t="n"/>
      <c r="Q7" s="2135">
        <f>P7/$AA$3</f>
        <v/>
      </c>
      <c r="R7" s="27" t="n"/>
      <c r="S7" s="32">
        <f>SUMIF(Category,$B7,AmtBdgt)</f>
        <v/>
      </c>
      <c r="T7" s="1946">
        <f>S7/NRA</f>
        <v/>
      </c>
      <c r="U7" s="27" t="n"/>
      <c r="V7" s="33">
        <f>[3]ProForma!C4</f>
        <v/>
      </c>
      <c r="W7" s="2137">
        <f>V7/NRA</f>
        <v/>
      </c>
      <c r="X7" s="34" t="n"/>
    </row>
    <row r="8" hidden="1" s="1449">
      <c r="C8" s="24" t="inlineStr">
        <is>
          <t>Parking</t>
        </is>
      </c>
      <c r="D8" s="32">
        <f>SUMIF(Category,$B8,AMTY1)</f>
        <v/>
      </c>
      <c r="E8" s="2134">
        <f>D8/NRA</f>
        <v/>
      </c>
      <c r="F8" s="27" t="n"/>
      <c r="G8" s="32">
        <f>SUMIF(Category,$B8,AMTY2)</f>
        <v/>
      </c>
      <c r="H8" s="1946">
        <f>G8/NRA</f>
        <v/>
      </c>
      <c r="I8" s="27" t="n"/>
      <c r="J8" s="32">
        <f>SUMIF(Category,$B8,AMTY3)</f>
        <v/>
      </c>
      <c r="K8" s="1946">
        <f>J8/NRA</f>
        <v/>
      </c>
      <c r="L8" s="27" t="n"/>
      <c r="M8" s="32">
        <f>SUMIF(Category,$B8,AMTY4)</f>
        <v/>
      </c>
      <c r="N8" s="1946">
        <f>M8/$AA$3</f>
        <v/>
      </c>
      <c r="O8" s="27" t="n"/>
      <c r="P8" s="32">
        <f>SUMIF(Category,$B8,AMTY5)</f>
        <v/>
      </c>
      <c r="Q8" s="1946">
        <f>P8/$AA$3</f>
        <v/>
      </c>
      <c r="R8" s="27" t="n"/>
      <c r="S8" s="32">
        <f>SUMIF(Category,$B8,AmtBdgt)</f>
        <v/>
      </c>
      <c r="T8" s="1946">
        <f>S8/NRA</f>
        <v/>
      </c>
      <c r="U8" s="27" t="n"/>
      <c r="V8" s="33">
        <f>W8*NRA</f>
        <v/>
      </c>
      <c r="W8" s="2139" t="n">
        <v>0</v>
      </c>
      <c r="X8" s="34" t="n"/>
    </row>
    <row r="9" hidden="1" s="1449">
      <c r="C9" s="24" t="inlineStr">
        <is>
          <t>Late Charges</t>
        </is>
      </c>
      <c r="D9" s="32">
        <f>SUMIF(Category,$B9,AMTY1)</f>
        <v/>
      </c>
      <c r="E9" s="2134">
        <f>D9/NRA</f>
        <v/>
      </c>
      <c r="F9" s="27" t="n"/>
      <c r="G9" s="32">
        <f>SUMIF(Category,$B9,AMTY2)</f>
        <v/>
      </c>
      <c r="H9" s="1946">
        <f>G9/NRA</f>
        <v/>
      </c>
      <c r="I9" s="27" t="n"/>
      <c r="J9" s="32">
        <f>SUMIF(Category,$B9,AMTY3)</f>
        <v/>
      </c>
      <c r="K9" s="1946">
        <f>J9/NRA</f>
        <v/>
      </c>
      <c r="L9" s="27" t="n"/>
      <c r="M9" s="32">
        <f>SUMIF(Category,$B9,AMTY4)</f>
        <v/>
      </c>
      <c r="N9" s="1946">
        <f>M9/$AA$3</f>
        <v/>
      </c>
      <c r="O9" s="27" t="n"/>
      <c r="P9" s="32">
        <f>SUMIF(Category,$B9,AMTY5)</f>
        <v/>
      </c>
      <c r="Q9" s="1946">
        <f>P9/$AA$3</f>
        <v/>
      </c>
      <c r="R9" s="27" t="n"/>
      <c r="S9" s="32">
        <f>SUMIF(Category,$B9,AmtBdgt)</f>
        <v/>
      </c>
      <c r="T9" s="1946">
        <f>S9/NRA</f>
        <v/>
      </c>
      <c r="U9" s="27" t="n"/>
      <c r="V9" s="33">
        <f>W9*NRA</f>
        <v/>
      </c>
      <c r="W9" s="2139" t="n">
        <v>0</v>
      </c>
      <c r="X9" s="34" t="n"/>
    </row>
    <row r="10" hidden="1" s="1449">
      <c r="C10" s="24" t="inlineStr">
        <is>
          <t>NSF Fee Income</t>
        </is>
      </c>
      <c r="D10" s="32">
        <f>SUMIF(Category,$B10,AMTY1)</f>
        <v/>
      </c>
      <c r="E10" s="2134">
        <f>D10/NRA</f>
        <v/>
      </c>
      <c r="F10" s="27" t="n"/>
      <c r="G10" s="32">
        <f>SUMIF(Category,$B10,AMTY2)</f>
        <v/>
      </c>
      <c r="H10" s="1946">
        <f>G10/NRA</f>
        <v/>
      </c>
      <c r="I10" s="27" t="n"/>
      <c r="J10" s="32">
        <f>SUMIF(Category,$B10,AMTY3)</f>
        <v/>
      </c>
      <c r="K10" s="1946">
        <f>J10/NRA</f>
        <v/>
      </c>
      <c r="L10" s="27" t="n"/>
      <c r="M10" s="32">
        <f>SUMIF(Category,$B10,AMTY4)</f>
        <v/>
      </c>
      <c r="N10" s="1946">
        <f>M10/$AA$3</f>
        <v/>
      </c>
      <c r="O10" s="27" t="n"/>
      <c r="P10" s="32">
        <f>SUMIF(Category,$B10,AMTY5)</f>
        <v/>
      </c>
      <c r="Q10" s="1946">
        <f>P10/$AA$3</f>
        <v/>
      </c>
      <c r="R10" s="27" t="n"/>
      <c r="S10" s="32">
        <f>SUMIF(Category,$B10,AmtBdgt)</f>
        <v/>
      </c>
      <c r="T10" s="1946">
        <f>S10/NRA</f>
        <v/>
      </c>
      <c r="U10" s="27" t="n"/>
      <c r="V10" s="33">
        <f>W10*NRA</f>
        <v/>
      </c>
      <c r="W10" s="2139" t="n">
        <v>0</v>
      </c>
      <c r="X10" s="34" t="n"/>
    </row>
    <row r="11" hidden="1" s="1449">
      <c r="C11" s="24" t="inlineStr">
        <is>
          <t>Keys, Lock, Lock Charge</t>
        </is>
      </c>
      <c r="D11" s="32">
        <f>SUMIF(Category,$B11,AMTY1)</f>
        <v/>
      </c>
      <c r="E11" s="2134">
        <f>D11/NRA</f>
        <v/>
      </c>
      <c r="F11" s="27" t="n"/>
      <c r="G11" s="32">
        <f>SUMIF(Category,$B11,AMTY2)</f>
        <v/>
      </c>
      <c r="H11" s="1946">
        <f>G11/NRA</f>
        <v/>
      </c>
      <c r="I11" s="27" t="n"/>
      <c r="J11" s="32">
        <f>SUMIF(Category,$B11,AMTY3)</f>
        <v/>
      </c>
      <c r="K11" s="1946">
        <f>J11/NRA</f>
        <v/>
      </c>
      <c r="L11" s="27" t="n"/>
      <c r="M11" s="32">
        <f>SUMIF(Category,$B11,AMTY4)</f>
        <v/>
      </c>
      <c r="N11" s="1946">
        <f>M11/$AA$3</f>
        <v/>
      </c>
      <c r="O11" s="27" t="n"/>
      <c r="P11" s="32">
        <f>SUMIF(Category,$B11,AMTY5)</f>
        <v/>
      </c>
      <c r="Q11" s="1946">
        <f>P11/$AA$3</f>
        <v/>
      </c>
      <c r="R11" s="27" t="n"/>
      <c r="S11" s="32">
        <f>SUMIF(Category,$B11,AmtBdgt)</f>
        <v/>
      </c>
      <c r="T11" s="1946">
        <f>S11/NRA</f>
        <v/>
      </c>
      <c r="U11" s="27" t="n"/>
      <c r="V11" s="33">
        <f>W11*NRA</f>
        <v/>
      </c>
      <c r="W11" s="2139" t="n">
        <v>0</v>
      </c>
      <c r="X11" s="34" t="n"/>
    </row>
    <row r="12" hidden="1" s="1449">
      <c r="C12" s="24" t="inlineStr">
        <is>
          <t>Lease Termination Fee Income</t>
        </is>
      </c>
      <c r="D12" s="32">
        <f>SUMIF(Category,$B12,AMTY1)</f>
        <v/>
      </c>
      <c r="E12" s="2134">
        <f>D12/NRA</f>
        <v/>
      </c>
      <c r="F12" s="27" t="n"/>
      <c r="G12" s="32">
        <f>SUMIF(Category,$B12,AMTY2)</f>
        <v/>
      </c>
      <c r="H12" s="1946">
        <f>G12/NRA</f>
        <v/>
      </c>
      <c r="I12" s="27" t="n"/>
      <c r="J12" s="32">
        <f>SUMIF(Category,$B12,AMTY3)</f>
        <v/>
      </c>
      <c r="K12" s="1946">
        <f>J12/NRA</f>
        <v/>
      </c>
      <c r="L12" s="27" t="n"/>
      <c r="M12" s="32">
        <f>SUMIF(Category,$B12,AMTY4)</f>
        <v/>
      </c>
      <c r="N12" s="1946">
        <f>M12/$AA$3</f>
        <v/>
      </c>
      <c r="O12" s="27" t="n"/>
      <c r="P12" s="32">
        <f>SUMIF(Category,$B12,AMTY5)</f>
        <v/>
      </c>
      <c r="Q12" s="1946">
        <f>P12/$AA$3</f>
        <v/>
      </c>
      <c r="R12" s="27" t="n"/>
      <c r="S12" s="32">
        <f>SUMIF(Category,$B12,AmtBdgt)</f>
        <v/>
      </c>
      <c r="T12" s="1946">
        <f>S12/NRA</f>
        <v/>
      </c>
      <c r="U12" s="27" t="n"/>
      <c r="V12" s="33">
        <f>W12*NRA</f>
        <v/>
      </c>
      <c r="W12" s="2139" t="n">
        <v>0</v>
      </c>
      <c r="X12" s="34" t="n"/>
    </row>
    <row r="13" hidden="1" s="1449">
      <c r="C13" s="24" t="inlineStr">
        <is>
          <t>Legal and Collection Fee Income</t>
        </is>
      </c>
      <c r="D13" s="32">
        <f>SUMIF(Category,$B13,AMTY1)</f>
        <v/>
      </c>
      <c r="E13" s="2134">
        <f>D13/NRA</f>
        <v/>
      </c>
      <c r="F13" s="27" t="n"/>
      <c r="G13" s="32">
        <f>SUMIF(Category,$B13,AMTY2)</f>
        <v/>
      </c>
      <c r="H13" s="1946">
        <f>G13/NRA</f>
        <v/>
      </c>
      <c r="I13" s="27" t="n"/>
      <c r="J13" s="32">
        <f>SUMIF(Category,$B13,AMTY3)</f>
        <v/>
      </c>
      <c r="K13" s="1946">
        <f>J13/NRA</f>
        <v/>
      </c>
      <c r="L13" s="27" t="n"/>
      <c r="M13" s="32">
        <f>SUMIF(Category,$B13,AMTY4)</f>
        <v/>
      </c>
      <c r="N13" s="1946">
        <f>M13/$AA$3</f>
        <v/>
      </c>
      <c r="O13" s="27" t="n"/>
      <c r="P13" s="32">
        <f>SUMIF(Category,$B13,AMTY5)</f>
        <v/>
      </c>
      <c r="Q13" s="1946">
        <f>P13/$AA$3</f>
        <v/>
      </c>
      <c r="R13" s="27" t="n"/>
      <c r="S13" s="32">
        <f>SUMIF(Category,$B13,AmtBdgt)</f>
        <v/>
      </c>
      <c r="T13" s="1946">
        <f>S13/NRA</f>
        <v/>
      </c>
      <c r="U13" s="27" t="n"/>
      <c r="V13" s="33">
        <f>W13*NRA</f>
        <v/>
      </c>
      <c r="W13" s="2139" t="n">
        <v>0</v>
      </c>
      <c r="X13" s="34" t="n"/>
    </row>
    <row r="14" hidden="1" s="1449">
      <c r="C14" s="24" t="inlineStr">
        <is>
          <t>Storage Space Rental</t>
        </is>
      </c>
      <c r="D14" s="32">
        <f>SUMIF(Category,$B14,AMTY1)</f>
        <v/>
      </c>
      <c r="E14" s="2134">
        <f>D14/NRA</f>
        <v/>
      </c>
      <c r="F14" s="27" t="n"/>
      <c r="G14" s="32">
        <f>SUMIF(Category,$B14,AMTY2)</f>
        <v/>
      </c>
      <c r="H14" s="1946">
        <f>G14/NRA</f>
        <v/>
      </c>
      <c r="I14" s="27" t="n"/>
      <c r="J14" s="32">
        <f>SUMIF(Category,$B14,AMTY3)</f>
        <v/>
      </c>
      <c r="K14" s="1946">
        <f>J14/NRA</f>
        <v/>
      </c>
      <c r="L14" s="27" t="n"/>
      <c r="M14" s="32">
        <f>SUMIF(Category,$B14,AMTY4)</f>
        <v/>
      </c>
      <c r="N14" s="1946">
        <f>M14/$AA$3</f>
        <v/>
      </c>
      <c r="O14" s="27" t="n"/>
      <c r="P14" s="32">
        <f>SUMIF(Category,$B14,AMTY5)</f>
        <v/>
      </c>
      <c r="Q14" s="1946">
        <f>P14/$AA$3</f>
        <v/>
      </c>
      <c r="R14" s="27" t="n"/>
      <c r="S14" s="32">
        <f>SUMIF(Category,$B14,AmtBdgt)</f>
        <v/>
      </c>
      <c r="T14" s="1946">
        <f>S14/NRA</f>
        <v/>
      </c>
      <c r="U14" s="27" t="n"/>
      <c r="V14" s="33">
        <f>W14*NRA</f>
        <v/>
      </c>
      <c r="W14" s="2139" t="n">
        <v>0</v>
      </c>
      <c r="X14" s="34" t="n"/>
    </row>
    <row r="15" hidden="1" s="1449">
      <c r="C15" s="24" t="inlineStr">
        <is>
          <t>Miscellaneous</t>
        </is>
      </c>
      <c r="D15" s="32">
        <f>SUMIF(Category,$B15,AMTY1)</f>
        <v/>
      </c>
      <c r="E15" s="2134">
        <f>D15/NRA</f>
        <v/>
      </c>
      <c r="F15" s="27" t="n"/>
      <c r="G15" s="32">
        <f>SUMIF(Category,$B15,AMTY2)</f>
        <v/>
      </c>
      <c r="H15" s="1946">
        <f>G15/NRA</f>
        <v/>
      </c>
      <c r="I15" s="27" t="n"/>
      <c r="J15" s="32">
        <f>SUMIF(Category,$B15,AMTY3)</f>
        <v/>
      </c>
      <c r="K15" s="1946">
        <f>J15/NRA</f>
        <v/>
      </c>
      <c r="L15" s="27" t="n"/>
      <c r="M15" s="32">
        <f>SUMIF(Category,$B15,AMTY4)</f>
        <v/>
      </c>
      <c r="N15" s="1946">
        <f>M15/$AA$3</f>
        <v/>
      </c>
      <c r="O15" s="27" t="n"/>
      <c r="P15" s="32">
        <f>SUMIF(Category,$B15,AMTY5)</f>
        <v/>
      </c>
      <c r="Q15" s="1946">
        <f>P15/$AA$3</f>
        <v/>
      </c>
      <c r="R15" s="27" t="n"/>
      <c r="S15" s="32">
        <f>SUMIF(Category,$B15,AmtBdgt)</f>
        <v/>
      </c>
      <c r="T15" s="1946">
        <f>S15/NRA</f>
        <v/>
      </c>
      <c r="U15" s="27" t="n"/>
      <c r="V15" s="33">
        <f>[3]ProForma!C7</f>
        <v/>
      </c>
      <c r="W15" s="2137">
        <f>V15/NRA</f>
        <v/>
      </c>
      <c r="X15" s="34" t="n"/>
    </row>
    <row r="16" hidden="1" s="1449">
      <c r="C16" s="3" t="inlineStr">
        <is>
          <t>Total Potential Gross Income</t>
        </is>
      </c>
      <c r="D16" s="2140">
        <f>SUM(D6:D15)</f>
        <v/>
      </c>
      <c r="E16" s="2141">
        <f>D16/NRA</f>
        <v/>
      </c>
      <c r="F16" s="38" t="n"/>
      <c r="G16" s="2140">
        <f>SUM(G6:G15)</f>
        <v/>
      </c>
      <c r="H16" s="1950">
        <f>G16/NRA</f>
        <v/>
      </c>
      <c r="I16" s="38" t="n"/>
      <c r="J16" s="2140">
        <f>SUM(J6:J15)</f>
        <v/>
      </c>
      <c r="K16" s="1950">
        <f>J16/NRA</f>
        <v/>
      </c>
      <c r="L16" s="38" t="n"/>
      <c r="M16" s="2140">
        <f>SUM(M6:M15)</f>
        <v/>
      </c>
      <c r="N16" s="1946">
        <f>M16/$AA$3</f>
        <v/>
      </c>
      <c r="O16" s="38" t="n"/>
      <c r="P16" s="2140">
        <f>SUM(P6:P15)</f>
        <v/>
      </c>
      <c r="Q16" s="1946">
        <f>P16/$AA$3</f>
        <v/>
      </c>
      <c r="R16" s="38" t="n"/>
      <c r="S16" s="2140">
        <f>SUM(S6:S15)</f>
        <v/>
      </c>
      <c r="T16" s="1950">
        <f>S16/NRA</f>
        <v/>
      </c>
      <c r="U16" s="38" t="n"/>
      <c r="V16" s="2140">
        <f>SUM(V6:V15)</f>
        <v/>
      </c>
      <c r="W16" s="1950">
        <f>V16/NRA</f>
        <v/>
      </c>
      <c r="X16" s="2142" t="n"/>
    </row>
    <row r="17" hidden="1" s="1449">
      <c r="C17" s="3" t="n"/>
      <c r="D17" s="2133" t="n"/>
      <c r="E17" s="2134" t="n"/>
      <c r="F17" s="27" t="n"/>
      <c r="G17" s="2133" t="n"/>
      <c r="H17" s="1946" t="n"/>
      <c r="I17" s="27" t="n"/>
      <c r="J17" s="2133" t="n"/>
      <c r="K17" s="1946" t="n"/>
      <c r="L17" s="27" t="n"/>
      <c r="M17" s="2133" t="n"/>
      <c r="N17" s="1946">
        <f>M17/$AA$3</f>
        <v/>
      </c>
      <c r="O17" s="27" t="n"/>
      <c r="P17" s="2133" t="n"/>
      <c r="Q17" s="1946">
        <f>P17/$AA$3</f>
        <v/>
      </c>
      <c r="R17" s="27" t="n"/>
      <c r="S17" s="2133" t="n"/>
      <c r="T17" s="1946" t="n"/>
      <c r="U17" s="27" t="n"/>
      <c r="V17" s="2143" t="n"/>
      <c r="W17" s="1946" t="n"/>
      <c r="X17" s="2138" t="n"/>
    </row>
    <row r="18" hidden="1" s="1449">
      <c r="C18" s="24" t="inlineStr">
        <is>
          <t>Physical Vacancy</t>
        </is>
      </c>
      <c r="D18" s="32">
        <f>SUMIF(Category,$B18,AMTY1)</f>
        <v/>
      </c>
      <c r="E18" s="2134">
        <f>D18/NRA</f>
        <v/>
      </c>
      <c r="F18" s="27" t="n"/>
      <c r="G18" s="32">
        <f>SUMIF(Category,$B18,AMTY2)</f>
        <v/>
      </c>
      <c r="H18" s="1946">
        <f>G18/NRA</f>
        <v/>
      </c>
      <c r="I18" s="27" t="n"/>
      <c r="J18" s="32">
        <f>SUMIF(Category,$B18,AMTY3)</f>
        <v/>
      </c>
      <c r="K18" s="1946">
        <f>J18/NRA</f>
        <v/>
      </c>
      <c r="L18" s="27" t="n"/>
      <c r="M18" s="32">
        <f>SUMIF(Category,$B18,AMTY4)</f>
        <v/>
      </c>
      <c r="N18" s="1946">
        <f>M18/$AA$3</f>
        <v/>
      </c>
      <c r="O18" s="27" t="n"/>
      <c r="P18" s="32">
        <f>SUMIF(Category,$B18,AMTY5)</f>
        <v/>
      </c>
      <c r="Q18" s="1946">
        <f>P18/$AA$3</f>
        <v/>
      </c>
      <c r="R18" s="27" t="n"/>
      <c r="S18" s="32">
        <f>SUMIF(Category,$B18,AmtBdgt)</f>
        <v/>
      </c>
      <c r="T18" s="1946">
        <f>S18/NRA</f>
        <v/>
      </c>
      <c r="U18" s="27" t="n"/>
      <c r="V18" s="33" t="n"/>
      <c r="W18" s="2137" t="n"/>
      <c r="X18" s="2138" t="n"/>
    </row>
    <row r="19" hidden="1" s="1449">
      <c r="C19" s="24" t="inlineStr">
        <is>
          <t>Bad Debt / Collection Loss</t>
        </is>
      </c>
      <c r="D19" s="32">
        <f>SUMIF(Category,$B19,AMTY1)</f>
        <v/>
      </c>
      <c r="E19" s="2134">
        <f>D19/NRA</f>
        <v/>
      </c>
      <c r="F19" s="27" t="n"/>
      <c r="G19" s="32">
        <f>SUMIF(Category,$B19,AMTY2)</f>
        <v/>
      </c>
      <c r="H19" s="1946">
        <f>G19/NRA</f>
        <v/>
      </c>
      <c r="I19" s="27" t="n"/>
      <c r="J19" s="32">
        <f>SUMIF(Category,$B19,AMTY3)</f>
        <v/>
      </c>
      <c r="K19" s="1946">
        <f>J19/NRA</f>
        <v/>
      </c>
      <c r="L19" s="27" t="n"/>
      <c r="M19" s="32">
        <f>SUMIF(Category,$B19,AMTY4)</f>
        <v/>
      </c>
      <c r="N19" s="1946">
        <f>M19/$AA$3</f>
        <v/>
      </c>
      <c r="O19" s="27" t="n"/>
      <c r="P19" s="32">
        <f>SUMIF(Category,$B19,AMTY5)</f>
        <v/>
      </c>
      <c r="Q19" s="1946">
        <f>P19/$AA$3</f>
        <v/>
      </c>
      <c r="R19" s="27" t="n"/>
      <c r="S19" s="32">
        <f>SUMIF(Category,$B19,AmtBdgt)</f>
        <v/>
      </c>
      <c r="T19" s="1946">
        <f>S19/NRA</f>
        <v/>
      </c>
      <c r="U19" s="27" t="n"/>
      <c r="V19" s="33" t="n"/>
      <c r="W19" s="2137" t="n"/>
      <c r="X19" s="2138" t="n"/>
    </row>
    <row r="20" hidden="1" s="1449">
      <c r="C20" s="24" t="inlineStr">
        <is>
          <t>Concessions</t>
        </is>
      </c>
      <c r="D20" s="32">
        <f>SUMIF(Category,$B20,AMTY1)</f>
        <v/>
      </c>
      <c r="E20" s="2134">
        <f>D20/NRA</f>
        <v/>
      </c>
      <c r="F20" s="27" t="n"/>
      <c r="G20" s="32">
        <f>SUMIF(Category,$B20,AMTY2)</f>
        <v/>
      </c>
      <c r="H20" s="1946">
        <f>G20/NRA</f>
        <v/>
      </c>
      <c r="I20" s="27" t="n"/>
      <c r="J20" s="32">
        <f>SUMIF(Category,$B20,AMTY3)</f>
        <v/>
      </c>
      <c r="K20" s="1946">
        <f>J20/NRA</f>
        <v/>
      </c>
      <c r="L20" s="27" t="n"/>
      <c r="M20" s="32">
        <f>SUMIF(Category,$B20,AMTY4)</f>
        <v/>
      </c>
      <c r="N20" s="1946">
        <f>M20/$AA$3</f>
        <v/>
      </c>
      <c r="O20" s="27" t="n"/>
      <c r="P20" s="32">
        <f>SUMIF(Category,$B20,AMTY5)</f>
        <v/>
      </c>
      <c r="Q20" s="1946">
        <f>P20/$AA$3</f>
        <v/>
      </c>
      <c r="R20" s="27" t="n"/>
      <c r="S20" s="32">
        <f>SUMIF(Category,$B20,AmtBdgt)</f>
        <v/>
      </c>
      <c r="T20" s="1946">
        <f>S20/NRA</f>
        <v/>
      </c>
      <c r="U20" s="27" t="n"/>
      <c r="V20" s="32" t="n"/>
      <c r="W20" s="1946" t="n"/>
      <c r="X20" s="2138" t="n"/>
    </row>
    <row r="21" hidden="1" s="1449">
      <c r="C21" s="42" t="inlineStr">
        <is>
          <t>Vacancy &amp; Collection Loss</t>
        </is>
      </c>
      <c r="D21" s="32">
        <f>-[3]OpActuals!B13</f>
        <v/>
      </c>
      <c r="E21" s="2134">
        <f>D21/NRA</f>
        <v/>
      </c>
      <c r="F21" s="27" t="n"/>
      <c r="G21" s="32">
        <f>-[3]OpActuals!C13</f>
        <v/>
      </c>
      <c r="H21" s="1946">
        <f>G21/NRA</f>
        <v/>
      </c>
      <c r="I21" s="27" t="n"/>
      <c r="J21" s="32">
        <f>-[3]OpActuals!D13</f>
        <v/>
      </c>
      <c r="K21" s="1946">
        <f>J21/NRA</f>
        <v/>
      </c>
      <c r="L21" s="27" t="n"/>
      <c r="M21" s="32">
        <f>-[3]OpActuals!E13</f>
        <v/>
      </c>
      <c r="N21" s="1946">
        <f>M21/$AA$3</f>
        <v/>
      </c>
      <c r="O21" s="27" t="n"/>
      <c r="P21" s="32">
        <f>-[3]OpActuals!G13</f>
        <v/>
      </c>
      <c r="Q21" s="1946">
        <f>P21/$AA$3</f>
        <v/>
      </c>
      <c r="R21" s="27" t="n"/>
      <c r="S21" s="32">
        <f>-[3]OpActuals!H13</f>
        <v/>
      </c>
      <c r="T21" s="1946">
        <f>S21/NRA</f>
        <v/>
      </c>
      <c r="U21" s="27" t="n"/>
      <c r="V21" s="32" t="n"/>
      <c r="W21" s="1946" t="n"/>
      <c r="X21" s="43" t="n"/>
    </row>
    <row r="22">
      <c r="C22" s="85" t="inlineStr">
        <is>
          <t>EFFECTIVE GROSS INCOME</t>
        </is>
      </c>
      <c r="D22" s="2144">
        <f>D16+D21</f>
        <v/>
      </c>
      <c r="E22" s="2145">
        <f>D22/NRA</f>
        <v/>
      </c>
      <c r="F22" s="146" t="n"/>
      <c r="G22" s="2144">
        <f>G16+G21</f>
        <v/>
      </c>
      <c r="H22" s="2146">
        <f>G22/NRA</f>
        <v/>
      </c>
      <c r="I22" s="146" t="n"/>
      <c r="J22" s="2144">
        <f>J16+J21</f>
        <v/>
      </c>
      <c r="K22" s="2146">
        <f>J22/NRA</f>
        <v/>
      </c>
      <c r="L22" s="146" t="n"/>
      <c r="M22" s="2144">
        <f>SUM(M6:M7)</f>
        <v/>
      </c>
      <c r="N22" s="2147">
        <f>M22/$AA$3</f>
        <v/>
      </c>
      <c r="O22" s="2144" t="n"/>
      <c r="P22" s="2144">
        <f>SUM(P6:P7)</f>
        <v/>
      </c>
      <c r="Q22" s="2147">
        <f>P22/$AA$3</f>
        <v/>
      </c>
      <c r="R22" s="146" t="n"/>
      <c r="S22" s="2140">
        <f>S16+S21</f>
        <v/>
      </c>
      <c r="T22" s="1950">
        <f>S22/NRA</f>
        <v/>
      </c>
      <c r="U22" s="38" t="n"/>
      <c r="V22" s="2140">
        <f>[3]ProForma!C11</f>
        <v/>
      </c>
      <c r="W22" s="1950">
        <f>V22/NRA</f>
        <v/>
      </c>
      <c r="X22" s="2142" t="n"/>
    </row>
    <row r="23">
      <c r="C23" s="1392" t="inlineStr">
        <is>
          <t>Fixed Expenses</t>
        </is>
      </c>
      <c r="D23" s="2148" t="n"/>
      <c r="E23" s="2149" t="n"/>
      <c r="F23" s="1395" t="n"/>
      <c r="G23" s="2148" t="n"/>
      <c r="H23" s="2150" t="n"/>
      <c r="I23" s="1395" t="n"/>
      <c r="J23" s="2148" t="n"/>
      <c r="K23" s="2150" t="n"/>
      <c r="L23" s="1395" t="n"/>
      <c r="M23" s="2148" t="n"/>
      <c r="N23" s="2150" t="n"/>
      <c r="O23" s="1395" t="n"/>
      <c r="P23" s="2148" t="n"/>
      <c r="Q23" s="2150" t="n"/>
      <c r="R23" s="1395" t="n"/>
      <c r="S23" s="2151" t="n"/>
      <c r="T23" s="2152" t="n"/>
      <c r="U23" s="45" t="n"/>
      <c r="V23" s="2151" t="n"/>
      <c r="W23" s="2152" t="inlineStr">
        <is>
          <t> </t>
        </is>
      </c>
      <c r="X23" s="47" t="n"/>
    </row>
    <row r="24">
      <c r="C24" s="24" t="inlineStr">
        <is>
          <t>Real Estate Taxes</t>
        </is>
      </c>
      <c r="D24" s="32">
        <f>SUMIF(Category,$B24,AMTY1)</f>
        <v/>
      </c>
      <c r="E24" s="2134">
        <f>D24/NRA</f>
        <v/>
      </c>
      <c r="F24" s="23" t="n"/>
      <c r="G24" s="2153">
        <f>SUMIF(Category,$B24,AMTY2)</f>
        <v/>
      </c>
      <c r="H24" s="1946">
        <f>G24/NRA</f>
        <v/>
      </c>
      <c r="I24" s="23" t="n"/>
      <c r="J24" s="2153">
        <f>SUMIF(Category,$B24,AMTY3)</f>
        <v/>
      </c>
      <c r="K24" s="1946">
        <f>J24/NRA</f>
        <v/>
      </c>
      <c r="L24" s="23" t="n"/>
      <c r="M24" s="2133" t="n"/>
      <c r="N24" s="2135">
        <f>M24/$AA$3</f>
        <v/>
      </c>
      <c r="O24" s="2133" t="n"/>
      <c r="P24" s="2133" t="n"/>
      <c r="Q24" s="2135">
        <f>P24/$AA$3</f>
        <v/>
      </c>
      <c r="R24" s="23" t="n"/>
      <c r="S24" s="2153">
        <f>SUMIF(Category,$B24,AmtBdgt)</f>
        <v/>
      </c>
      <c r="T24" s="1946">
        <f>S24/NRA</f>
        <v/>
      </c>
      <c r="U24" s="23" t="n"/>
      <c r="V24" s="33">
        <f>W24*NRA</f>
        <v/>
      </c>
      <c r="W24" s="2139" t="n">
        <v>0</v>
      </c>
      <c r="X24" s="43" t="n"/>
    </row>
    <row r="25">
      <c r="C25" s="24" t="inlineStr">
        <is>
          <t>Property Insurance</t>
        </is>
      </c>
      <c r="D25" s="2153">
        <f>SUMIF(Category,$B25,AMTY1)</f>
        <v/>
      </c>
      <c r="E25" s="2154">
        <f>D25/NRA</f>
        <v/>
      </c>
      <c r="F25" s="23" t="n"/>
      <c r="G25" s="2153">
        <f>SUMIF(Category,$B25,AMTY2)</f>
        <v/>
      </c>
      <c r="H25" s="1946">
        <f>G25/NRA</f>
        <v/>
      </c>
      <c r="I25" s="23" t="n"/>
      <c r="J25" s="2153">
        <f>SUMIF(Category,$B25,AMTY3)</f>
        <v/>
      </c>
      <c r="K25" s="1946">
        <f>J25/NRA</f>
        <v/>
      </c>
      <c r="L25" s="23" t="n"/>
      <c r="M25" s="2133" t="n"/>
      <c r="N25" s="2135">
        <f>M25/$AA$3</f>
        <v/>
      </c>
      <c r="O25" s="2133" t="n"/>
      <c r="P25" s="2133" t="n"/>
      <c r="Q25" s="2135">
        <f>P25/$AA$3</f>
        <v/>
      </c>
      <c r="R25" s="23" t="n"/>
      <c r="S25" s="2153">
        <f>SUMIF(Category,$B25,AmtBdgt)</f>
        <v/>
      </c>
      <c r="T25" s="1946">
        <f>S25/NRA</f>
        <v/>
      </c>
      <c r="U25" s="23" t="n"/>
      <c r="V25" s="33">
        <f>W25*NRA</f>
        <v/>
      </c>
      <c r="W25" s="2139" t="n">
        <v>0</v>
      </c>
      <c r="X25" s="43" t="n"/>
    </row>
    <row r="26">
      <c r="C26" s="1392" t="inlineStr">
        <is>
          <t>Variable Expenses</t>
        </is>
      </c>
      <c r="D26" s="2155" t="n"/>
      <c r="E26" s="2149" t="n"/>
      <c r="F26" s="1395" t="n"/>
      <c r="G26" s="2155" t="n"/>
      <c r="H26" s="2150" t="n"/>
      <c r="I26" s="1395" t="n"/>
      <c r="J26" s="2155" t="n"/>
      <c r="K26" s="2150" t="n"/>
      <c r="L26" s="1395" t="n"/>
      <c r="M26" s="2155" t="n"/>
      <c r="N26" s="2150" t="n"/>
      <c r="O26" s="1395" t="n"/>
      <c r="P26" s="2155" t="n"/>
      <c r="Q26" s="2150" t="n"/>
      <c r="R26" s="1395" t="n"/>
      <c r="S26" s="2156" t="n"/>
      <c r="T26" s="2152" t="n"/>
      <c r="U26" s="45" t="n"/>
      <c r="V26" s="52" t="n"/>
      <c r="W26" s="2157" t="n"/>
      <c r="X26" s="54" t="n"/>
    </row>
    <row r="27">
      <c r="C27" s="24" t="inlineStr">
        <is>
          <t>Utilities</t>
        </is>
      </c>
      <c r="D27" s="2158">
        <f>SUMIF(Category,$B27,AMTY1)</f>
        <v/>
      </c>
      <c r="E27" s="2134">
        <f>D27/NRA</f>
        <v/>
      </c>
      <c r="F27" s="23" t="n"/>
      <c r="G27" s="2133">
        <f>SUMIF(Category,$B27,AMTY2)</f>
        <v/>
      </c>
      <c r="H27" s="1946">
        <f>G27/NRA</f>
        <v/>
      </c>
      <c r="I27" s="23" t="n"/>
      <c r="J27" s="2133">
        <f>SUMIF(Category,$B27,AMTY3)</f>
        <v/>
      </c>
      <c r="K27" s="1946">
        <f>J27/NRA</f>
        <v/>
      </c>
      <c r="L27" s="23" t="n"/>
      <c r="M27" s="2133" t="n"/>
      <c r="N27" s="2135">
        <f>M27/$AA$3</f>
        <v/>
      </c>
      <c r="O27" s="2133" t="n"/>
      <c r="P27" s="2133" t="n"/>
      <c r="Q27" s="2135">
        <f>P27/$AA$3</f>
        <v/>
      </c>
      <c r="R27" s="23" t="n"/>
      <c r="S27" s="2133">
        <f>SUMIF(Category,$B27,AmtBdgt)</f>
        <v/>
      </c>
      <c r="T27" s="1946">
        <f>S27/NRA</f>
        <v/>
      </c>
      <c r="U27" s="23" t="n"/>
      <c r="V27" s="33">
        <f>W27*NRA</f>
        <v/>
      </c>
      <c r="W27" s="2137">
        <f>[3]SummaryExpenseTbl!M32</f>
        <v/>
      </c>
      <c r="X27" s="43" t="n"/>
    </row>
    <row r="28">
      <c r="C28" s="24" t="inlineStr">
        <is>
          <t>CAM Repairs &amp; Maintenance</t>
        </is>
      </c>
      <c r="D28" s="2158">
        <f>SUMIF(Category,$B28,AMTY1)</f>
        <v/>
      </c>
      <c r="E28" s="2134">
        <f>D28/NRA</f>
        <v/>
      </c>
      <c r="F28" s="23" t="n"/>
      <c r="G28" s="2133">
        <f>SUMIF(Category,$B28,AMTY2)</f>
        <v/>
      </c>
      <c r="H28" s="1946">
        <f>G28/NRA</f>
        <v/>
      </c>
      <c r="I28" s="23" t="n"/>
      <c r="J28" s="2133">
        <f>SUMIF(Category,$B28,AMTY3)</f>
        <v/>
      </c>
      <c r="K28" s="1946">
        <f>J28/NRA</f>
        <v/>
      </c>
      <c r="L28" s="23" t="n"/>
      <c r="M28" s="2133" t="n"/>
      <c r="N28" s="2135">
        <f>M28/$AA$3</f>
        <v/>
      </c>
      <c r="O28" s="2133" t="n"/>
      <c r="P28" s="2133" t="n"/>
      <c r="Q28" s="2135">
        <f>P28/$AA$3</f>
        <v/>
      </c>
      <c r="R28" s="23" t="n"/>
      <c r="S28" s="2133">
        <f>SUMIF(Category,$B28,AmtBdgt)</f>
        <v/>
      </c>
      <c r="T28" s="1946">
        <f>S28/NRA</f>
        <v/>
      </c>
      <c r="U28" s="23" t="n"/>
      <c r="V28" s="33">
        <f>W28*NRA</f>
        <v/>
      </c>
      <c r="W28" s="2139" t="n">
        <v>0</v>
      </c>
      <c r="X28" s="34" t="n"/>
    </row>
    <row r="29">
      <c r="C29" s="24" t="inlineStr">
        <is>
          <t>Administrative and General</t>
        </is>
      </c>
      <c r="D29" s="2158">
        <f>SUMIF(Category,$B29,AMTY1)</f>
        <v/>
      </c>
      <c r="E29" s="2134">
        <f>D29/NRA</f>
        <v/>
      </c>
      <c r="F29" s="23" t="n"/>
      <c r="G29" s="2133">
        <f>SUMIF(Category,$B29,AMTY2)</f>
        <v/>
      </c>
      <c r="H29" s="1946">
        <f>G29/NRA</f>
        <v/>
      </c>
      <c r="I29" s="23" t="n"/>
      <c r="J29" s="2133">
        <f>SUMIF(Category,$B29,AMTY3)</f>
        <v/>
      </c>
      <c r="K29" s="1946">
        <f>J29/NRA</f>
        <v/>
      </c>
      <c r="L29" s="23" t="n"/>
      <c r="M29" s="2133" t="n"/>
      <c r="N29" s="2135">
        <f>M29/$AA$3</f>
        <v/>
      </c>
      <c r="O29" s="2133" t="n"/>
      <c r="P29" s="2133" t="n"/>
      <c r="Q29" s="2135">
        <f>P29/$AA$3</f>
        <v/>
      </c>
      <c r="R29" s="23" t="n"/>
      <c r="S29" s="2133">
        <f>SUMIF(Category,$B29,AmtBdgt)</f>
        <v/>
      </c>
      <c r="T29" s="1946">
        <f>S29/NRA</f>
        <v/>
      </c>
      <c r="U29" s="23" t="n"/>
      <c r="V29" s="33">
        <f>W29*NRA</f>
        <v/>
      </c>
      <c r="W29" s="2139" t="n">
        <v>0</v>
      </c>
      <c r="X29" s="2159" t="n"/>
    </row>
    <row r="30">
      <c r="C30" s="24" t="inlineStr">
        <is>
          <t>Management</t>
        </is>
      </c>
      <c r="D30" s="2158">
        <f>SUMIF(Category,$B30,AMTY1)</f>
        <v/>
      </c>
      <c r="E30" s="2134">
        <f>D30/NRA</f>
        <v/>
      </c>
      <c r="F30" s="23" t="n"/>
      <c r="G30" s="2133">
        <f>SUMIF(Category,$B30,AMTY2)</f>
        <v/>
      </c>
      <c r="H30" s="1946">
        <f>G30/NRA</f>
        <v/>
      </c>
      <c r="I30" s="23" t="n"/>
      <c r="J30" s="2133">
        <f>SUMIF(Category,$B30,AMTY3)</f>
        <v/>
      </c>
      <c r="K30" s="1946">
        <f>J30/NRA</f>
        <v/>
      </c>
      <c r="L30" s="23" t="n"/>
      <c r="M30" s="2133" t="n"/>
      <c r="N30" s="2135">
        <f>M30/$AA$3</f>
        <v/>
      </c>
      <c r="O30" s="2133" t="n"/>
      <c r="P30" s="2133" t="n"/>
      <c r="Q30" s="2135">
        <f>P30/$AA$3</f>
        <v/>
      </c>
      <c r="R30" s="23" t="n"/>
      <c r="S30" s="2133">
        <f>SUMIF(Category,$B30,AmtBdgt)</f>
        <v/>
      </c>
      <c r="T30" s="1946">
        <f>S30/NRA</f>
        <v/>
      </c>
      <c r="U30" s="23" t="n"/>
      <c r="V30" s="33">
        <f>W30*NRA</f>
        <v/>
      </c>
      <c r="W30" s="2137">
        <f>[3]SummaryExpenseTbl!M38</f>
        <v/>
      </c>
      <c r="X30" s="43" t="n"/>
    </row>
    <row r="31" hidden="1" s="1449">
      <c r="C31" s="24" t="inlineStr">
        <is>
          <t>Replacement Reserves</t>
        </is>
      </c>
      <c r="D31" s="2160">
        <f>SUMIF(Category,$B31,AMTY1)</f>
        <v/>
      </c>
      <c r="E31" s="2134">
        <f>D31/NRA</f>
        <v/>
      </c>
      <c r="F31" s="23" t="n"/>
      <c r="G31" s="2160">
        <f>SUMIF(Category,$B31,AMTY2)</f>
        <v/>
      </c>
      <c r="H31" s="1946">
        <f>G31/NRA</f>
        <v/>
      </c>
      <c r="I31" s="23" t="n"/>
      <c r="J31" s="2160">
        <f>SUMIF(Category,$B31,AMTY3)</f>
        <v/>
      </c>
      <c r="K31" s="1946">
        <f>J31/NRA</f>
        <v/>
      </c>
      <c r="L31" s="23" t="n"/>
      <c r="M31" s="2133">
        <f>SUMIF(Category,$B31,AMTY4)</f>
        <v/>
      </c>
      <c r="N31" s="2135">
        <f>M31/$AA$3</f>
        <v/>
      </c>
      <c r="O31" s="2133" t="n"/>
      <c r="P31" s="2133">
        <f>SUMIF(Category,$B31,AMTY5)</f>
        <v/>
      </c>
      <c r="Q31" s="2135">
        <f>P31/$AA$3</f>
        <v/>
      </c>
      <c r="R31" s="23" t="n"/>
      <c r="S31" s="2133">
        <f>SUMIF(Category,$B31,AmtBdgt)</f>
        <v/>
      </c>
      <c r="T31" s="1946">
        <f>S31/NRA</f>
        <v/>
      </c>
      <c r="U31" s="23" t="n"/>
      <c r="V31" s="33">
        <f>W31*NRA</f>
        <v/>
      </c>
      <c r="W31" s="2137">
        <f>[3]SummaryExpenseTbl!M41</f>
        <v/>
      </c>
      <c r="X31" s="43" t="n"/>
    </row>
    <row r="32" hidden="1" s="1449">
      <c r="C32" s="24" t="n"/>
      <c r="D32" s="2161" t="n"/>
      <c r="E32" s="2134" t="n"/>
      <c r="F32" s="23" t="n"/>
      <c r="G32" s="2161" t="n"/>
      <c r="H32" s="1946" t="n"/>
      <c r="I32" s="23" t="n"/>
      <c r="J32" s="2161" t="n"/>
      <c r="K32" s="1946" t="n"/>
      <c r="L32" s="23" t="n"/>
      <c r="M32" s="2158" t="n"/>
      <c r="N32" s="1946" t="n"/>
      <c r="O32" s="23" t="n"/>
      <c r="P32" s="2158" t="n"/>
      <c r="Q32" s="1946" t="n"/>
      <c r="R32" s="23" t="n"/>
      <c r="S32" s="2158" t="n"/>
      <c r="T32" s="1946" t="n"/>
      <c r="U32" s="23" t="n"/>
      <c r="V32" s="2161" t="n"/>
      <c r="W32" s="1946" t="n"/>
      <c r="X32" s="2162" t="n"/>
    </row>
    <row r="33">
      <c r="C33" s="85" t="inlineStr">
        <is>
          <t>TOTAL EXPENSES</t>
        </is>
      </c>
      <c r="D33" s="2144">
        <f>SUM(#REF!,#REF!, D27, D28,D29,D30, D31)</f>
        <v/>
      </c>
      <c r="E33" s="2145">
        <f>D33/NRA</f>
        <v/>
      </c>
      <c r="F33" s="2163" t="n"/>
      <c r="G33" s="2144">
        <f>SUM(#REF!,#REF!, G27, G28,G29,G30, G31)</f>
        <v/>
      </c>
      <c r="H33" s="2146">
        <f>G33/NRA</f>
        <v/>
      </c>
      <c r="I33" s="2163" t="n"/>
      <c r="J33" s="2144">
        <f>SUM(#REF!,#REF!, J27, J28,J29,J30, J31)</f>
        <v/>
      </c>
      <c r="K33" s="2146">
        <f>J33/NRA</f>
        <v/>
      </c>
      <c r="L33" s="2163" t="n"/>
      <c r="M33" s="2144">
        <f>SUM(M24:M25,M27:M30)</f>
        <v/>
      </c>
      <c r="N33" s="2147">
        <f>M33/$AA$3</f>
        <v/>
      </c>
      <c r="O33" s="2144" t="n"/>
      <c r="P33" s="2144">
        <f>SUM(P24:P25,P27:P30)</f>
        <v/>
      </c>
      <c r="Q33" s="2147">
        <f>P33/$AA$3</f>
        <v/>
      </c>
      <c r="R33" s="2163" t="n"/>
      <c r="S33" s="2140">
        <f>SUM(#REF!,#REF!, S27, S28,S29,S30, S31)</f>
        <v/>
      </c>
      <c r="T33" s="1950">
        <f>S33/NRA</f>
        <v/>
      </c>
      <c r="U33" s="2164" t="n"/>
      <c r="V33" s="2140">
        <f>SUM(#REF!,#REF!, V27,#REF!, V30, V31)</f>
        <v/>
      </c>
      <c r="W33" s="1950">
        <f>V33/NRA</f>
        <v/>
      </c>
      <c r="X33" s="2142" t="n"/>
    </row>
    <row r="34">
      <c r="C34" s="42" t="n"/>
      <c r="D34" s="2165" t="n"/>
      <c r="E34" s="2141" t="n"/>
      <c r="F34" s="61" t="n"/>
      <c r="G34" s="2165" t="n"/>
      <c r="H34" s="1950" t="n"/>
      <c r="I34" s="61" t="n"/>
      <c r="J34" s="2165" t="n"/>
      <c r="K34" s="1950" t="n"/>
      <c r="L34" s="61" t="n"/>
      <c r="M34" s="2165" t="n"/>
      <c r="N34" s="1950" t="n"/>
      <c r="O34" s="61" t="n"/>
      <c r="P34" s="2165" t="n"/>
      <c r="Q34" s="1950" t="n"/>
      <c r="R34" s="61" t="n"/>
      <c r="S34" s="2165" t="n"/>
      <c r="T34" s="1950" t="n"/>
      <c r="U34" s="61" t="n"/>
      <c r="V34" s="2165" t="n"/>
      <c r="W34" s="1950" t="n"/>
      <c r="X34" s="2166" t="n"/>
    </row>
    <row r="35">
      <c r="C35" s="85" t="inlineStr">
        <is>
          <t>NET OPERATING INCOME (NOI)</t>
        </is>
      </c>
      <c r="D35" s="2144">
        <f>D22-D33</f>
        <v/>
      </c>
      <c r="E35" s="2145">
        <f>D35/NRA</f>
        <v/>
      </c>
      <c r="F35" s="88" t="n"/>
      <c r="G35" s="2144">
        <f>G22-G33</f>
        <v/>
      </c>
      <c r="H35" s="2146">
        <f>G35/NRA</f>
        <v/>
      </c>
      <c r="I35" s="88" t="n"/>
      <c r="J35" s="2144">
        <f>J22-J33</f>
        <v/>
      </c>
      <c r="K35" s="2146">
        <f>J35/NRA</f>
        <v/>
      </c>
      <c r="L35" s="88" t="n"/>
      <c r="M35" s="2144">
        <f>M22-M33</f>
        <v/>
      </c>
      <c r="N35" s="2147">
        <f>M35/$AA$3</f>
        <v/>
      </c>
      <c r="O35" s="2144" t="n"/>
      <c r="P35" s="2144">
        <f>P22-P33</f>
        <v/>
      </c>
      <c r="Q35" s="2147">
        <f>P35/$AA$3</f>
        <v/>
      </c>
      <c r="R35" s="88" t="n"/>
      <c r="S35" s="2167">
        <f>S22-S33</f>
        <v/>
      </c>
      <c r="T35" s="2168">
        <f>S35/NRA</f>
        <v/>
      </c>
      <c r="U35" s="64" t="n"/>
      <c r="V35" s="2167">
        <f>V22-V33</f>
        <v/>
      </c>
      <c r="W35" s="2168">
        <f>V35/NRA</f>
        <v/>
      </c>
      <c r="X35" s="2169" t="n"/>
    </row>
  </sheetData>
  <mergeCells count="1">
    <mergeCell ref="C2:X2"/>
  </mergeCell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D2:AB45"/>
  <sheetViews>
    <sheetView showGridLines="0" workbookViewId="0">
      <selection activeCell="Q7" sqref="Q7"/>
    </sheetView>
  </sheetViews>
  <sheetFormatPr baseColWidth="8" defaultRowHeight="15"/>
  <cols>
    <col width="25.7109375" customWidth="1" style="1449" min="4" max="4"/>
    <col hidden="1" width="10.7109375" customWidth="1" style="1449" min="5" max="5"/>
    <col width="14.28515625" bestFit="1" customWidth="1" style="1449" min="6" max="6"/>
    <col hidden="1" width="7.7109375" customWidth="1" style="1449" min="7" max="7"/>
    <col hidden="1" width="10.7109375" customWidth="1" style="1449" min="8" max="8"/>
    <col width="15.85546875" customWidth="1" style="1449" min="9" max="9"/>
    <col hidden="1" width="7.7109375" customWidth="1" style="1449" min="10" max="10"/>
    <col hidden="1" width="2.140625" customWidth="1" style="1449" min="11" max="11"/>
    <col width="14.140625" customWidth="1" style="1449" min="12" max="12"/>
    <col hidden="1" width="7.7109375" customWidth="1" style="1449" min="13" max="13"/>
    <col hidden="1" width="10.7109375" customWidth="1" style="1449" min="14" max="14"/>
    <col hidden="1" width="7.7109375" customWidth="1" style="1449" min="15" max="16"/>
    <col width="10.140625" bestFit="1" customWidth="1" style="1449" min="17" max="17"/>
    <col width="7.28515625" customWidth="1" style="112" min="20" max="22"/>
    <col hidden="1" width="8.28515625" customWidth="1" style="112" min="23" max="23"/>
    <col width="7.28515625" customWidth="1" style="112" min="24" max="24"/>
    <col width="8.42578125" customWidth="1" style="112" min="25" max="25"/>
    <col width="1.7109375" customWidth="1" style="112" min="26" max="26"/>
    <col width="15.42578125" customWidth="1" style="112" min="27" max="27"/>
    <col width="8" customWidth="1" style="112" min="28" max="28"/>
  </cols>
  <sheetData>
    <row r="2" ht="15.75" customHeight="1" s="1449">
      <c r="D2" s="1562" t="inlineStr">
        <is>
          <t>COMPARABLE EXPENSES DATA</t>
        </is>
      </c>
    </row>
    <row r="3">
      <c r="D3" s="69" t="inlineStr">
        <is>
          <t>Comparable No.</t>
        </is>
      </c>
      <c r="E3" s="1650" t="n">
        <v>1</v>
      </c>
      <c r="H3" s="1650" t="n">
        <v>2</v>
      </c>
      <c r="K3" s="1650" t="n">
        <v>3</v>
      </c>
      <c r="N3" s="1650" t="n">
        <v>3</v>
      </c>
    </row>
    <row r="4" ht="12.75" customHeight="1" s="1449">
      <c r="D4" s="70" t="inlineStr">
        <is>
          <t>City</t>
        </is>
      </c>
      <c r="E4" s="80" t="n"/>
      <c r="F4" s="255" t="n"/>
      <c r="G4" s="72" t="n"/>
      <c r="H4" s="80" t="n"/>
      <c r="I4" s="255" t="n"/>
      <c r="J4" s="71" t="n"/>
      <c r="K4" s="80" t="n"/>
      <c r="L4" s="255" t="n"/>
      <c r="M4" s="71" t="n"/>
      <c r="N4" s="105" t="n"/>
      <c r="O4" s="71" t="n"/>
      <c r="P4" s="71" t="n"/>
    </row>
    <row r="5" ht="12.75" customHeight="1" s="1449" thickBot="1">
      <c r="D5" s="70" t="inlineStr">
        <is>
          <t>Year Built</t>
        </is>
      </c>
      <c r="E5" s="80" t="n"/>
      <c r="F5" s="255" t="n"/>
      <c r="G5" s="72" t="n"/>
      <c r="H5" s="80" t="n"/>
      <c r="I5" s="255" t="n"/>
      <c r="J5" s="71" t="n"/>
      <c r="K5" s="80" t="n"/>
      <c r="L5" s="255" t="n"/>
      <c r="M5" s="71" t="n"/>
      <c r="N5" s="105" t="n"/>
      <c r="O5" s="71" t="n"/>
      <c r="P5" s="71" t="n"/>
      <c r="X5" s="113" t="n"/>
    </row>
    <row r="6" ht="12.75" customHeight="1" s="1449">
      <c r="D6" s="70" t="inlineStr">
        <is>
          <t>Rentable Area</t>
        </is>
      </c>
      <c r="E6" s="254" t="n"/>
      <c r="F6" s="256" t="n"/>
      <c r="G6" s="74" t="n"/>
      <c r="H6" s="254" t="n"/>
      <c r="I6" s="256" t="n"/>
      <c r="J6" s="73" t="n"/>
      <c r="K6" s="254" t="n"/>
      <c r="L6" s="256" t="n"/>
      <c r="M6" s="73" t="n"/>
      <c r="N6" s="106" t="n"/>
      <c r="O6" s="73" t="n"/>
      <c r="P6" s="73" t="n"/>
      <c r="T6" s="114" t="inlineStr">
        <is>
          <t>Cmp1</t>
        </is>
      </c>
      <c r="U6" s="115" t="inlineStr">
        <is>
          <t>Cmp2</t>
        </is>
      </c>
      <c r="V6" s="115" t="inlineStr">
        <is>
          <t>Cmp3</t>
        </is>
      </c>
      <c r="W6" s="116" t="inlineStr">
        <is>
          <t>Cmp4</t>
        </is>
      </c>
      <c r="X6" s="115" t="inlineStr">
        <is>
          <t>Min</t>
        </is>
      </c>
      <c r="Y6" s="117" t="inlineStr">
        <is>
          <t>Max</t>
        </is>
      </c>
      <c r="AA6" s="118" t="inlineStr">
        <is>
          <t>Range</t>
        </is>
      </c>
      <c r="AB6" s="119" t="inlineStr">
        <is>
          <t>Avg</t>
        </is>
      </c>
    </row>
    <row r="7" ht="12.75" customHeight="1" s="1449">
      <c r="D7" s="70" t="inlineStr">
        <is>
          <t>Year Operations</t>
        </is>
      </c>
      <c r="E7" s="80" t="n">
        <v>2016</v>
      </c>
      <c r="F7" s="255" t="n">
        <v>2019</v>
      </c>
      <c r="G7" s="72" t="n"/>
      <c r="H7" s="80" t="n">
        <v>2016</v>
      </c>
      <c r="I7" s="255" t="n">
        <v>2020</v>
      </c>
      <c r="J7" s="71" t="n"/>
      <c r="K7" s="80" t="n">
        <v>2016</v>
      </c>
      <c r="L7" s="255" t="n">
        <v>2020</v>
      </c>
      <c r="M7" s="71" t="n"/>
      <c r="N7" s="105" t="n">
        <v>2016</v>
      </c>
      <c r="O7" s="71" t="n"/>
      <c r="P7" s="71" t="n"/>
      <c r="T7" s="2170" t="n"/>
      <c r="U7" s="2170" t="n"/>
      <c r="V7" s="2170" t="n"/>
      <c r="W7" s="2171" t="n"/>
      <c r="X7" s="2172" t="n"/>
      <c r="Y7" s="2173" t="n"/>
      <c r="AA7" s="124" t="n"/>
      <c r="AB7" s="2174" t="n"/>
    </row>
    <row r="8" ht="12.75" customHeight="1" s="1449">
      <c r="D8" s="81" t="inlineStr">
        <is>
          <t>Occupancy</t>
        </is>
      </c>
      <c r="E8" s="82" t="n">
        <v>1</v>
      </c>
      <c r="F8" s="257" t="n">
        <v>1</v>
      </c>
      <c r="G8" s="84" t="n"/>
      <c r="H8" s="82" t="n">
        <v>1</v>
      </c>
      <c r="I8" s="257" t="n">
        <v>1</v>
      </c>
      <c r="J8" s="83" t="n"/>
      <c r="K8" s="82" t="n">
        <v>1</v>
      </c>
      <c r="L8" s="257" t="n">
        <v>1</v>
      </c>
      <c r="M8" s="83" t="n"/>
      <c r="N8" s="107" t="n">
        <v>1</v>
      </c>
      <c r="O8" s="83" t="n"/>
      <c r="P8" s="83" t="n"/>
      <c r="T8" s="43" t="n"/>
      <c r="U8" s="43" t="n"/>
      <c r="V8" s="43" t="n"/>
      <c r="W8" s="126" t="n"/>
      <c r="X8" s="43" t="n"/>
      <c r="Y8" s="43" t="n"/>
      <c r="AA8" s="127" t="n"/>
      <c r="AB8" s="128" t="n"/>
    </row>
    <row r="9" ht="12.75" customHeight="1" s="1449">
      <c r="D9" s="261" t="inlineStr">
        <is>
          <t>Expenses</t>
        </is>
      </c>
      <c r="E9" s="251" t="n"/>
      <c r="F9" s="262" t="n"/>
      <c r="G9" s="75" t="n"/>
      <c r="H9" s="76" t="n"/>
      <c r="I9" s="2175" t="n"/>
      <c r="J9" s="250" t="n"/>
      <c r="K9" s="251" t="n"/>
      <c r="L9" s="262" t="n"/>
      <c r="M9" s="250" t="n"/>
      <c r="N9" s="77" t="n"/>
      <c r="O9" s="2134" t="n"/>
      <c r="P9" s="1563" t="n"/>
      <c r="T9" s="43" t="n"/>
      <c r="U9" s="43" t="n"/>
      <c r="V9" s="43" t="n"/>
      <c r="W9" s="126" t="n"/>
      <c r="X9" s="43" t="n"/>
      <c r="Y9" s="43" t="n"/>
      <c r="AA9" s="127" t="n"/>
      <c r="AB9" s="128" t="n"/>
    </row>
    <row r="10" ht="12.75" customHeight="1" s="1449">
      <c r="D10" s="166" t="inlineStr">
        <is>
          <t>Real Estate Taxes</t>
        </is>
      </c>
      <c r="E10" s="2176" t="n"/>
      <c r="F10" s="2177" t="n"/>
      <c r="G10" s="75" t="n"/>
      <c r="H10" s="2178" t="n"/>
      <c r="I10" s="2179" t="n"/>
      <c r="J10" s="253" t="n"/>
      <c r="K10" s="2176" t="n"/>
      <c r="L10" s="2177" t="n"/>
      <c r="M10" s="250" t="n"/>
      <c r="N10" s="2180" t="n"/>
      <c r="O10" s="2181">
        <f>N10/N6</f>
        <v/>
      </c>
      <c r="P10" s="93" t="n"/>
      <c r="Q10" s="1757">
        <f>AVERAGE(F10,I10,L10)</f>
        <v/>
      </c>
      <c r="T10" s="113">
        <f>F10</f>
        <v/>
      </c>
      <c r="U10" s="113">
        <f>I10</f>
        <v/>
      </c>
      <c r="V10" s="113">
        <f>L10</f>
        <v/>
      </c>
      <c r="W10" s="129">
        <f>IF(ISERROR(Q24),"",IF(Q24=0,"",Q24))</f>
        <v/>
      </c>
      <c r="X10" s="113">
        <f>MIN(T10:W10)</f>
        <v/>
      </c>
      <c r="Y10" s="113">
        <f>MAX(T10:W10)</f>
        <v/>
      </c>
      <c r="AA10" s="2182">
        <f>IF(X10=Y10,TEXT(X10,"$0.00;;-"),CONCATENATE(TEXT(X10,"$0.00;;-"),"–",TEXT(Y10,"$0.00;;-")))</f>
        <v/>
      </c>
      <c r="AB10" s="2183">
        <f>AVERAGE(T10:W10)</f>
        <v/>
      </c>
    </row>
    <row r="11" ht="12.75" customHeight="1" s="1449">
      <c r="D11" s="166" t="inlineStr">
        <is>
          <t>Insurance</t>
        </is>
      </c>
      <c r="E11" s="2176" t="n"/>
      <c r="F11" s="2177" t="n"/>
      <c r="G11" s="75" t="n"/>
      <c r="H11" s="2178" t="n"/>
      <c r="I11" s="2179" t="n"/>
      <c r="J11" s="253" t="n"/>
      <c r="K11" s="2176" t="n"/>
      <c r="L11" s="2177" t="n"/>
      <c r="M11" s="250" t="n"/>
      <c r="N11" s="2180" t="n"/>
      <c r="O11" s="2181">
        <f>N11/N6</f>
        <v/>
      </c>
      <c r="P11" s="93" t="n"/>
      <c r="Q11" s="1757">
        <f>AVERAGE(F11,I11,L11)</f>
        <v/>
      </c>
      <c r="T11" s="113">
        <f>F11</f>
        <v/>
      </c>
      <c r="U11" s="113">
        <f>I11</f>
        <v/>
      </c>
      <c r="V11" s="113">
        <f>L11</f>
        <v/>
      </c>
      <c r="W11" s="129">
        <f>IF(ISERROR(Q25),"",IF(Q25=0,"",Q25))</f>
        <v/>
      </c>
      <c r="X11" s="113">
        <f>MIN(T11:W11)</f>
        <v/>
      </c>
      <c r="Y11" s="113">
        <f>MAX(T11:W11)</f>
        <v/>
      </c>
      <c r="AA11" s="127">
        <f>IF(X11=Y11,TEXT(X11,"$0.00;;-"),CONCATENATE(TEXT(X11,"$0.00;;-"),"–",TEXT(Y11,"$0.00;;-")))</f>
        <v/>
      </c>
      <c r="AB11" s="2183">
        <f>AVERAGE(T11:W11)</f>
        <v/>
      </c>
    </row>
    <row r="12" ht="12.75" customHeight="1" s="1449">
      <c r="D12" s="166" t="inlineStr">
        <is>
          <t>Utilities</t>
        </is>
      </c>
      <c r="E12" s="2176" t="n"/>
      <c r="F12" s="2177" t="n"/>
      <c r="G12" s="75" t="n"/>
      <c r="H12" s="2178" t="n"/>
      <c r="I12" s="2179" t="n"/>
      <c r="J12" s="253" t="n"/>
      <c r="K12" s="2176" t="n"/>
      <c r="L12" s="2177" t="n"/>
      <c r="M12" s="250" t="n"/>
      <c r="N12" s="2180" t="n"/>
      <c r="O12" s="2181">
        <f>N12/N6</f>
        <v/>
      </c>
      <c r="P12" s="93" t="n"/>
      <c r="T12" s="113">
        <f>F12</f>
        <v/>
      </c>
      <c r="U12" s="113">
        <f>I12</f>
        <v/>
      </c>
      <c r="V12" s="113">
        <f>L12</f>
        <v/>
      </c>
      <c r="W12" s="129">
        <f>IF(ISERROR(Q26),"",IF(Q26=0,"",Q26))</f>
        <v/>
      </c>
      <c r="X12" s="113">
        <f>MIN(T12:W12)</f>
        <v/>
      </c>
      <c r="Y12" s="113">
        <f>MAX(T12:W12)</f>
        <v/>
      </c>
      <c r="AA12" s="127">
        <f>IF(X12=Y12,TEXT(X12,"$0.00;;-"),CONCATENATE(TEXT(X12,"$0.00;;-"),"–",TEXT(Y12,"$0.00;;-")))</f>
        <v/>
      </c>
      <c r="AB12" s="2183">
        <f>AVERAGE(T12:W12)</f>
        <v/>
      </c>
    </row>
    <row r="13" ht="12.75" customHeight="1" s="1449">
      <c r="D13" s="166" t="inlineStr">
        <is>
          <t>CAM Repairs and Maintenace</t>
        </is>
      </c>
      <c r="E13" s="2176" t="n"/>
      <c r="F13" s="2177" t="n"/>
      <c r="G13" s="75" t="n"/>
      <c r="H13" s="2178" t="n"/>
      <c r="I13" s="2179" t="n"/>
      <c r="J13" s="253" t="n"/>
      <c r="K13" s="2176" t="n"/>
      <c r="L13" s="2177" t="n"/>
      <c r="M13" s="250" t="n"/>
      <c r="N13" s="2180" t="n"/>
      <c r="O13" s="2181">
        <f>N13/N6</f>
        <v/>
      </c>
      <c r="P13" s="93" t="n"/>
      <c r="T13" s="113">
        <f>F13</f>
        <v/>
      </c>
      <c r="U13" s="113">
        <f>I13</f>
        <v/>
      </c>
      <c r="V13" s="113">
        <f>L13</f>
        <v/>
      </c>
      <c r="W13" s="129">
        <f>IF(ISERROR(Q27),"",IF(Q27=0,"",Q27))</f>
        <v/>
      </c>
      <c r="X13" s="113">
        <f>MIN(T13:W13)</f>
        <v/>
      </c>
      <c r="Y13" s="113">
        <f>MAX(T13:W13)</f>
        <v/>
      </c>
      <c r="AA13" s="127">
        <f>IF(X13=Y13,TEXT(X13,"$0.00;;-"),CONCATENATE(TEXT(X13,"$0.00;;-"),"–",TEXT(Y13,"$0.00;;-")))</f>
        <v/>
      </c>
      <c r="AB13" s="2183">
        <f>AVERAGE(T13:W13)</f>
        <v/>
      </c>
    </row>
    <row r="14" hidden="1" ht="12.75" customHeight="1" s="1449">
      <c r="D14" s="166" t="inlineStr">
        <is>
          <t>Administrative and General</t>
        </is>
      </c>
      <c r="E14" s="2176" t="n"/>
      <c r="F14" s="2177" t="n"/>
      <c r="G14" s="75" t="n"/>
      <c r="H14" s="2178" t="n"/>
      <c r="I14" s="2179" t="n"/>
      <c r="J14" s="253" t="n"/>
      <c r="K14" s="2176" t="n"/>
      <c r="L14" s="2177" t="n"/>
      <c r="M14" s="250" t="n"/>
      <c r="N14" s="2180" t="n"/>
      <c r="O14" s="2181">
        <f>N14/N6</f>
        <v/>
      </c>
      <c r="P14" s="93" t="n"/>
      <c r="T14" s="113">
        <f>F14</f>
        <v/>
      </c>
      <c r="U14" s="113">
        <f>I14</f>
        <v/>
      </c>
      <c r="V14" s="113">
        <f>L14</f>
        <v/>
      </c>
      <c r="W14" s="129">
        <f>IF(ISERROR(Q28),"",IF(Q28=0,"",Q28))</f>
        <v/>
      </c>
      <c r="X14" s="113">
        <f>MIN(T14:W14)</f>
        <v/>
      </c>
      <c r="Y14" s="113">
        <f>MAX(T14:W14)</f>
        <v/>
      </c>
      <c r="AA14" s="127">
        <f>IF(X14=Y14,TEXT(X14,"$0.00;;-"),CONCATENATE(TEXT(X14,"$0.00;;-"),"–",TEXT(Y14,"$0.00;;-")))</f>
        <v/>
      </c>
      <c r="AB14" s="2183">
        <f>AVERAGE(T14:W14)</f>
        <v/>
      </c>
    </row>
    <row r="15" ht="12.75" customHeight="1" s="1449">
      <c r="D15" s="166" t="inlineStr">
        <is>
          <t>Management</t>
        </is>
      </c>
      <c r="E15" s="2176" t="n"/>
      <c r="F15" s="2177" t="n"/>
      <c r="G15" s="75" t="n"/>
      <c r="H15" s="2178" t="n"/>
      <c r="I15" s="2179" t="n"/>
      <c r="J15" s="253" t="n"/>
      <c r="K15" s="2176" t="n"/>
      <c r="L15" s="2177" t="n"/>
      <c r="M15" s="250" t="n"/>
      <c r="N15" s="2180" t="n"/>
      <c r="O15" s="2181">
        <f>N15/N6</f>
        <v/>
      </c>
      <c r="P15" s="93" t="n"/>
      <c r="T15" s="113">
        <f>F15</f>
        <v/>
      </c>
      <c r="U15" s="113">
        <f>I15</f>
        <v/>
      </c>
      <c r="V15" s="113">
        <f>L15</f>
        <v/>
      </c>
      <c r="W15" s="129">
        <f>IF(ISERROR(Q29),"",IF(Q29=0,"",Q29))</f>
        <v/>
      </c>
      <c r="X15" s="113">
        <f>MIN(T15:W15)</f>
        <v/>
      </c>
      <c r="Y15" s="113">
        <f>MAX(T15:W15)</f>
        <v/>
      </c>
      <c r="AA15" s="127">
        <f>IF(X15=Y15,TEXT(X15,"$0.00;;-"),CONCATENATE(TEXT(X15,"$0.00;;-"),"–",TEXT(Y15,"$0.00;;-")))</f>
        <v/>
      </c>
      <c r="AB15" s="2183">
        <f>AVERAGE(T15:W15)</f>
        <v/>
      </c>
    </row>
    <row r="16" hidden="1" ht="12.75" customHeight="1" s="1449">
      <c r="D16" s="24" t="inlineStr">
        <is>
          <t>Replacement Reserves</t>
        </is>
      </c>
      <c r="E16" s="2178" t="n"/>
      <c r="F16" s="2134" t="n"/>
      <c r="G16" s="75" t="n"/>
      <c r="H16" s="2178" t="n"/>
      <c r="I16" s="2181" t="n"/>
      <c r="J16" s="93" t="n"/>
      <c r="K16" s="2178" t="n"/>
      <c r="L16" s="2134" t="n"/>
      <c r="M16" s="1563" t="n"/>
      <c r="N16" s="2180" t="n"/>
      <c r="O16" s="2181">
        <f>N16/N6</f>
        <v/>
      </c>
      <c r="P16" s="93" t="n"/>
      <c r="T16" s="113">
        <f>F16</f>
        <v/>
      </c>
      <c r="U16" s="113">
        <f>I16</f>
        <v/>
      </c>
      <c r="V16" s="113">
        <f>I16</f>
        <v/>
      </c>
      <c r="W16" s="129">
        <f>IF(ISERROR(Q30),"",IF(Q30=0,"",Q30))</f>
        <v/>
      </c>
      <c r="X16" s="113">
        <f>MIN(T16:W16)</f>
        <v/>
      </c>
      <c r="Y16" s="113">
        <f>MAX(T16:W16)</f>
        <v/>
      </c>
      <c r="AA16" s="127">
        <f>IF(X16=Y16,TEXT(X16,"$0.00;;-"),CONCATENATE(TEXT(X16,"$0.00;;-"),"–",TEXT(Y16,"$0.00;;-")))</f>
        <v/>
      </c>
      <c r="AB16" s="2183">
        <f>AVERAGE(T16:W16)</f>
        <v/>
      </c>
    </row>
    <row r="17" ht="12.75" customHeight="1" s="1449">
      <c r="D17" s="109" t="inlineStr">
        <is>
          <t>Total Expenses</t>
        </is>
      </c>
      <c r="E17" s="2184">
        <f>SUM(E10:E16)</f>
        <v/>
      </c>
      <c r="F17" s="2185">
        <f>SUM(F10:F15)</f>
        <v/>
      </c>
      <c r="G17" s="259" t="n"/>
      <c r="H17" s="2186">
        <f>SUM(H10:H16)</f>
        <v/>
      </c>
      <c r="I17" s="2185">
        <f>SUM(I10:I15)</f>
        <v/>
      </c>
      <c r="J17" s="111" t="n"/>
      <c r="K17" s="2184">
        <f>SUM(K10:K16)</f>
        <v/>
      </c>
      <c r="L17" s="2185">
        <f>SUM(L9:L15)</f>
        <v/>
      </c>
      <c r="M17" s="111" t="n"/>
      <c r="N17" s="2187">
        <f>SUM(N10:N16)</f>
        <v/>
      </c>
      <c r="O17" s="2168">
        <f>N17/N6</f>
        <v/>
      </c>
      <c r="P17" s="79" t="n"/>
      <c r="T17" s="113">
        <f>F17</f>
        <v/>
      </c>
      <c r="U17" s="113">
        <f>I17</f>
        <v/>
      </c>
      <c r="V17" s="113">
        <f>L17</f>
        <v/>
      </c>
      <c r="W17" s="129">
        <f>IF(ISERROR(Q31),"",IF(Q31=0,"",Q31))</f>
        <v/>
      </c>
      <c r="X17" s="113">
        <f>MIN(T17:W17)</f>
        <v/>
      </c>
      <c r="Y17" s="113">
        <f>MAX(T17:W17)</f>
        <v/>
      </c>
      <c r="AA17" s="127">
        <f>IF(X17=Y17,TEXT(X17,"$0.00;;-"),CONCATENATE(TEXT(X17,"$0.00;;-"),"–",TEXT(Y17,"$0.00;;-")))</f>
        <v/>
      </c>
      <c r="AB17" s="2183">
        <f>AVERAGE(T17:W17)</f>
        <v/>
      </c>
    </row>
    <row r="18">
      <c r="T18" s="113">
        <f>IF(H32=0,"",H32)</f>
        <v/>
      </c>
      <c r="U18" s="113">
        <f>IF(K32=0,"",K32)</f>
        <v/>
      </c>
      <c r="V18" s="113">
        <f>IF(N32=0,"",N32)</f>
        <v/>
      </c>
      <c r="W18" s="129">
        <f>IF(ISERROR(Q32),"",IF(Q32=0,"",Q32))</f>
        <v/>
      </c>
      <c r="X18" s="113">
        <f>MIN(T18:W18)</f>
        <v/>
      </c>
      <c r="Y18" s="113">
        <f>MAX(T18:W18)</f>
        <v/>
      </c>
      <c r="AA18" s="127">
        <f>IF(X18=Y18,TEXT(X18,"$0.00;;-"),CONCATENATE(TEXT(X18,"$0.00;;-"),"–",TEXT(Y18,"$0.00;;-")))</f>
        <v/>
      </c>
      <c r="AB18" s="2183">
        <f>AVERAGE(T18:W18)</f>
        <v/>
      </c>
    </row>
    <row r="19">
      <c r="T19" s="113">
        <f>IF(H33=0,"",H33)</f>
        <v/>
      </c>
      <c r="U19" s="113">
        <f>IF(K33=0,"",K33)</f>
        <v/>
      </c>
      <c r="V19" s="113">
        <f>IF(N33=0,"",N33)</f>
        <v/>
      </c>
      <c r="W19" s="129">
        <f>IF(ISERROR(Q33),"",IF(Q33=0,"",Q33))</f>
        <v/>
      </c>
      <c r="X19" s="113">
        <f>MIN(T19:W19)</f>
        <v/>
      </c>
      <c r="Y19" s="113">
        <f>MAX(T19:W19)</f>
        <v/>
      </c>
      <c r="AA19" s="127">
        <f>IF(X19=Y19,TEXT(X19,"$0.00;;-"),CONCATENATE(TEXT(X19,"$0.00;;-"),"–",TEXT(Y19,"$0.00;;-")))</f>
        <v/>
      </c>
      <c r="AB19" s="2183">
        <f>AVERAGE(T19:W19)</f>
        <v/>
      </c>
    </row>
    <row r="20">
      <c r="T20" s="113">
        <f>IF(H34=0,"",H34)</f>
        <v/>
      </c>
      <c r="U20" s="113">
        <f>IF(K34=0,"",K34)</f>
        <v/>
      </c>
      <c r="V20" s="113">
        <f>IF(N34=0,"",N34)</f>
        <v/>
      </c>
      <c r="W20" s="129">
        <f>IF(ISERROR(Q34),"",IF(Q34=0,"",Q34))</f>
        <v/>
      </c>
      <c r="X20" s="113">
        <f>MIN(T20:W20)</f>
        <v/>
      </c>
      <c r="Y20" s="113">
        <f>MAX(T20:W20)</f>
        <v/>
      </c>
      <c r="AA20" s="127">
        <f>IF(X20=Y20,TEXT(X20,"$0.00;;-"),CONCATENATE(TEXT(X20,"$0.00;;-"),"–",TEXT(Y20,"$0.00;;-")))</f>
        <v/>
      </c>
      <c r="AB20" s="2183">
        <f>AVERAGE(T20:W20)</f>
        <v/>
      </c>
    </row>
    <row r="21">
      <c r="T21" s="113">
        <f>IF(H35=0,"",H35)</f>
        <v/>
      </c>
      <c r="U21" s="113">
        <f>IF(K35=0,"",K35)</f>
        <v/>
      </c>
      <c r="V21" s="113">
        <f>IF(N35=0,"",N35)</f>
        <v/>
      </c>
      <c r="W21" s="129">
        <f>IF(ISERROR(Q35),"",IF(Q35=0,"",Q35))</f>
        <v/>
      </c>
      <c r="X21" s="113">
        <f>MIN(T21:W21)</f>
        <v/>
      </c>
      <c r="Y21" s="113">
        <f>MAX(T21:W21)</f>
        <v/>
      </c>
      <c r="AA21" s="127">
        <f>IF(X21=Y21,TEXT(X21,"$0.00;;-"),CONCATENATE(TEXT(X21,"$0.00;;-"),"–",TEXT(Y21,"$0.00;;-")))</f>
        <v/>
      </c>
      <c r="AB21" s="2183">
        <f>AVERAGE(T21:W21)</f>
        <v/>
      </c>
    </row>
    <row r="22">
      <c r="T22" s="113">
        <f>IF(H36=0,"",H36)</f>
        <v/>
      </c>
      <c r="U22" s="113">
        <f>IF(K36=0,"",K36)</f>
        <v/>
      </c>
      <c r="V22" s="113">
        <f>IF(N36=0,"",N36)</f>
        <v/>
      </c>
      <c r="W22" s="129">
        <f>IF(ISERROR(Q36),"",IF(Q36=0,"",Q36))</f>
        <v/>
      </c>
      <c r="X22" s="113">
        <f>MIN(T22:W22)</f>
        <v/>
      </c>
      <c r="Y22" s="113">
        <f>MAX(T22:W22)</f>
        <v/>
      </c>
      <c r="AA22" s="127">
        <f>IF(X22=Y22,TEXT(X22,"$0.00;;-"),CONCATENATE(TEXT(X22,"$0.00;;-"),"–",TEXT(Y22,"$0.00;;-")))</f>
        <v/>
      </c>
      <c r="AB22" s="2183">
        <f>AVERAGE(T22:W22)</f>
        <v/>
      </c>
    </row>
    <row r="23">
      <c r="T23" s="113">
        <f>IF(H37=0,"",H37)</f>
        <v/>
      </c>
      <c r="U23" s="113">
        <f>IF(K37=0,"",K37)</f>
        <v/>
      </c>
      <c r="V23" s="113">
        <f>IF(N37=0,"",N37)</f>
        <v/>
      </c>
      <c r="W23" s="129">
        <f>IF(ISERROR(Q37),"",IF(Q37=0,"",Q37))</f>
        <v/>
      </c>
      <c r="X23" s="113">
        <f>MIN(T23:W23)</f>
        <v/>
      </c>
      <c r="Y23" s="113">
        <f>MAX(T23:W23)</f>
        <v/>
      </c>
      <c r="AA23" s="127">
        <f>IF(X23=Y23,TEXT(X23,"$0.00;;-"),CONCATENATE(TEXT(X23,"$0.00;;-"),"–",TEXT(Y23,"$0.00;;-")))</f>
        <v/>
      </c>
      <c r="AB23" s="2183">
        <f>AVERAGE(T23:W23)</f>
        <v/>
      </c>
    </row>
    <row r="24">
      <c r="T24" s="113">
        <f>IF(H38=0,"",H38)</f>
        <v/>
      </c>
      <c r="U24" s="113">
        <f>IF(K38=0,"",K38)</f>
        <v/>
      </c>
      <c r="V24" s="113">
        <f>IF(N38=0,"",N38)</f>
        <v/>
      </c>
      <c r="W24" s="129">
        <f>IF(ISERROR(Q38),"",IF(Q38=0,"",Q38))</f>
        <v/>
      </c>
      <c r="X24" s="113">
        <f>MIN(T24:W24)</f>
        <v/>
      </c>
      <c r="Y24" s="113">
        <f>MAX(T24:W24)</f>
        <v/>
      </c>
      <c r="Z24" s="132" t="n"/>
      <c r="AA24" s="127">
        <f>IF(X24=Y24,TEXT(X24,"$0.00;;-"),CONCATENATE(TEXT(X24,"$0.00;;-"),"–",TEXT(Y24,"$0.00;;-")))</f>
        <v/>
      </c>
      <c r="AB24" s="2183">
        <f>AVERAGE(T24:W24)</f>
        <v/>
      </c>
    </row>
    <row r="25" ht="15.75" customHeight="1" s="1449" thickBot="1">
      <c r="T25" s="113">
        <f>IF(H39=0,"",H39)</f>
        <v/>
      </c>
      <c r="U25" s="113">
        <f>IF(K39=0,"",K39)</f>
        <v/>
      </c>
      <c r="V25" s="113">
        <f>IF(N39=0,"",N39)</f>
        <v/>
      </c>
      <c r="W25" s="129">
        <f>IF(Q39=0,"",Q39)</f>
        <v/>
      </c>
      <c r="X25" s="113">
        <f>MIN(T25:W25)</f>
        <v/>
      </c>
      <c r="Y25" s="113">
        <f>MAX(T25:W25)</f>
        <v/>
      </c>
      <c r="AA25" s="133">
        <f>IF(X25=Y25,TEXT(X25,"$0.00;;-"),CONCATENATE(TEXT(X25,"$0.00;;-"),"–",TEXT(Y25,"$0.00;;-")))</f>
        <v/>
      </c>
      <c r="AB25" s="2188">
        <f>AVERAGE(T25:W25)</f>
        <v/>
      </c>
    </row>
    <row r="26">
      <c r="T26" s="135">
        <f>IF(I38=0,"",I38)</f>
        <v/>
      </c>
      <c r="U26" s="135">
        <f>IF(L38=0,"",L38)</f>
        <v/>
      </c>
      <c r="V26" s="135">
        <f>IF(O38=0,"",O38)</f>
        <v/>
      </c>
      <c r="W26" s="135">
        <f>IF(R38=0,"",R38)</f>
        <v/>
      </c>
      <c r="X26" s="135">
        <f>MIN(T26:W26)</f>
        <v/>
      </c>
      <c r="Y26" s="135">
        <f>MAX(T26:W26)</f>
        <v/>
      </c>
      <c r="AA26" s="136">
        <f>IF(X26=Y26,TEXT(X26,"0%;-"),CONCATENATE(TEXT(X26,"0%;-"),"–",TEXT(Y26,"0%;-")))</f>
        <v/>
      </c>
    </row>
    <row r="27" ht="15.75" customHeight="1" s="1449" thickBot="1">
      <c r="AA27" s="137" t="n"/>
      <c r="AB27" s="137" t="n"/>
    </row>
    <row r="28">
      <c r="T28" s="43">
        <f>G42</f>
        <v/>
      </c>
      <c r="U28" s="43">
        <f>J42</f>
        <v/>
      </c>
      <c r="V28" s="43">
        <f>M42</f>
        <v/>
      </c>
      <c r="W28" s="43">
        <f>P42</f>
        <v/>
      </c>
      <c r="X28" s="43">
        <f>MIN(T28:W28)</f>
        <v/>
      </c>
      <c r="Y28" s="43">
        <f>MAX(T28:W28)</f>
        <v/>
      </c>
      <c r="AA28" s="138">
        <f>IF(X28=Y28,TEXT(X28,"$#,##0"),CONCATENATE(TEXT(X28,"$#,##0"),"–",TEXT(Y28,"$#,##0")))</f>
        <v/>
      </c>
      <c r="AB28" s="139">
        <f>IF(SUM(T28:W28)=0,0,ROUND(AVERAGE(T28:W28),0))</f>
        <v/>
      </c>
    </row>
    <row r="29">
      <c r="T29" s="113">
        <f>G43</f>
        <v/>
      </c>
      <c r="U29" s="113">
        <f>J43</f>
        <v/>
      </c>
      <c r="V29" s="113">
        <f>M43</f>
        <v/>
      </c>
      <c r="W29" s="113">
        <f>P43</f>
        <v/>
      </c>
      <c r="X29" s="113">
        <f>MIN(T29:W29)</f>
        <v/>
      </c>
      <c r="Y29" s="113">
        <f>MAX(T29:W29)</f>
        <v/>
      </c>
      <c r="AA29" s="2189">
        <f>IF(X29=Y29,TEXT(X29,"$0.00;;-"),CONCATENATE(TEXT(X29,"$0.00;;-"),"–",TEXT(Y29,"$0.00;;-")))</f>
        <v/>
      </c>
      <c r="AB29" s="141">
        <f>IF(SUM(T29:W29)=0,0,ROUND(AVERAGE(T29:W29),2))</f>
        <v/>
      </c>
    </row>
    <row r="30" ht="15.75" customHeight="1" s="1449" thickBot="1">
      <c r="T30" s="135">
        <f>G44</f>
        <v/>
      </c>
      <c r="U30" s="135">
        <f>J44</f>
        <v/>
      </c>
      <c r="V30" s="135">
        <f>M44</f>
        <v/>
      </c>
      <c r="W30" s="135">
        <f>P44</f>
        <v/>
      </c>
      <c r="X30" s="135">
        <f>MIN(T30:W30)</f>
        <v/>
      </c>
      <c r="Y30" s="135">
        <f>MAX(T30:W30)</f>
        <v/>
      </c>
      <c r="AA30" s="2190">
        <f>IF(X30=Y30,TEXT(X30,"0%;-"),CONCATENATE(TEXT(X30,"0%;-"),"–",TEXT(Y30,"0%;-")))</f>
        <v/>
      </c>
      <c r="AB30" s="143">
        <f>IF(SUM(T30:W30)=0,0,ROUND(AVERAGE(T30:W30),3))</f>
        <v/>
      </c>
    </row>
    <row r="45">
      <c r="T45" s="135" t="n"/>
      <c r="U45" s="135" t="n"/>
      <c r="V45" s="135" t="n"/>
      <c r="W45" s="135" t="n"/>
      <c r="X45" s="135" t="n"/>
      <c r="Y45" s="135" t="n"/>
      <c r="AA45" s="2191" t="n"/>
      <c r="AB45" s="2192" t="n"/>
    </row>
  </sheetData>
  <mergeCells count="5">
    <mergeCell ref="E3:G3"/>
    <mergeCell ref="K3:M3"/>
    <mergeCell ref="H3:J3"/>
    <mergeCell ref="N3:P3"/>
    <mergeCell ref="D2:P2"/>
  </mergeCell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C2:O34"/>
  <sheetViews>
    <sheetView showGridLines="0" zoomScale="160" zoomScaleNormal="160" workbookViewId="0">
      <selection activeCell="N9" sqref="N9"/>
    </sheetView>
  </sheetViews>
  <sheetFormatPr baseColWidth="8" defaultRowHeight="15"/>
  <cols>
    <col width="28.5703125" customWidth="1" style="1449" min="5" max="5"/>
    <col width="10.7109375" customWidth="1" style="1449" min="6" max="7"/>
    <col hidden="1" width="10.140625" customWidth="1" style="1449" min="8" max="8"/>
    <col hidden="1" width="13" customWidth="1" style="1449" min="9" max="9"/>
    <col width="9.85546875" bestFit="1" customWidth="1" style="1449" min="10" max="10"/>
    <col hidden="1" width="40" customWidth="1" style="1449" min="11" max="11"/>
    <col hidden="1" width="13" customWidth="1" style="1449" min="15" max="15"/>
  </cols>
  <sheetData>
    <row r="2" ht="15.75" customHeight="1" s="1449">
      <c r="E2" s="1653" t="inlineStr">
        <is>
          <t>OPERATING EXPENSE COMPARISON AND CONCLUSION</t>
        </is>
      </c>
      <c r="O2" s="67">
        <f>LA!C5</f>
        <v/>
      </c>
    </row>
    <row r="3">
      <c r="C3" s="67">
        <f>LA!C5</f>
        <v/>
      </c>
      <c r="E3" s="94" t="n"/>
      <c r="F3" s="95" t="inlineStr">
        <is>
          <t>Expense Comps</t>
        </is>
      </c>
      <c r="G3" s="95" t="n"/>
      <c r="H3" s="94" t="n"/>
      <c r="I3" s="94" t="n"/>
      <c r="J3" s="94" t="n"/>
      <c r="K3" s="94" t="n"/>
    </row>
    <row r="4">
      <c r="E4" s="94" t="inlineStr">
        <is>
          <t>Expense Item</t>
        </is>
      </c>
      <c r="F4" s="94" t="inlineStr">
        <is>
          <t>Range</t>
        </is>
      </c>
      <c r="G4" s="94" t="inlineStr">
        <is>
          <t>Average</t>
        </is>
      </c>
      <c r="H4" s="94" t="n">
        <v>2016</v>
      </c>
      <c r="I4" s="94" t="n">
        <v>2017</v>
      </c>
      <c r="J4" s="94" t="inlineStr">
        <is>
          <t>Forecast</t>
        </is>
      </c>
      <c r="K4" s="94" t="inlineStr">
        <is>
          <t>Comments</t>
        </is>
      </c>
    </row>
    <row r="5">
      <c r="E5" s="96" t="inlineStr">
        <is>
          <t>Real Estate Taxes</t>
        </is>
      </c>
      <c r="F5" s="2193">
        <f>CED!AA10</f>
        <v/>
      </c>
      <c r="G5" s="2194">
        <f>CED!AB10</f>
        <v/>
      </c>
      <c r="H5" s="2195">
        <f>HOA!M24</f>
        <v/>
      </c>
      <c r="I5" s="2195">
        <f>HOA!P24</f>
        <v/>
      </c>
      <c r="J5" s="2196" t="n"/>
      <c r="K5" s="2197" t="n"/>
    </row>
    <row r="6">
      <c r="E6" s="96" t="n"/>
      <c r="H6" s="2198">
        <f>H5/$O$2</f>
        <v/>
      </c>
      <c r="I6" s="2198">
        <f>I5/$O$2</f>
        <v/>
      </c>
      <c r="J6" s="2199">
        <f>J5/$O$2</f>
        <v/>
      </c>
    </row>
    <row r="7" ht="8.1" customHeight="1" s="1449">
      <c r="E7" s="96" t="n"/>
      <c r="F7" s="2200" t="n"/>
      <c r="G7" s="2195" t="n"/>
      <c r="H7" s="2195" t="n"/>
      <c r="I7" s="2195" t="n"/>
      <c r="J7" s="2201" t="n"/>
    </row>
    <row r="8">
      <c r="E8" s="96" t="inlineStr">
        <is>
          <t>Insurance</t>
        </is>
      </c>
      <c r="F8" s="2193">
        <f>CED!AA11</f>
        <v/>
      </c>
      <c r="G8" s="2194">
        <f>CED!AB11</f>
        <v/>
      </c>
      <c r="H8" s="2195">
        <f>HOA!M25</f>
        <v/>
      </c>
      <c r="I8" s="2195">
        <f>HOA!P25</f>
        <v/>
      </c>
      <c r="J8" s="2196">
        <f>J9*C3</f>
        <v/>
      </c>
      <c r="K8" s="2197" t="n"/>
    </row>
    <row r="9">
      <c r="E9" s="96" t="n"/>
      <c r="H9" s="2198">
        <f>H8/$O$2</f>
        <v/>
      </c>
      <c r="I9" s="2198">
        <f>I8/$O$2</f>
        <v/>
      </c>
      <c r="J9" s="2199" t="n"/>
    </row>
    <row r="10" ht="13.5" customHeight="1" s="1449">
      <c r="E10" s="96" t="n"/>
      <c r="F10" s="2202" t="n"/>
      <c r="G10" s="2195" t="n"/>
      <c r="H10" s="2195" t="n"/>
      <c r="I10" s="2195" t="n"/>
      <c r="J10" s="2201" t="n"/>
    </row>
    <row r="11">
      <c r="E11" s="103" t="inlineStr">
        <is>
          <t>Utilities</t>
        </is>
      </c>
      <c r="F11" s="2193">
        <f>CED!AA12</f>
        <v/>
      </c>
      <c r="G11" s="2194">
        <f>CED!AB12</f>
        <v/>
      </c>
      <c r="H11" s="2195">
        <f>HOA!M27</f>
        <v/>
      </c>
      <c r="I11" s="2195">
        <f>HOA!P27</f>
        <v/>
      </c>
      <c r="J11" s="2196">
        <f>J12*C3</f>
        <v/>
      </c>
      <c r="K11" s="2203" t="n"/>
    </row>
    <row r="12">
      <c r="E12" s="103" t="n"/>
      <c r="H12" s="2198">
        <f>H11/$O$2</f>
        <v/>
      </c>
      <c r="I12" s="2198">
        <f>I11/$O$2</f>
        <v/>
      </c>
      <c r="J12" s="2199" t="n"/>
    </row>
    <row r="13" ht="11.25" customHeight="1" s="1449">
      <c r="E13" s="103" t="n"/>
      <c r="F13" s="101" t="n"/>
      <c r="G13" s="2204" t="n"/>
      <c r="H13" s="2204" t="n"/>
      <c r="I13" s="2204" t="n"/>
      <c r="J13" s="2201" t="n"/>
    </row>
    <row r="14">
      <c r="E14" s="103" t="inlineStr">
        <is>
          <t>CAM Repairs and Maintenance</t>
        </is>
      </c>
      <c r="F14" s="2193">
        <f>CED!AA13</f>
        <v/>
      </c>
      <c r="G14" s="2194">
        <f>CED!AB13</f>
        <v/>
      </c>
      <c r="H14" s="2205">
        <f>HOA!M28</f>
        <v/>
      </c>
      <c r="I14" s="2205">
        <f>HOA!P28</f>
        <v/>
      </c>
      <c r="J14" s="2196">
        <f>J15*C3</f>
        <v/>
      </c>
      <c r="K14" s="2203" t="n"/>
    </row>
    <row r="15">
      <c r="E15" s="103" t="n"/>
      <c r="H15" s="2206">
        <f>H14/$O$2</f>
        <v/>
      </c>
      <c r="I15" s="2206">
        <f>I14/$O$2</f>
        <v/>
      </c>
      <c r="J15" s="2199" t="n"/>
    </row>
    <row r="16" ht="10.5" customHeight="1" s="1449">
      <c r="E16" s="103" t="n"/>
      <c r="F16" s="101" t="n"/>
      <c r="G16" s="2204" t="n"/>
      <c r="H16" s="2207" t="n"/>
      <c r="I16" s="2207" t="n"/>
      <c r="J16" s="2201" t="n"/>
    </row>
    <row r="17">
      <c r="E17" s="103" t="inlineStr">
        <is>
          <t>Management</t>
        </is>
      </c>
      <c r="F17" s="2204" t="inlineStr">
        <is>
          <t>N/R</t>
        </is>
      </c>
      <c r="G17" s="2200" t="inlineStr">
        <is>
          <t>N/R</t>
        </is>
      </c>
      <c r="H17" s="2205">
        <f>HOA!M30</f>
        <v/>
      </c>
      <c r="I17" s="2205">
        <f>HOA!P30</f>
        <v/>
      </c>
      <c r="J17" s="2196">
        <f>PF!G9*0.03</f>
        <v/>
      </c>
      <c r="K17" s="2203" t="n"/>
    </row>
    <row r="18">
      <c r="E18" s="103" t="n"/>
      <c r="H18" s="2206">
        <f>H17/$O$2</f>
        <v/>
      </c>
      <c r="I18" s="2206">
        <f>I17/$O$2</f>
        <v/>
      </c>
      <c r="J18" s="2199">
        <f>J17/C3</f>
        <v/>
      </c>
    </row>
    <row r="19" ht="10.5" customHeight="1" s="1449">
      <c r="E19" s="103" t="n"/>
      <c r="F19" s="101" t="n"/>
      <c r="G19" s="2204" t="n"/>
      <c r="H19" s="2207" t="n"/>
      <c r="I19" s="2207" t="n"/>
      <c r="J19" s="2201" t="n"/>
    </row>
    <row r="20" hidden="1" s="1449">
      <c r="E20" s="103" t="inlineStr">
        <is>
          <t>Replacement Reserves</t>
        </is>
      </c>
      <c r="H20" s="2204">
        <f>H21/NRA</f>
        <v/>
      </c>
      <c r="I20" s="2204">
        <f>I21/NRA</f>
        <v/>
      </c>
      <c r="J20" s="2208" t="n">
        <v>0</v>
      </c>
      <c r="K20" s="2209" t="n"/>
    </row>
    <row r="21" hidden="1" s="1449">
      <c r="E21" s="103" t="n"/>
      <c r="F21" s="2204" t="n">
        <v>0</v>
      </c>
      <c r="G21" s="2204" t="n">
        <v>0</v>
      </c>
      <c r="H21" s="2204" t="n">
        <v>0</v>
      </c>
      <c r="I21" s="2204" t="n">
        <v>0</v>
      </c>
      <c r="J21" s="2210">
        <f>J20/$O$2</f>
        <v/>
      </c>
    </row>
    <row r="22" hidden="1" s="1449">
      <c r="E22" s="103" t="n"/>
      <c r="F22" s="101" t="n"/>
      <c r="G22" s="2204" t="n"/>
      <c r="H22" s="2204" t="n"/>
      <c r="I22" s="2204" t="n"/>
      <c r="J22" s="2211" t="n"/>
    </row>
    <row r="23" ht="12.75" customHeight="1" s="1449">
      <c r="E23" s="153" t="inlineStr">
        <is>
          <t>Total Operating Expenses</t>
        </is>
      </c>
      <c r="F23" s="163" t="n"/>
      <c r="G23" s="2212" t="n"/>
      <c r="H23" s="2213">
        <f>SUM(H5,H8,H11,H14,#REF!,H17,H20)</f>
        <v/>
      </c>
      <c r="I23" s="2213">
        <f>SUM(I5,I8,I11,I14,#REF!,I17,I20)</f>
        <v/>
      </c>
      <c r="J23" s="2214">
        <f>SUM(J5,J8,J11,J14,J17)</f>
        <v/>
      </c>
      <c r="K23" s="2215" t="n"/>
    </row>
    <row r="24" ht="12.75" customHeight="1" s="1449">
      <c r="E24" s="158" t="inlineStr">
        <is>
          <t>Total Operating Expenses Per SF</t>
        </is>
      </c>
      <c r="F24" s="2216" t="n"/>
      <c r="G24" s="2217" t="n"/>
      <c r="H24" s="2218">
        <f>SUM(H6,H9,H12,H15,#REF!,H18,H21)</f>
        <v/>
      </c>
      <c r="I24" s="2218">
        <f>SUM(I6,I9,I12,I15,#REF!,I18,I21)</f>
        <v/>
      </c>
      <c r="J24" s="2219">
        <f>J23/C3</f>
        <v/>
      </c>
      <c r="K24" s="162" t="n"/>
    </row>
    <row r="28">
      <c r="H28" s="2093">
        <f>H17/HOA!M22</f>
        <v/>
      </c>
      <c r="I28" s="2093">
        <f>I17/HOA!P22</f>
        <v/>
      </c>
    </row>
    <row r="29">
      <c r="H29" s="151">
        <f>J23</f>
        <v/>
      </c>
    </row>
    <row r="30">
      <c r="H30" t="n">
        <v>0</v>
      </c>
    </row>
    <row r="31">
      <c r="H31" s="151">
        <f>SUM(H29:H30)</f>
        <v/>
      </c>
    </row>
    <row r="32">
      <c r="H32">
        <f>#REF!</f>
        <v/>
      </c>
    </row>
    <row r="34">
      <c r="H34" s="151">
        <f>SUM(H31:H32)</f>
        <v/>
      </c>
      <c r="I34">
        <f>J17</f>
        <v/>
      </c>
      <c r="J34" s="152">
        <f>I34/H34</f>
        <v/>
      </c>
    </row>
  </sheetData>
  <mergeCells count="17">
    <mergeCell ref="G5:G6"/>
    <mergeCell ref="G17:G18"/>
    <mergeCell ref="G8:G9"/>
    <mergeCell ref="K17:K19"/>
    <mergeCell ref="F8:F9"/>
    <mergeCell ref="F17:F18"/>
    <mergeCell ref="K11:K13"/>
    <mergeCell ref="K20:K22"/>
    <mergeCell ref="K8:K10"/>
    <mergeCell ref="K5:K7"/>
    <mergeCell ref="F5:F6"/>
    <mergeCell ref="K14:K16"/>
    <mergeCell ref="E2:K2"/>
    <mergeCell ref="F11:F12"/>
    <mergeCell ref="G11:G12"/>
    <mergeCell ref="G14:G15"/>
    <mergeCell ref="F14:F15"/>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E2:H18"/>
  <sheetViews>
    <sheetView showGridLines="0" workbookViewId="0">
      <selection activeCell="G16" sqref="G16"/>
    </sheetView>
  </sheetViews>
  <sheetFormatPr baseColWidth="8" defaultRowHeight="15"/>
  <cols>
    <col width="33.85546875" customWidth="1" style="1449" min="5" max="5"/>
    <col width="6.5703125" customWidth="1" style="1449" min="6" max="6"/>
    <col width="9.5703125" bestFit="1" customWidth="1" style="1449" min="7" max="7"/>
  </cols>
  <sheetData>
    <row r="2" ht="15.75" customHeight="1" s="1449">
      <c r="E2" s="1659" t="inlineStr">
        <is>
          <t>PRO FORMA OPERATIONS</t>
        </is>
      </c>
      <c r="F2" s="1660" t="n"/>
      <c r="G2" s="1660" t="n"/>
      <c r="H2" s="1660" t="n"/>
    </row>
    <row r="3" ht="15" customHeight="1" s="1449">
      <c r="E3" s="1" t="inlineStr">
        <is>
          <t>Income</t>
        </is>
      </c>
      <c r="F3" s="1" t="n"/>
      <c r="G3" s="167" t="inlineStr">
        <is>
          <t>$</t>
        </is>
      </c>
      <c r="H3" s="167" t="inlineStr">
        <is>
          <t>Per SF</t>
        </is>
      </c>
    </row>
    <row r="4" ht="12.75" customHeight="1" s="1449">
      <c r="E4" s="168" t="inlineStr">
        <is>
          <t>Gross Potential Rent</t>
        </is>
      </c>
      <c r="F4" s="169" t="n"/>
      <c r="G4" s="2220">
        <f>#REF!</f>
        <v/>
      </c>
      <c r="H4" s="2221">
        <f>G4/LA!C5</f>
        <v/>
      </c>
    </row>
    <row r="5" ht="12.75" customHeight="1" s="1449">
      <c r="E5" s="168" t="inlineStr">
        <is>
          <t>Expense Recoveries</t>
        </is>
      </c>
      <c r="F5" s="169" t="n"/>
      <c r="G5" s="2222" t="n">
        <v>0</v>
      </c>
      <c r="H5" s="2221">
        <f>G5/LA!C5</f>
        <v/>
      </c>
    </row>
    <row r="6" ht="12.75" customHeight="1" s="1449">
      <c r="E6" s="188" t="inlineStr">
        <is>
          <t>Total Potential Gross Income</t>
        </is>
      </c>
      <c r="F6" s="207" t="n"/>
      <c r="G6" s="2223">
        <f>SUM(G4:G5)</f>
        <v/>
      </c>
      <c r="H6" s="2224">
        <f>G6/LA!C5</f>
        <v/>
      </c>
    </row>
    <row r="7" ht="12.75" customHeight="1" s="1449">
      <c r="E7" s="168" t="inlineStr">
        <is>
          <t>Less Vacancy/Collection Loss</t>
        </is>
      </c>
      <c r="F7" s="171">
        <f>#REF!</f>
        <v/>
      </c>
      <c r="G7" s="2225">
        <f>-(F7*G6)</f>
        <v/>
      </c>
      <c r="H7" s="2221">
        <f>G7/LA!C5</f>
        <v/>
      </c>
    </row>
    <row r="8" hidden="1" ht="12.75" customHeight="1" s="1449">
      <c r="E8" s="168" t="inlineStr">
        <is>
          <t>Less Collection Loss</t>
        </is>
      </c>
      <c r="F8" s="171" t="n">
        <v>0</v>
      </c>
      <c r="G8" s="2225">
        <f>-(F8*G6)</f>
        <v/>
      </c>
      <c r="H8" s="2221">
        <f>G8/LA!C5</f>
        <v/>
      </c>
    </row>
    <row r="9" ht="12.75" customHeight="1" s="1449">
      <c r="E9" s="188" t="inlineStr">
        <is>
          <t>Effective Gross Income (EGI)</t>
        </is>
      </c>
      <c r="F9" s="207" t="n"/>
      <c r="G9" s="2223">
        <f>SUM(G6:G8)</f>
        <v/>
      </c>
      <c r="H9" s="2226">
        <f>G9/LA!C5</f>
        <v/>
      </c>
    </row>
    <row r="10" ht="15" customHeight="1" s="1449">
      <c r="E10" s="173" t="inlineStr">
        <is>
          <t xml:space="preserve">Expenses  </t>
        </is>
      </c>
      <c r="F10" s="174" t="n"/>
      <c r="G10" s="2227" t="n"/>
      <c r="H10" s="2228" t="n"/>
    </row>
    <row r="11" ht="12.75" customHeight="1" s="1449">
      <c r="E11" s="168" t="inlineStr">
        <is>
          <t>Real Estate Taxes</t>
        </is>
      </c>
      <c r="F11" s="177" t="n"/>
      <c r="G11" s="2225" t="n">
        <v>0</v>
      </c>
      <c r="H11" s="2229">
        <f>G11/LA!$C$5</f>
        <v/>
      </c>
    </row>
    <row r="12" ht="12.75" customHeight="1" s="1449">
      <c r="E12" s="168" t="inlineStr">
        <is>
          <t>Insurance</t>
        </is>
      </c>
      <c r="F12" s="177" t="n"/>
      <c r="G12" s="2225" t="n">
        <v>0</v>
      </c>
      <c r="H12" s="2229">
        <f>G12/LA!$C$5</f>
        <v/>
      </c>
    </row>
    <row r="13" ht="12.75" customHeight="1" s="1449">
      <c r="E13" s="168" t="inlineStr">
        <is>
          <t>Utilities</t>
        </is>
      </c>
      <c r="F13" s="177" t="n"/>
      <c r="G13" s="2225" t="n">
        <v>0</v>
      </c>
      <c r="H13" s="2229">
        <f>G13/LA!$C$5</f>
        <v/>
      </c>
    </row>
    <row r="14" ht="12.75" customHeight="1" s="1449">
      <c r="E14" s="168" t="inlineStr">
        <is>
          <t>CAM Repairs and Maintenance</t>
        </is>
      </c>
      <c r="F14" s="169" t="n"/>
      <c r="G14" s="2225" t="n">
        <v>0</v>
      </c>
      <c r="H14" s="2229">
        <f>G14/LA!$C$5</f>
        <v/>
      </c>
    </row>
    <row r="15" ht="12.75" customHeight="1" s="1449">
      <c r="E15" s="168" t="inlineStr">
        <is>
          <t>Management</t>
        </is>
      </c>
      <c r="F15" s="169" t="n"/>
      <c r="G15" s="2225" t="n">
        <v>0</v>
      </c>
      <c r="H15" s="2229">
        <f>G15/LA!$C$5</f>
        <v/>
      </c>
    </row>
    <row r="16" ht="12.75" customHeight="1" s="1449">
      <c r="E16" s="168" t="inlineStr">
        <is>
          <t>Replacement Reserves</t>
        </is>
      </c>
      <c r="F16" s="169" t="n"/>
      <c r="G16" s="2225">
        <f>H16*#REF!</f>
        <v/>
      </c>
      <c r="H16" s="2229" t="n">
        <v>0.25</v>
      </c>
    </row>
    <row r="17" ht="12.75" customHeight="1" s="1449">
      <c r="E17" s="170" t="inlineStr">
        <is>
          <t>Total Expenses</t>
        </is>
      </c>
      <c r="F17" s="2230">
        <f>G17/G9</f>
        <v/>
      </c>
      <c r="G17" s="2231">
        <f>SUM(G11:G16)</f>
        <v/>
      </c>
      <c r="H17" s="2232">
        <f>G17/LA!C5</f>
        <v/>
      </c>
    </row>
    <row r="18" ht="12.75" customHeight="1" s="1449">
      <c r="E18" s="188" t="inlineStr">
        <is>
          <t>Net Operating Income (NOI)</t>
        </is>
      </c>
      <c r="F18" s="207" t="n"/>
      <c r="G18" s="2223">
        <f>G9-G17</f>
        <v/>
      </c>
      <c r="H18" s="2226">
        <f>G18/LA!C5</f>
        <v/>
      </c>
    </row>
  </sheetData>
  <mergeCells count="1">
    <mergeCell ref="E2:H2"/>
  </mergeCells>
  <dataValidations count="4">
    <dataValidation sqref="F8" showDropDown="0" showInputMessage="1" showErrorMessage="1" allowBlank="1" prompt="Autopopulates from Collection Loss entered in Cell D5._x000a_"/>
    <dataValidation sqref="F7" showDropDown="0" showInputMessage="1" showErrorMessage="1" allowBlank="1" prompt="Autopopulates from Physical Vacancy entered in Cell D4._x000a_"/>
    <dataValidation sqref="G5" showDropDown="0" showInputMessage="1" showErrorMessage="1" allowBlank="1" prompt="Enter recoverable expenses amount from the relevant Expense Recoveries table on the Recoveries tab (e.g. Multi-tenant or Single-tenant)._x000a_"/>
    <dataValidation sqref="G4" showDropDown="0" showInputMessage="1" showErrorMessage="1" allowBlank="1" prompt="Gross Potential Rent default autopopulates for Multi-Tenant Properties from the RentRoll tab (Cell C13).  If you have a Single-Tenant Property, change this to pull from the STMarketRentConclusions, Gross Potential Rent (Cell C20)."/>
  </dataValidations>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B2:U63"/>
  <sheetViews>
    <sheetView showGridLines="0" workbookViewId="0">
      <selection activeCell="T49" sqref="T49"/>
    </sheetView>
  </sheetViews>
  <sheetFormatPr baseColWidth="8" defaultRowHeight="15"/>
  <cols>
    <col width="6.28515625" customWidth="1" style="1449" min="2" max="2"/>
    <col width="23" bestFit="1" customWidth="1" style="1449" min="3" max="3"/>
    <col hidden="1" width="9.7109375" customWidth="1" style="1449" min="4" max="4"/>
    <col hidden="1" width="38.140625" customWidth="1" style="1449" min="5" max="5"/>
    <col hidden="1" width="9.7109375" customWidth="1" style="1449" min="6" max="6"/>
    <col hidden="1" width="13.85546875" customWidth="1" style="1449" min="7" max="7"/>
    <col hidden="1" width="7.140625" customWidth="1" style="1449" min="8" max="8"/>
    <col hidden="1" width="9" customWidth="1" style="1449" min="9" max="9"/>
    <col hidden="1" width="8.42578125" customWidth="1" style="1449" min="10" max="10"/>
    <col hidden="1" width="7.140625" customWidth="1" style="1449" min="11" max="11"/>
    <col hidden="1" width="9.140625" customWidth="1" style="1449" min="12" max="12"/>
    <col hidden="1" width="11.42578125" customWidth="1" style="1449" min="13" max="13"/>
    <col width="12" bestFit="1" customWidth="1" style="1449" min="15" max="15"/>
    <col width="25.5703125" customWidth="1" style="1449" min="16" max="18"/>
    <col width="32.85546875" bestFit="1" customWidth="1" style="1449" min="20" max="20"/>
    <col width="20.7109375" bestFit="1" customWidth="1" style="1449" min="21" max="21"/>
  </cols>
  <sheetData>
    <row r="2" ht="15.75" customHeight="1" s="1449">
      <c r="B2" s="1562" t="inlineStr">
        <is>
          <t xml:space="preserve"> MARKET DERIVED CAPITALIZATION RATE SUMMARY</t>
        </is>
      </c>
    </row>
    <row r="3" ht="26.25" customHeight="1" s="1449">
      <c r="B3" s="1650" t="inlineStr">
        <is>
          <t>No.</t>
        </is>
      </c>
      <c r="C3" s="1650" t="inlineStr">
        <is>
          <t>Name</t>
        </is>
      </c>
      <c r="D3" s="1650" t="inlineStr">
        <is>
          <t>Type</t>
        </is>
      </c>
      <c r="E3" s="181" t="inlineStr">
        <is>
          <t>Location</t>
        </is>
      </c>
      <c r="F3" s="182" t="inlineStr">
        <is>
          <t>Date of
Sale</t>
        </is>
      </c>
      <c r="G3" s="182" t="inlineStr">
        <is>
          <t>Year
Built</t>
        </is>
      </c>
      <c r="H3" s="182" t="inlineStr">
        <is>
          <t>Size</t>
        </is>
      </c>
      <c r="I3" s="182" t="inlineStr">
        <is>
          <t>Occupancy</t>
        </is>
      </c>
      <c r="J3" s="182" t="inlineStr">
        <is>
          <t>Sale Price
PSF</t>
        </is>
      </c>
      <c r="K3" s="182" t="inlineStr">
        <is>
          <t>NOI 
PSF</t>
        </is>
      </c>
      <c r="L3" s="182" t="inlineStr">
        <is>
          <t>Lease Remaining</t>
        </is>
      </c>
      <c r="M3" s="182" t="inlineStr">
        <is>
          <t>Capitalization
Rate</t>
        </is>
      </c>
      <c r="Q3" s="1757" t="n"/>
    </row>
    <row r="4" ht="12.75" customHeight="1" s="1449">
      <c r="B4" s="169" t="n">
        <v>1</v>
      </c>
      <c r="C4" s="169" t="n"/>
      <c r="D4" s="169" t="n"/>
      <c r="E4" s="13" t="n"/>
      <c r="F4" s="2233" t="n"/>
      <c r="G4" s="347" t="n"/>
      <c r="H4" s="348" t="n"/>
      <c r="I4" s="349" t="n"/>
      <c r="J4" s="2234" t="n"/>
      <c r="K4" s="2235" t="n"/>
      <c r="L4" s="349" t="n"/>
      <c r="M4" s="351" t="n"/>
      <c r="N4" s="1757" t="n"/>
      <c r="O4" s="2236" t="n"/>
      <c r="P4" s="676" t="n"/>
      <c r="Q4" s="2236" t="n"/>
      <c r="R4" s="1757" t="n"/>
      <c r="S4" s="152" t="n"/>
    </row>
    <row r="5" ht="12.75" customHeight="1" s="1449">
      <c r="B5" s="169" t="n">
        <v>2</v>
      </c>
      <c r="C5" s="169" t="n"/>
      <c r="D5" s="169" t="n"/>
      <c r="E5" s="13" t="n"/>
      <c r="F5" s="2233" t="n"/>
      <c r="G5" s="347" t="n"/>
      <c r="H5" s="348" t="n"/>
      <c r="I5" s="349" t="n"/>
      <c r="J5" s="2234" t="n"/>
      <c r="K5" s="2235" t="n"/>
      <c r="L5" s="349" t="n"/>
      <c r="M5" s="351" t="n"/>
      <c r="O5" s="2236" t="n"/>
      <c r="P5" s="676" t="n"/>
      <c r="Q5" s="2236" t="n"/>
      <c r="R5" s="1757" t="n"/>
      <c r="S5" s="152" t="n"/>
    </row>
    <row r="6" ht="12.75" customHeight="1" s="1449">
      <c r="B6" s="169" t="n">
        <v>3</v>
      </c>
      <c r="C6" s="169" t="n"/>
      <c r="D6" s="169" t="n"/>
      <c r="E6" s="345" t="n"/>
      <c r="F6" s="2233" t="n"/>
      <c r="G6" s="352" t="n"/>
      <c r="H6" s="348" t="n"/>
      <c r="I6" s="349" t="n"/>
      <c r="J6" s="2234" t="n"/>
      <c r="K6" s="2235" t="n"/>
      <c r="L6" s="349" t="n"/>
      <c r="M6" s="351" t="n"/>
      <c r="O6" s="2236" t="n"/>
      <c r="P6" s="676" t="n"/>
      <c r="Q6" s="2236" t="n"/>
      <c r="R6" s="1757" t="n"/>
      <c r="S6" s="152" t="n"/>
    </row>
    <row r="7" ht="12.75" customHeight="1" s="1449">
      <c r="B7" s="169" t="n">
        <v>4</v>
      </c>
      <c r="C7" s="169" t="n"/>
      <c r="D7" s="169" t="n"/>
      <c r="E7" s="13" t="n"/>
      <c r="F7" s="2233" t="n"/>
      <c r="G7" s="347" t="n"/>
      <c r="H7" s="348" t="n"/>
      <c r="I7" s="349" t="n"/>
      <c r="J7" s="2234" t="n"/>
      <c r="K7" s="2235" t="n"/>
      <c r="L7" s="349" t="n"/>
      <c r="M7" s="351" t="n"/>
      <c r="O7" s="2236" t="n"/>
      <c r="P7" s="676" t="n"/>
      <c r="Q7" s="2236" t="n"/>
      <c r="R7" s="1757" t="n"/>
      <c r="S7" s="152" t="n"/>
    </row>
    <row r="8" ht="12.75" customHeight="1" s="1449">
      <c r="B8" s="169" t="n">
        <v>5</v>
      </c>
      <c r="C8" s="169" t="n"/>
      <c r="D8" s="169" t="n"/>
      <c r="E8" s="345" t="n"/>
      <c r="F8" s="2233" t="n"/>
      <c r="G8" s="347" t="n"/>
      <c r="H8" s="348" t="n"/>
      <c r="I8" s="349" t="n"/>
      <c r="J8" s="2234" t="n"/>
      <c r="K8" s="2235" t="n"/>
      <c r="L8" s="349" t="n"/>
      <c r="M8" s="351" t="n"/>
      <c r="O8" s="2236" t="n"/>
      <c r="P8" s="676" t="n"/>
      <c r="Q8" s="2236" t="n"/>
      <c r="R8" s="1757" t="n"/>
      <c r="S8" s="152" t="n"/>
    </row>
    <row r="9" ht="12.75" customHeight="1" s="1449">
      <c r="B9" s="169" t="n">
        <v>6</v>
      </c>
      <c r="C9" s="169" t="n"/>
      <c r="D9" s="169" t="n"/>
      <c r="E9" s="13" t="n"/>
      <c r="F9" s="2233" t="n"/>
      <c r="G9" s="347" t="n"/>
      <c r="H9" s="348" t="n"/>
      <c r="I9" s="349" t="n"/>
      <c r="J9" s="2234" t="n"/>
      <c r="K9" s="2235" t="n"/>
      <c r="L9" s="349" t="n"/>
      <c r="M9" s="351" t="n"/>
      <c r="O9" s="2236" t="n"/>
      <c r="P9" s="676" t="n"/>
      <c r="Q9" s="2236" t="n"/>
      <c r="R9" s="1757" t="n"/>
      <c r="S9" s="152" t="n"/>
    </row>
    <row r="10" ht="12.75" customHeight="1" s="1449">
      <c r="B10" s="169" t="n">
        <v>7</v>
      </c>
      <c r="C10" s="169" t="n"/>
      <c r="D10" s="169" t="n"/>
      <c r="E10" s="345" t="n"/>
      <c r="F10" s="2233" t="n"/>
      <c r="G10" s="347" t="n"/>
      <c r="H10" s="348" t="n"/>
      <c r="I10" s="349" t="n"/>
      <c r="J10" s="2234" t="n"/>
      <c r="K10" s="2235" t="n"/>
      <c r="L10" s="349" t="n"/>
      <c r="M10" s="351" t="n"/>
      <c r="O10" s="2236" t="n"/>
      <c r="P10" s="676" t="n"/>
      <c r="Q10" s="2236" t="n"/>
      <c r="R10" s="1757" t="n"/>
      <c r="S10" s="152" t="n"/>
    </row>
    <row r="11" ht="12.75" customHeight="1" s="1449">
      <c r="B11" s="169" t="n">
        <v>8</v>
      </c>
      <c r="C11" s="169" t="n"/>
      <c r="D11" s="169" t="n"/>
      <c r="E11" s="345" t="n"/>
      <c r="F11" s="2233" t="n"/>
      <c r="G11" s="347" t="n"/>
      <c r="H11" s="348" t="n"/>
      <c r="I11" s="349" t="n"/>
      <c r="J11" s="2234" t="n"/>
      <c r="K11" s="2235" t="n"/>
      <c r="L11" s="349" t="n"/>
      <c r="M11" s="351" t="n"/>
      <c r="O11" s="2236" t="n"/>
      <c r="P11" s="676" t="n"/>
      <c r="Q11" s="2236" t="n"/>
      <c r="R11" s="1757" t="n"/>
      <c r="S11" s="152" t="n"/>
    </row>
    <row r="12" hidden="1" ht="12.75" customHeight="1" s="1449">
      <c r="B12" s="169" t="n">
        <v>9</v>
      </c>
      <c r="C12" s="169" t="n"/>
      <c r="D12" s="169" t="n"/>
      <c r="E12" s="13" t="n"/>
      <c r="F12" s="2237" t="n"/>
      <c r="G12" s="271" t="n"/>
      <c r="H12" s="272" t="n"/>
      <c r="I12" s="273" t="n"/>
      <c r="J12" s="2238" t="n"/>
      <c r="K12" s="2239" t="n"/>
      <c r="L12" s="273" t="n"/>
      <c r="M12" s="171" t="n"/>
    </row>
    <row r="13" hidden="1" ht="12.75" customHeight="1" s="1449">
      <c r="B13" s="169" t="n"/>
      <c r="C13" s="169" t="n"/>
      <c r="D13" s="169" t="n"/>
      <c r="E13" s="13" t="n"/>
      <c r="F13" s="2237" t="n"/>
      <c r="G13" s="271" t="n"/>
      <c r="H13" s="271" t="n"/>
      <c r="I13" s="271" t="n"/>
      <c r="J13" s="271" t="n"/>
      <c r="K13" s="271" t="n"/>
      <c r="L13" s="271" t="n"/>
      <c r="M13" s="171" t="n"/>
    </row>
    <row r="14" ht="12.75" customHeight="1" s="1449">
      <c r="B14" s="183" t="inlineStr">
        <is>
          <t xml:space="preserve"> Low</t>
        </is>
      </c>
      <c r="C14" s="183" t="n"/>
      <c r="D14" s="183" t="n"/>
      <c r="E14" s="184" t="n"/>
      <c r="F14" s="184" t="n"/>
      <c r="G14" s="184" t="n"/>
      <c r="H14" s="184" t="n"/>
      <c r="I14" s="184" t="n"/>
      <c r="J14" s="184" t="n"/>
      <c r="K14" s="184" t="n"/>
      <c r="L14" s="184" t="n"/>
      <c r="M14" s="185">
        <f>ROUND(MIN(M4:M13),4)</f>
        <v/>
      </c>
    </row>
    <row r="15" ht="12.75" customHeight="1" s="1449">
      <c r="B15" s="13" t="inlineStr">
        <is>
          <t xml:space="preserve"> High</t>
        </is>
      </c>
      <c r="C15" s="13" t="n"/>
      <c r="D15" s="13" t="n"/>
      <c r="E15" s="186" t="n"/>
      <c r="F15" s="186" t="n"/>
      <c r="G15" s="186" t="n"/>
      <c r="H15" s="186" t="n"/>
      <c r="I15" s="186" t="n"/>
      <c r="J15" s="186" t="n"/>
      <c r="K15" s="186" t="n"/>
      <c r="L15" s="186" t="n"/>
      <c r="M15" s="187">
        <f>ROUND(MAX(M4:M13),4)</f>
        <v/>
      </c>
    </row>
    <row r="16" ht="12.75" customHeight="1" s="1449">
      <c r="B16" s="13" t="inlineStr">
        <is>
          <t xml:space="preserve"> Median</t>
        </is>
      </c>
      <c r="C16" s="13" t="n"/>
      <c r="D16" s="13" t="n"/>
      <c r="E16" s="186" t="n"/>
      <c r="F16" s="186" t="n"/>
      <c r="G16" s="186" t="n"/>
      <c r="H16" s="186" t="n"/>
      <c r="I16" s="186" t="n"/>
      <c r="J16" s="186" t="n"/>
      <c r="K16" s="186" t="n"/>
      <c r="L16" s="186" t="n"/>
      <c r="M16" s="187">
        <f>ROUND(MEDIAN(M4:M13),4)</f>
        <v/>
      </c>
    </row>
    <row r="17" ht="12.75" customHeight="1" s="1449">
      <c r="B17" s="13" t="inlineStr">
        <is>
          <t xml:space="preserve"> Average</t>
        </is>
      </c>
      <c r="C17" s="13" t="n"/>
      <c r="D17" s="13" t="n"/>
      <c r="E17" s="186" t="n"/>
      <c r="F17" s="186" t="n"/>
      <c r="G17" s="186" t="n"/>
      <c r="H17" s="186" t="n"/>
      <c r="I17" s="186" t="n"/>
      <c r="J17" s="186" t="n"/>
      <c r="K17" s="186" t="n"/>
      <c r="L17" s="186" t="n"/>
      <c r="M17" s="187">
        <f>ROUND(AVERAGE(M4:M12),4)</f>
        <v/>
      </c>
    </row>
    <row r="18" ht="12.75" customHeight="1" s="1449">
      <c r="B18" s="188" t="inlineStr">
        <is>
          <t>Appraiser's Concluded Range</t>
        </is>
      </c>
      <c r="C18" s="188" t="n"/>
      <c r="D18" s="188" t="n"/>
      <c r="E18" s="188" t="n"/>
      <c r="F18" s="188" t="n"/>
      <c r="G18" s="188" t="n"/>
      <c r="H18" s="188" t="n"/>
      <c r="I18" s="188" t="n"/>
      <c r="J18" s="188" t="n"/>
      <c r="K18" s="188" t="n"/>
      <c r="L18" s="188" t="n"/>
      <c r="M18" s="189" t="n"/>
    </row>
    <row r="20">
      <c r="O20" s="1562" t="inlineStr">
        <is>
          <t>Third Party Surveys - Capitalization Rates</t>
        </is>
      </c>
    </row>
    <row r="21">
      <c r="O21" s="69" t="inlineStr">
        <is>
          <t>Category</t>
        </is>
      </c>
      <c r="P21" s="1650" t="n"/>
      <c r="Q21" s="1650" t="n"/>
      <c r="R21" s="1650" t="n"/>
    </row>
    <row r="22" ht="12.75" customHeight="1" s="1449">
      <c r="O22" s="672" t="inlineStr">
        <is>
          <t>Date of Survey</t>
        </is>
      </c>
      <c r="P22" s="734" t="n"/>
      <c r="Q22" s="734" t="n"/>
      <c r="R22" s="734" t="n"/>
    </row>
    <row r="23" ht="12.75" customHeight="1" s="1449">
      <c r="O23" s="672" t="inlineStr">
        <is>
          <t>Market</t>
        </is>
      </c>
      <c r="P23" s="735" t="n"/>
      <c r="Q23" s="735" t="n"/>
      <c r="R23" s="734" t="n"/>
    </row>
    <row r="24" ht="12.75" customHeight="1" s="1449">
      <c r="O24" s="672" t="inlineStr">
        <is>
          <t>Property Type</t>
        </is>
      </c>
      <c r="P24" s="734" t="n"/>
      <c r="Q24" s="734" t="n"/>
      <c r="R24" s="734" t="n"/>
    </row>
    <row r="25" ht="12.75" customHeight="1" s="1449">
      <c r="O25" s="673" t="inlineStr">
        <is>
          <t>Range Average</t>
        </is>
      </c>
      <c r="P25" s="736" t="n"/>
      <c r="Q25" s="737" t="n"/>
      <c r="R25" s="736" t="n"/>
    </row>
    <row r="26" ht="12.75" customHeight="1" s="1449">
      <c r="O26" s="674" t="inlineStr">
        <is>
          <t>Average</t>
        </is>
      </c>
      <c r="P26" s="738" t="n"/>
      <c r="Q26" s="739" t="n"/>
      <c r="R26" s="738" t="n"/>
    </row>
    <row r="27" hidden="1" ht="12.75" customHeight="1" s="1449">
      <c r="O27" s="232" t="n"/>
      <c r="P27" s="230" t="n"/>
      <c r="Q27" s="231" t="n"/>
    </row>
    <row r="28" hidden="1" ht="12.75" customHeight="1" s="1449">
      <c r="O28" s="232" t="n"/>
      <c r="P28" s="230" t="n"/>
      <c r="Q28" s="231" t="n"/>
    </row>
    <row r="29" hidden="1" ht="12.75" customHeight="1" s="1449">
      <c r="O29" s="232" t="n"/>
      <c r="P29" s="230" t="n"/>
      <c r="Q29" s="231" t="n"/>
    </row>
    <row r="30" ht="12.75" customHeight="1" s="1449">
      <c r="O30" s="229" t="n"/>
      <c r="P30" s="230" t="n"/>
      <c r="Q30" s="231" t="n"/>
    </row>
    <row r="31" ht="12.75" customHeight="1" s="1449">
      <c r="O31" s="232" t="n"/>
      <c r="P31" s="230" t="n"/>
      <c r="Q31" s="231" t="n"/>
    </row>
    <row r="32" hidden="1" ht="12.75" customHeight="1" s="1449">
      <c r="O32" s="232" t="n"/>
      <c r="P32" s="230" t="n"/>
      <c r="Q32" s="231" t="n"/>
    </row>
    <row r="33" hidden="1" ht="12.75" customHeight="1" s="1449">
      <c r="O33" s="232" t="n"/>
      <c r="P33" s="230" t="n"/>
      <c r="Q33" s="231" t="n"/>
    </row>
    <row r="34" hidden="1" ht="12.75" customHeight="1" s="1449">
      <c r="O34" s="229" t="n"/>
      <c r="P34" s="353" t="n"/>
      <c r="Q34" s="354" t="n"/>
    </row>
    <row r="35" hidden="1" ht="12.75" customHeight="1" s="1449">
      <c r="O35" s="232" t="n"/>
      <c r="P35" s="230" t="n"/>
      <c r="Q35" s="231" t="n"/>
    </row>
    <row r="36" hidden="1" ht="12.75" customHeight="1" s="1449">
      <c r="O36" s="232" t="n"/>
      <c r="P36" s="230" t="n"/>
      <c r="Q36" s="231" t="n"/>
    </row>
    <row r="37" ht="12.75" customHeight="1" s="1449">
      <c r="O37" s="233" t="n"/>
      <c r="P37" s="234" t="n"/>
      <c r="Q37" s="189" t="n"/>
    </row>
    <row r="40" ht="15" customHeight="1" s="1449">
      <c r="T40" s="1661" t="inlineStr">
        <is>
          <t>SUMMARY CAPITALIZATION RATE AND CONCLUSION</t>
        </is>
      </c>
    </row>
    <row r="41">
      <c r="T41" s="1" t="inlineStr">
        <is>
          <t>Method</t>
        </is>
      </c>
      <c r="U41" s="235" t="inlineStr">
        <is>
          <t>Capitalization Rate</t>
        </is>
      </c>
    </row>
    <row r="42" hidden="1" s="1449">
      <c r="T42" s="1563" t="inlineStr">
        <is>
          <t>Market Extraction</t>
        </is>
      </c>
      <c r="U42" s="355">
        <f>M18</f>
        <v/>
      </c>
    </row>
    <row r="43" hidden="1" s="1449">
      <c r="T43" s="1563" t="inlineStr">
        <is>
          <t>Investor Surveys</t>
        </is>
      </c>
      <c r="U43" s="355" t="inlineStr">
        <is>
          <t>6.00% - 6.50%</t>
        </is>
      </c>
    </row>
    <row r="44" hidden="1" s="1449">
      <c r="T44" s="1563" t="inlineStr">
        <is>
          <t>Market Participants</t>
        </is>
      </c>
      <c r="U44" s="355">
        <f>iaOARBrokers</f>
        <v/>
      </c>
    </row>
    <row r="45" hidden="1" s="1449">
      <c r="T45" s="1563" t="inlineStr">
        <is>
          <t>Band of Investment</t>
        </is>
      </c>
      <c r="U45" s="355" t="n">
        <v>0.075</v>
      </c>
    </row>
    <row r="46" hidden="1" s="1449">
      <c r="T46" s="1563" t="inlineStr">
        <is>
          <t>DCR</t>
        </is>
      </c>
      <c r="U46" s="355">
        <f>iaOARDCR</f>
        <v/>
      </c>
    </row>
    <row r="47" hidden="1" s="1449">
      <c r="T47" s="3" t="inlineStr">
        <is>
          <t>Primary Weight</t>
        </is>
      </c>
      <c r="U47" s="237" t="inlineStr">
        <is>
          <t>Market Extraction</t>
        </is>
      </c>
    </row>
    <row r="48" hidden="1" s="1449">
      <c r="T48" s="3" t="inlineStr">
        <is>
          <t>Secondary Weight</t>
        </is>
      </c>
      <c r="U48" s="238" t="inlineStr">
        <is>
          <t>Investor Surveys</t>
        </is>
      </c>
    </row>
    <row r="49">
      <c r="T49" s="85" t="inlineStr">
        <is>
          <t>Capitalization Rate Conclusion</t>
        </is>
      </c>
      <c r="U49" s="239" t="n"/>
    </row>
    <row r="52" hidden="1" s="1449"/>
    <row r="53" hidden="1" s="1449">
      <c r="T53" s="1661" t="inlineStr">
        <is>
          <t>LEASE-UP COSTS</t>
        </is>
      </c>
    </row>
    <row r="54" hidden="1" s="1449">
      <c r="T54" s="1" t="inlineStr">
        <is>
          <t>Method</t>
        </is>
      </c>
      <c r="U54" s="235" t="inlineStr">
        <is>
          <t>Capitalization Rate</t>
        </is>
      </c>
    </row>
    <row r="55" hidden="1" ht="12.75" customHeight="1" s="1449">
      <c r="T55" s="298" t="inlineStr">
        <is>
          <t>Preliminary Value</t>
        </is>
      </c>
      <c r="U55" s="2240">
        <f>'IA Values'!G13</f>
        <v/>
      </c>
    </row>
    <row r="56" hidden="1" ht="12.75" customHeight="1" s="1449">
      <c r="T56" s="301" t="inlineStr">
        <is>
          <t>Less: Lost Income</t>
        </is>
      </c>
      <c r="U56" s="2241" t="n"/>
    </row>
    <row r="57" hidden="1" ht="12.75" customHeight="1" s="1449">
      <c r="T57" s="301" t="inlineStr">
        <is>
          <t>Less: Tenant Finish</t>
        </is>
      </c>
      <c r="U57" s="2241">
        <f>iaOARBrokers</f>
        <v/>
      </c>
    </row>
    <row r="58" hidden="1" ht="12.75" customHeight="1" s="1449">
      <c r="T58" s="301" t="inlineStr">
        <is>
          <t>Less: Leasing Commissions</t>
        </is>
      </c>
      <c r="U58" s="2241" t="n"/>
    </row>
    <row r="59" hidden="1" ht="12.75" customHeight="1" s="1449">
      <c r="T59" s="298" t="inlineStr">
        <is>
          <t>Total</t>
        </is>
      </c>
      <c r="U59" s="2242">
        <f>SUM(U56:U58)</f>
        <v/>
      </c>
    </row>
    <row r="60" hidden="1" ht="12.75" customHeight="1" s="1449">
      <c r="T60" s="301" t="inlineStr">
        <is>
          <t>Entrepreneurial Profit</t>
        </is>
      </c>
      <c r="U60" s="2241">
        <f>U59*0.1</f>
        <v/>
      </c>
    </row>
    <row r="61" hidden="1" ht="12.75" customHeight="1" s="1449">
      <c r="T61" s="298" t="inlineStr">
        <is>
          <t>Total Deductions</t>
        </is>
      </c>
      <c r="U61" s="2243">
        <f>SUM(U59,U60)</f>
        <v/>
      </c>
    </row>
    <row r="62" hidden="1" ht="12.75" customHeight="1" s="1449">
      <c r="T62" s="304" t="inlineStr">
        <is>
          <t>"As Is" Value</t>
        </is>
      </c>
      <c r="U62" s="2244">
        <f>U55-U61</f>
        <v/>
      </c>
    </row>
    <row r="63" hidden="1" s="1449">
      <c r="T63" s="85" t="inlineStr">
        <is>
          <t>Rounded Value</t>
        </is>
      </c>
      <c r="U63" s="2245" t="n"/>
    </row>
    <row r="64" hidden="1" s="1449"/>
  </sheetData>
  <mergeCells count="4">
    <mergeCell ref="B2:M2"/>
    <mergeCell ref="T53:U53"/>
    <mergeCell ref="O20:R20"/>
    <mergeCell ref="T40:U40"/>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2:K24"/>
  <sheetViews>
    <sheetView showGridLines="0" workbookViewId="0">
      <selection activeCell="E12" sqref="E12:E13"/>
    </sheetView>
  </sheetViews>
  <sheetFormatPr baseColWidth="8" defaultRowHeight="15"/>
  <cols>
    <col width="45.85546875" customWidth="1" style="1449" min="1" max="1"/>
    <col width="22.85546875" customWidth="1" style="1449" min="2" max="2"/>
    <col width="40.7109375" customWidth="1" style="1449" min="5" max="5"/>
    <col width="13.5703125" bestFit="1" customWidth="1" style="1449" min="10" max="10"/>
  </cols>
  <sheetData>
    <row r="2">
      <c r="K2" s="356">
        <f>#REF!</f>
        <v/>
      </c>
    </row>
    <row r="3" ht="15.75" customHeight="1" s="1449">
      <c r="E3" s="1562" t="inlineStr">
        <is>
          <t>DIRECT CAPITALIZATION METHOD VALUE CONCLUSION - AS IS</t>
        </is>
      </c>
    </row>
    <row r="4" ht="12.75" customHeight="1" s="1449">
      <c r="E4" s="221" t="inlineStr">
        <is>
          <t>Net Operating Income (NOI)</t>
        </is>
      </c>
      <c r="F4" s="221" t="n"/>
      <c r="G4" s="2246">
        <f>#REF!</f>
        <v/>
      </c>
      <c r="H4" s="2247">
        <f>G4/K2</f>
        <v/>
      </c>
    </row>
    <row r="5" ht="12.75" customHeight="1" s="1449">
      <c r="E5" s="2248" t="n">
        <v>0.0025</v>
      </c>
      <c r="F5" s="2248" t="n"/>
      <c r="G5" s="224" t="inlineStr">
        <is>
          <t>Value</t>
        </is>
      </c>
      <c r="H5" s="224" t="inlineStr">
        <is>
          <t>$/SF</t>
        </is>
      </c>
    </row>
    <row r="6" ht="12.75" customHeight="1" s="1449">
      <c r="E6" s="2249" t="n"/>
      <c r="F6" s="2249" t="n"/>
      <c r="G6" s="2250">
        <f>G4/('Cap Rate Lease-Up'!U49-0.0025)</f>
        <v/>
      </c>
      <c r="H6" s="2251">
        <f>G6/K2</f>
        <v/>
      </c>
      <c r="J6" s="1758" t="n"/>
    </row>
    <row r="7" ht="12.75" customHeight="1" s="1449">
      <c r="E7" s="2252" t="n"/>
      <c r="F7" s="2253" t="n"/>
      <c r="G7" s="2250">
        <f>G4/'Cap Rate Lease-Up'!U49</f>
        <v/>
      </c>
      <c r="H7" s="2251">
        <f>G7/K2</f>
        <v/>
      </c>
      <c r="J7" s="1758" t="n"/>
    </row>
    <row r="8" ht="12.75" customHeight="1" s="1449">
      <c r="E8" s="2254" t="n"/>
      <c r="F8" s="2254" t="n"/>
      <c r="G8" s="2250">
        <f>G4/('Cap Rate Lease-Up'!U49+0.0025)</f>
        <v/>
      </c>
      <c r="H8" s="2251">
        <f>G8/K2</f>
        <v/>
      </c>
      <c r="J8" s="1758" t="n"/>
    </row>
    <row r="9" hidden="1" ht="12.75" customHeight="1" s="1449">
      <c r="E9" s="215" t="n"/>
      <c r="F9" s="215" t="n"/>
      <c r="G9" s="2255" t="n"/>
      <c r="H9" s="215" t="n"/>
    </row>
    <row r="10" hidden="1" ht="12.75" customHeight="1" s="1449">
      <c r="E10" s="170">
        <f>IF(SUM(G11:G11)=0,"HIDE THIS ROW IF NO DEFERRED MAINTENANCE", "Indicated Value")</f>
        <v/>
      </c>
      <c r="F10" s="170" t="n"/>
      <c r="G10" s="2250">
        <f>G7</f>
        <v/>
      </c>
      <c r="H10" s="217" t="n"/>
    </row>
    <row r="11" hidden="1" ht="12.75" customHeight="1" s="1449">
      <c r="E11" s="218">
        <f>IF(G11=0,"HIDE THIS ROW IF NO DEFERRED MAINTENANCE","Less: Deferred Maintenance")</f>
        <v/>
      </c>
      <c r="F11" s="218" t="n"/>
      <c r="G11" s="2256">
        <f>-caDeferredMaint</f>
        <v/>
      </c>
      <c r="H11" s="217" t="n"/>
    </row>
    <row r="12" ht="12.75" customHeight="1" s="1449">
      <c r="E12" s="190">
        <f>IF(G11=0,"Reconciled Value","Reconciled Value - Adjusted")</f>
        <v/>
      </c>
      <c r="F12" s="190" t="n"/>
      <c r="G12" s="2257">
        <f>SUM(G10:G11)</f>
        <v/>
      </c>
      <c r="H12" s="2258">
        <f>G12/K2</f>
        <v/>
      </c>
    </row>
    <row r="13" ht="12.75" customHeight="1" s="1449">
      <c r="E13" s="2259" t="n">
        <v>5000</v>
      </c>
      <c r="F13" s="2260" t="n"/>
      <c r="G13" s="2261">
        <f>ROUND((G12/E13),0)*E13</f>
        <v/>
      </c>
      <c r="H13" s="2262">
        <f>G13/K2</f>
        <v/>
      </c>
    </row>
    <row r="15">
      <c r="H15" s="1758" t="n"/>
    </row>
    <row r="16">
      <c r="A16" s="1562" t="inlineStr">
        <is>
          <t>DEDUCTIONS TO REACH AN AS IS VALUE</t>
        </is>
      </c>
    </row>
    <row r="17">
      <c r="A17" s="1563" t="inlineStr">
        <is>
          <t>Indicated Value UPON COMPLETION</t>
        </is>
      </c>
      <c r="B17" s="2263">
        <f>G13</f>
        <v/>
      </c>
      <c r="H17" s="358" t="n"/>
    </row>
    <row r="18">
      <c r="A18" s="1563" t="inlineStr">
        <is>
          <t>Remaining Capital Improvements</t>
        </is>
      </c>
      <c r="B18" s="2263" t="n"/>
    </row>
    <row r="19">
      <c r="A19" s="1563" t="inlineStr">
        <is>
          <t>Entrepreneurial Incentive (15% of Total Construction Costs)</t>
        </is>
      </c>
      <c r="B19" s="2263" t="n"/>
    </row>
    <row r="20" hidden="1" s="1449">
      <c r="A20" s="190">
        <f>IF(B21=0,"HIDE THIS ROW IF NO DEFERRED MAINTENANCE", "Indicated Value")</f>
        <v/>
      </c>
      <c r="B20" s="2255" t="n">
        <v>0</v>
      </c>
    </row>
    <row r="21" hidden="1" s="1449">
      <c r="A21" s="14">
        <f>IF(B21=0,"HIDE THIS ROW IF NO DEFERRED MAINTENANCE","Less: Deferred Maintenance")</f>
        <v/>
      </c>
      <c r="B21" s="200" t="n">
        <v>0</v>
      </c>
    </row>
    <row r="22">
      <c r="A22" s="202" t="inlineStr">
        <is>
          <t>Indicated Value AS IS</t>
        </is>
      </c>
      <c r="B22" s="2257">
        <f>SUM(B17:B19)</f>
        <v/>
      </c>
    </row>
    <row r="23">
      <c r="A23" s="2264" t="inlineStr">
        <is>
          <t>Indicated Value AS IS</t>
        </is>
      </c>
      <c r="B23" s="2265">
        <f>MROUND(B22,5000)</f>
        <v/>
      </c>
    </row>
    <row r="24">
      <c r="A24" s="205" t="inlineStr">
        <is>
          <t>Per SF</t>
        </is>
      </c>
      <c r="B24" s="2266">
        <f>B23/3112</f>
        <v/>
      </c>
    </row>
  </sheetData>
  <mergeCells count="2">
    <mergeCell ref="E3:H3"/>
    <mergeCell ref="A16:B16"/>
  </mergeCells>
  <conditionalFormatting sqref="A20">
    <cfRule type="expression" priority="2" dxfId="0" stopIfTrue="1">
      <formula>SUM(B21:B21)=0</formula>
    </cfRule>
  </conditionalFormatting>
  <conditionalFormatting sqref="A21">
    <cfRule type="expression" priority="1" dxfId="2">
      <formula>B21=0</formula>
    </cfRule>
  </conditionalFormatting>
  <conditionalFormatting sqref="E10:F10">
    <cfRule type="expression" priority="4" dxfId="0" stopIfTrue="1">
      <formula>SUM(G11:G11)=0</formula>
    </cfRule>
  </conditionalFormatting>
  <conditionalFormatting sqref="E11:F11">
    <cfRule type="expression" priority="3" dxfId="0" stopIfTrue="1">
      <formula>$D$48=0</formula>
    </cfRule>
  </conditionalFormatting>
  <dataValidations count="5">
    <dataValidation sqref="B21" showDropDown="0" showInputMessage="1" showErrorMessage="1" allowBlank="1" promptTitle="Adjustment #2" prompt="Input adjustment to calculated value—default link to Deferred Maintenance entered in Cost Approach."/>
    <dataValidation sqref="G11" showDropDown="0" showInputMessage="1" showErrorMessage="1" allowBlank="1" promptTitle="Adjustment #2" prompt="Input adjustment to calculated value—default link to Deferred Maintenance entered in Cost Approach (Cell F44)."/>
    <dataValidation sqref="E5" showDropDown="0" showInputMessage="1" showErrorMessage="1" allowBlank="1" prompt="Enter capitalization rate spread.  Example 0.25.  Only value is needed.  Text will autopopulate.  Will also autopopulate cell B44 and B46."/>
    <dataValidation sqref="E7" showDropDown="0" showInputMessage="1" showErrorMessage="1" allowBlank="1" prompt="Autopopulates with the concluded capitalization rate from the CapRates tab Cell C13."/>
    <dataValidation sqref="E13" showDropDown="0" showInputMessage="1" showErrorMessage="1" allowBlank="1" prompt="Enter how you want value to round.  Example:  100,000, or 50,000.  Only number is needed.  Text will autopopulate."/>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2:V80"/>
  <sheetViews>
    <sheetView showGridLines="0" zoomScale="136" zoomScaleNormal="136" workbookViewId="0">
      <selection activeCell="H14" sqref="H14"/>
    </sheetView>
  </sheetViews>
  <sheetFormatPr baseColWidth="8" defaultColWidth="9.140625" defaultRowHeight="15"/>
  <cols>
    <col width="37.140625" bestFit="1" customWidth="1" style="1560" min="1" max="1"/>
    <col width="7.7109375" bestFit="1" customWidth="1" style="2267" min="2" max="2"/>
    <col width="14.42578125" customWidth="1" style="2267" min="3" max="3"/>
    <col width="14.140625" customWidth="1" style="2267" min="4" max="4"/>
    <col width="9.42578125" bestFit="1" customWidth="1" style="2267" min="5" max="5"/>
    <col width="4.7109375" bestFit="1" customWidth="1" style="2267" min="6" max="6"/>
    <col width="28" bestFit="1" customWidth="1" style="2267" min="7" max="7"/>
    <col width="9.28515625" bestFit="1" customWidth="1" style="2267" min="8" max="8"/>
    <col width="2.5703125" customWidth="1" style="2267" min="9" max="9"/>
    <col width="7" customWidth="1" style="2267" min="10" max="10"/>
    <col width="10.28515625" bestFit="1" customWidth="1" style="2267" min="11" max="11"/>
    <col width="2.42578125" customWidth="1" style="2267" min="12" max="12"/>
    <col width="6.28515625" bestFit="1" customWidth="1" style="2267" min="13" max="13"/>
    <col width="10.28515625" bestFit="1" customWidth="1" style="2267" min="14" max="14"/>
    <col width="1.140625" customWidth="1" style="2267" min="15" max="15"/>
    <col width="15.5703125" customWidth="1" style="1560" min="16" max="16"/>
    <col width="9.140625" customWidth="1" style="1560" min="17" max="17"/>
    <col width="8.85546875" customWidth="1" style="1560" min="18" max="18"/>
    <col hidden="1" width="25.5703125" customWidth="1" style="1560" min="19" max="19"/>
    <col hidden="1" width="18.42578125" customWidth="1" style="1560" min="20" max="20"/>
    <col hidden="1" width="19.140625" customWidth="1" style="1560" min="21" max="21"/>
    <col hidden="1" width="16.28515625" customWidth="1" style="1560" min="22" max="22"/>
    <col width="9.140625" customWidth="1" style="1560" min="23" max="23"/>
    <col width="25.5703125" customWidth="1" style="1560" min="24" max="24"/>
    <col width="5.42578125" customWidth="1" style="1560" min="25" max="25"/>
    <col width="11.28515625" customWidth="1" style="1560" min="26" max="26"/>
    <col width="9.7109375" customWidth="1" style="1560" min="27" max="27"/>
    <col width="9.140625" customWidth="1" style="1560" min="28" max="29"/>
    <col width="9.140625" customWidth="1" style="1560" min="30" max="16384"/>
  </cols>
  <sheetData>
    <row r="1" ht="7.5" customHeight="1" s="1449"/>
    <row r="2">
      <c r="A2" s="1560" t="inlineStr">
        <is>
          <t>Subject's Total SF Area</t>
        </is>
      </c>
      <c r="B2" s="913">
        <f>FE!C14</f>
        <v/>
      </c>
      <c r="C2" s="914" t="inlineStr">
        <is>
          <t>←</t>
        </is>
      </c>
    </row>
    <row r="3">
      <c r="G3" s="1677" t="inlineStr">
        <is>
          <t>POTENTIAL GROSS RENTAL INCOME</t>
        </is>
      </c>
    </row>
    <row r="4">
      <c r="A4" s="1145" t="inlineStr">
        <is>
          <t>Use only if comparing contract to market rent. Hide for owner-user buildings→</t>
        </is>
      </c>
      <c r="B4" s="1140" t="n"/>
      <c r="C4" s="1140" t="n"/>
      <c r="D4" s="1140" t="n"/>
      <c r="E4" s="1140" t="n"/>
      <c r="F4" s="1140" t="n"/>
      <c r="G4" s="1038" t="n"/>
      <c r="H4" s="829" t="inlineStr">
        <is>
          <t>Area</t>
        </is>
      </c>
      <c r="I4" s="829" t="n"/>
      <c r="J4" s="1689" t="inlineStr">
        <is>
          <t>Contract Rent</t>
        </is>
      </c>
      <c r="K4" s="1464" t="n"/>
      <c r="L4" s="829" t="n"/>
      <c r="M4" s="1689" t="inlineStr">
        <is>
          <t>Market Rent</t>
        </is>
      </c>
      <c r="N4" s="1464" t="n"/>
      <c r="O4" s="829" t="n"/>
    </row>
    <row r="5">
      <c r="G5" s="1370" t="inlineStr">
        <is>
          <t>Tenant</t>
        </is>
      </c>
      <c r="H5" s="1369" t="inlineStr">
        <is>
          <t>Total (SF)</t>
        </is>
      </c>
      <c r="I5" s="1369" t="n"/>
      <c r="J5" s="1369" t="inlineStr">
        <is>
          <t>$/SF</t>
        </is>
      </c>
      <c r="K5" s="1369" t="inlineStr">
        <is>
          <t>Annl. Rent</t>
        </is>
      </c>
      <c r="L5" s="1369" t="n"/>
      <c r="M5" s="1369" t="inlineStr">
        <is>
          <t>$/SF</t>
        </is>
      </c>
      <c r="N5" s="1369" t="inlineStr">
        <is>
          <t>Annl. Rent</t>
        </is>
      </c>
      <c r="O5" s="1369" t="n"/>
    </row>
    <row r="6" ht="15" customHeight="1" s="1449">
      <c r="G6" s="2268">
        <f>LA!C3</f>
        <v/>
      </c>
      <c r="H6" s="1040">
        <f>FE!C14</f>
        <v/>
      </c>
      <c r="I6" s="1040" t="n"/>
      <c r="J6" s="2269">
        <f>LA!C11</f>
        <v/>
      </c>
      <c r="K6" s="2270">
        <f>LA!C10</f>
        <v/>
      </c>
      <c r="L6" s="2271" t="n"/>
      <c r="M6" s="2269">
        <f>C11</f>
        <v/>
      </c>
      <c r="N6" s="2270">
        <f>H6*M6</f>
        <v/>
      </c>
      <c r="O6" s="2269" t="n"/>
    </row>
    <row r="7">
      <c r="B7" s="913" t="n"/>
      <c r="G7" s="1560" t="n"/>
      <c r="H7" s="1560" t="n"/>
      <c r="I7" s="1560" t="n"/>
      <c r="J7" s="1560" t="n"/>
      <c r="K7" s="1560" t="n"/>
      <c r="L7" s="1560" t="n"/>
      <c r="M7" s="1560" t="n"/>
      <c r="N7" s="1560" t="n"/>
      <c r="O7" s="1560" t="n"/>
    </row>
    <row r="8">
      <c r="A8" s="1691" t="inlineStr">
        <is>
          <t>PGRI – MARKET RENTS</t>
        </is>
      </c>
      <c r="E8" s="1692" t="n"/>
      <c r="F8" s="916" t="n"/>
      <c r="G8" s="1560" t="n"/>
      <c r="H8" s="1560" t="n"/>
      <c r="I8" s="1560" t="n"/>
      <c r="J8" s="1560" t="n"/>
      <c r="K8" s="1560" t="n"/>
      <c r="L8" s="1560" t="n"/>
      <c r="M8" s="1560" t="n"/>
      <c r="N8" s="1560" t="n"/>
      <c r="O8" s="1560" t="n"/>
    </row>
    <row r="9">
      <c r="A9" s="917" t="inlineStr">
        <is>
          <t>Space Type</t>
        </is>
      </c>
      <c r="B9" s="1628" t="inlineStr">
        <is>
          <t>SF</t>
        </is>
      </c>
      <c r="C9" s="1628" t="inlineStr">
        <is>
          <t>Rent PSF</t>
        </is>
      </c>
      <c r="D9" s="1628" t="inlineStr">
        <is>
          <t>PGRI</t>
        </is>
      </c>
      <c r="F9" s="916" t="n"/>
      <c r="G9" s="916" t="n"/>
      <c r="H9" s="916" t="n"/>
      <c r="I9" s="916" t="n"/>
      <c r="J9" s="916" t="n"/>
      <c r="K9" s="916" t="n"/>
      <c r="L9" s="916" t="n"/>
      <c r="M9" s="916" t="n"/>
    </row>
    <row r="10">
      <c r="A10" s="918" t="n"/>
      <c r="B10" s="916" t="n"/>
      <c r="C10" s="916" t="n"/>
      <c r="D10" s="916" t="n"/>
      <c r="E10" s="916" t="n"/>
      <c r="F10" s="916" t="n"/>
      <c r="G10" s="916" t="n"/>
      <c r="H10" s="916" t="n"/>
      <c r="I10" s="916" t="n"/>
      <c r="J10" s="916" t="n"/>
      <c r="K10" s="916" t="n"/>
      <c r="L10" s="916" t="n"/>
      <c r="M10" s="916" t="n"/>
    </row>
    <row r="11">
      <c r="A11" s="919">
        <f>'Property Info'!B16</f>
        <v/>
      </c>
      <c r="B11" s="920" t="n"/>
      <c r="C11" s="2272" t="n"/>
      <c r="D11" s="2273">
        <f>C11*B11</f>
        <v/>
      </c>
      <c r="E11" s="1609" t="n"/>
      <c r="F11" s="2274" t="n"/>
      <c r="G11" s="2274" t="n"/>
      <c r="H11" s="2274" t="n"/>
      <c r="I11" s="2274" t="n"/>
      <c r="J11" s="2274" t="n"/>
      <c r="K11" s="2274" t="n"/>
      <c r="L11" s="2274" t="n"/>
      <c r="M11" s="2274" t="n"/>
    </row>
    <row r="12" ht="6.75" customHeight="1" s="1449">
      <c r="A12" s="922" t="n"/>
      <c r="B12" s="923" t="n"/>
      <c r="C12" s="2275" t="n"/>
      <c r="D12" s="2274" t="n"/>
      <c r="E12" s="2274" t="n"/>
      <c r="F12" s="2274" t="n"/>
      <c r="G12" s="2274" t="n"/>
      <c r="H12" s="2274" t="n"/>
      <c r="I12" s="2274" t="n"/>
      <c r="J12" s="2274" t="n"/>
      <c r="K12" s="2274" t="n"/>
      <c r="L12" s="2274" t="n"/>
      <c r="M12" s="2274" t="n"/>
    </row>
    <row r="13">
      <c r="A13" s="1694" t="inlineStr">
        <is>
          <t>VACANCY AND COLLECTION LOSS</t>
        </is>
      </c>
      <c r="G13" s="1560" t="n"/>
      <c r="H13" s="1560" t="n"/>
      <c r="I13" s="1560" t="n"/>
      <c r="J13" s="1560" t="n"/>
      <c r="K13" s="1560" t="n"/>
      <c r="L13" s="1560" t="n"/>
      <c r="M13" s="1560" t="n"/>
      <c r="N13" s="1560" t="n"/>
      <c r="O13" s="1560" t="n"/>
    </row>
    <row r="14">
      <c r="A14" s="1664" t="inlineStr">
        <is>
          <t>Source</t>
        </is>
      </c>
      <c r="D14" s="1675" t="inlineStr">
        <is>
          <t>Rate</t>
        </is>
      </c>
      <c r="G14" s="1560" t="n"/>
      <c r="H14" s="1560" t="n"/>
      <c r="I14" s="1560" t="n"/>
      <c r="J14" s="1560" t="n"/>
      <c r="K14" s="1560" t="n"/>
      <c r="L14" s="1560" t="n"/>
      <c r="M14" s="1560" t="n"/>
      <c r="N14" s="1560" t="n"/>
      <c r="O14" s="1560" t="n"/>
    </row>
    <row r="15" ht="15" customHeight="1" s="1449">
      <c r="A15" s="1662" t="inlineStr">
        <is>
          <t>CoStar - Denver CBSA - Industrial 20,000 SF - 50,000 SF- Q1 2019-Q2 2020</t>
        </is>
      </c>
      <c r="D15" s="1673" t="n"/>
      <c r="G15" s="914" t="n"/>
      <c r="H15" s="1560" t="n"/>
      <c r="I15" s="1560" t="n"/>
      <c r="J15" s="1560" t="n"/>
      <c r="K15" s="1560" t="n"/>
      <c r="L15" s="1560" t="n"/>
      <c r="M15" s="1560" t="n"/>
    </row>
    <row r="16" ht="15" customHeight="1" s="1449">
      <c r="A16" s="1662" t="inlineStr">
        <is>
          <t>CoStar - Adams County - Industrial - Q1 2019-Q2 2020</t>
        </is>
      </c>
      <c r="D16" s="1669" t="n"/>
      <c r="E16" s="1464" t="n"/>
      <c r="G16" s="914" t="n"/>
      <c r="H16" s="1560" t="n"/>
      <c r="I16" s="1560" t="n"/>
      <c r="J16" s="1560" t="n"/>
      <c r="K16" s="1560" t="n"/>
      <c r="L16" s="1560" t="n"/>
      <c r="M16" s="1560" t="n"/>
    </row>
    <row r="17" hidden="1" ht="15" customHeight="1" s="1449">
      <c r="A17" s="925" t="n"/>
      <c r="B17" s="2276" t="n"/>
      <c r="C17" s="927" t="n"/>
      <c r="D17" s="928" t="n"/>
      <c r="E17" s="611" t="n"/>
      <c r="G17" s="914" t="n"/>
      <c r="H17" s="1560" t="n"/>
      <c r="I17" s="1560" t="n"/>
      <c r="J17" s="1560" t="n"/>
      <c r="K17" s="1560" t="n"/>
      <c r="L17" s="1560" t="n"/>
      <c r="M17" s="1560" t="n"/>
    </row>
    <row r="18" hidden="1" ht="15" customHeight="1" s="1449">
      <c r="A18" s="925" t="n"/>
      <c r="B18" s="2276" t="n"/>
      <c r="C18" s="927" t="n"/>
      <c r="D18" s="929" t="n"/>
      <c r="E18" s="611" t="n"/>
      <c r="G18" s="914" t="n"/>
      <c r="H18" s="1560" t="n"/>
      <c r="I18" s="1560" t="n"/>
      <c r="J18" s="1560" t="n"/>
      <c r="K18" s="1560" t="n"/>
      <c r="L18" s="1560" t="n"/>
      <c r="M18" s="1560" t="n"/>
    </row>
    <row r="19" hidden="1" ht="15" customHeight="1" s="1449">
      <c r="A19" s="925" t="n"/>
      <c r="B19" s="2276" t="n"/>
      <c r="C19" s="927" t="n"/>
      <c r="D19" s="929" t="n"/>
      <c r="E19" s="611" t="n"/>
      <c r="G19" s="914" t="n"/>
      <c r="H19" s="1560" t="n"/>
      <c r="I19" s="1560" t="n"/>
      <c r="J19" s="1560" t="n"/>
      <c r="K19" s="1560" t="n"/>
      <c r="L19" s="1560" t="n"/>
      <c r="M19" s="1560" t="n"/>
    </row>
    <row r="20" hidden="1" ht="15" customHeight="1" s="1449">
      <c r="A20" s="930" t="n"/>
      <c r="B20" s="2276" t="n"/>
      <c r="C20" s="927" t="n"/>
      <c r="D20" s="931" t="n"/>
      <c r="E20" s="611" t="n"/>
      <c r="G20" s="914" t="n"/>
      <c r="H20" s="1560" t="n"/>
      <c r="I20" s="1560" t="n"/>
      <c r="J20" s="1560" t="n"/>
      <c r="K20" s="1560" t="n"/>
      <c r="L20" s="1560" t="n"/>
      <c r="M20" s="1560" t="n"/>
    </row>
    <row r="21">
      <c r="A21" s="1698" t="inlineStr">
        <is>
          <t>Range</t>
        </is>
      </c>
      <c r="B21" s="1477" t="n"/>
      <c r="C21" s="1477" t="n"/>
      <c r="D21" s="1684">
        <f>TEXT(MIN(D15:D20),"0.00%")&amp;" to "&amp;TEXT(MAX(D15:D20),"0.00%")</f>
        <v/>
      </c>
      <c r="F21" s="2277" t="n"/>
      <c r="G21" s="362" t="n"/>
      <c r="H21" s="1560" t="n"/>
      <c r="I21" s="1560" t="n"/>
      <c r="J21" s="1560" t="n"/>
      <c r="K21" s="1560" t="n"/>
      <c r="L21" s="1560" t="n"/>
      <c r="M21" s="1560" t="n"/>
    </row>
    <row r="22">
      <c r="A22" s="1666" t="inlineStr">
        <is>
          <t>Concluded Overall Vacancy Rate</t>
        </is>
      </c>
      <c r="B22" s="1464" t="n"/>
      <c r="C22" s="1464" t="n"/>
      <c r="D22" s="1678" t="n"/>
      <c r="E22" s="1464" t="n"/>
      <c r="F22" s="2278" t="inlineStr">
        <is>
          <t>←Change</t>
        </is>
      </c>
      <c r="G22" s="1373" t="n"/>
      <c r="H22" s="1560" t="n"/>
      <c r="I22" s="1560" t="n"/>
      <c r="J22" s="1560" t="n"/>
      <c r="K22" s="1560" t="n"/>
      <c r="L22" s="1560" t="n"/>
      <c r="M22" s="1560" t="n"/>
    </row>
    <row r="23" ht="5.25" customHeight="1" s="1449">
      <c r="B23" s="1560" t="n"/>
      <c r="C23" s="1560" t="n"/>
      <c r="D23" s="1560" t="n"/>
      <c r="E23" s="1560" t="n"/>
      <c r="F23" s="1560" t="n"/>
      <c r="G23" s="1560" t="n"/>
      <c r="H23" s="1560" t="n"/>
      <c r="I23" s="1560" t="n"/>
      <c r="J23" s="1560" t="n"/>
      <c r="K23" s="1560" t="n"/>
      <c r="L23" s="1560" t="n"/>
      <c r="M23" s="1560" t="n"/>
    </row>
    <row r="24">
      <c r="A24" s="1549" t="inlineStr">
        <is>
          <t>EXPENSES IN TIME OF VACANCY</t>
        </is>
      </c>
      <c r="F24" s="1560" t="n"/>
      <c r="G24" s="1560" t="n"/>
      <c r="H24" s="1560" t="n"/>
      <c r="I24" s="1560" t="n"/>
      <c r="J24" s="1560" t="n"/>
      <c r="K24" s="1560" t="n"/>
      <c r="L24" s="1560" t="n"/>
      <c r="M24" s="1560" t="n"/>
    </row>
    <row r="25">
      <c r="A25" s="932" t="inlineStr">
        <is>
          <t>Expense</t>
        </is>
      </c>
      <c r="B25" s="932" t="n"/>
      <c r="C25" s="933" t="inlineStr">
        <is>
          <t>PSF</t>
        </is>
      </c>
      <c r="D25" s="1670" t="inlineStr">
        <is>
          <t>Total</t>
        </is>
      </c>
      <c r="E25" s="1464" t="n"/>
      <c r="F25" s="1560" t="n"/>
      <c r="G25" s="1560" t="n"/>
      <c r="M25" s="1560" t="n"/>
    </row>
    <row r="26">
      <c r="A26" s="1560" t="inlineStr">
        <is>
          <t>Real Estate Taxes</t>
        </is>
      </c>
      <c r="B26" s="1560" t="n"/>
      <c r="C26" s="2279">
        <f>D26/$B$11</f>
        <v/>
      </c>
      <c r="D26" s="2280" t="n"/>
      <c r="E26" s="1477" t="n"/>
      <c r="F26" s="2281" t="inlineStr">
        <is>
          <t>←</t>
        </is>
      </c>
      <c r="G26" s="1560" t="inlineStr">
        <is>
          <t xml:space="preserve">Actual </t>
        </is>
      </c>
      <c r="M26" s="1560" t="n"/>
      <c r="N26" s="1560" t="n"/>
      <c r="O26" s="1560" t="n"/>
    </row>
    <row r="27">
      <c r="A27" s="1560" t="inlineStr">
        <is>
          <t>Insurance</t>
        </is>
      </c>
      <c r="B27" s="1560" t="n"/>
      <c r="C27" s="2282" t="n"/>
      <c r="D27" s="2283">
        <f>C27*$B$2</f>
        <v/>
      </c>
      <c r="F27" s="936" t="inlineStr">
        <is>
          <t>←</t>
        </is>
      </c>
      <c r="G27" s="1560" t="inlineStr">
        <is>
          <t>Estimated</t>
        </is>
      </c>
      <c r="H27" s="1560" t="n"/>
      <c r="I27" s="1560" t="n"/>
      <c r="J27" s="1560" t="n"/>
      <c r="K27" s="1560" t="n"/>
      <c r="L27" s="1560" t="n"/>
      <c r="M27" s="1560" t="n"/>
      <c r="N27" s="1560" t="n"/>
      <c r="O27" s="1560" t="n"/>
    </row>
    <row r="28">
      <c r="A28" s="937" t="inlineStr">
        <is>
          <t>Utilities</t>
        </is>
      </c>
      <c r="B28" s="1560" t="n"/>
      <c r="C28" s="2282" t="n"/>
      <c r="D28" s="2283">
        <f>C28*$B$2</f>
        <v/>
      </c>
      <c r="F28" s="936" t="inlineStr">
        <is>
          <t>←</t>
        </is>
      </c>
      <c r="G28" s="1560" t="inlineStr">
        <is>
          <t>Estimated</t>
        </is>
      </c>
      <c r="H28" s="1560" t="n"/>
      <c r="I28" s="1560" t="n"/>
      <c r="J28" s="1560" t="n"/>
      <c r="K28" s="1560" t="n"/>
      <c r="L28" s="1560" t="n"/>
      <c r="M28" s="1560" t="n"/>
      <c r="N28" s="1560" t="n"/>
      <c r="O28" s="1560" t="n"/>
    </row>
    <row r="29">
      <c r="A29" s="937" t="inlineStr">
        <is>
          <t>CAM Repairs and Maintenance</t>
        </is>
      </c>
      <c r="B29" s="1560" t="n"/>
      <c r="C29" s="2282" t="n"/>
      <c r="D29" s="2283">
        <f>C29*$B$2</f>
        <v/>
      </c>
      <c r="F29" s="936" t="inlineStr">
        <is>
          <t>←</t>
        </is>
      </c>
      <c r="G29" s="1560" t="inlineStr">
        <is>
          <t>Estimated</t>
        </is>
      </c>
      <c r="H29" s="1560" t="n"/>
      <c r="I29" s="1560" t="n"/>
      <c r="J29" s="1560" t="n"/>
      <c r="K29" s="1560" t="n"/>
      <c r="L29" s="1560" t="n"/>
      <c r="M29" s="1560" t="n"/>
      <c r="N29" s="1560" t="n"/>
      <c r="O29" s="1560" t="n"/>
    </row>
    <row r="30">
      <c r="A30" s="937" t="inlineStr">
        <is>
          <t>Management</t>
        </is>
      </c>
      <c r="B30" s="1560" t="n"/>
      <c r="C30" s="2279">
        <f>D30/$B$11</f>
        <v/>
      </c>
      <c r="D30" s="2284">
        <f>D42*0.03</f>
        <v/>
      </c>
      <c r="E30" s="1464" t="n"/>
      <c r="F30" s="936" t="inlineStr">
        <is>
          <t>←</t>
        </is>
      </c>
      <c r="G30" s="1560" t="inlineStr">
        <is>
          <t>3% EGI</t>
        </is>
      </c>
      <c r="H30" s="1560" t="n"/>
      <c r="I30" s="1560" t="n"/>
      <c r="J30" s="1560" t="n"/>
      <c r="K30" s="1560" t="n"/>
      <c r="L30" s="1560" t="n"/>
      <c r="M30" s="1560" t="n"/>
      <c r="N30" s="1560" t="n"/>
      <c r="O30" s="1560" t="n"/>
    </row>
    <row r="31">
      <c r="A31" s="938" t="inlineStr">
        <is>
          <t>Total</t>
        </is>
      </c>
      <c r="B31" s="938" t="n"/>
      <c r="C31" s="2285">
        <f>D31/B2</f>
        <v/>
      </c>
      <c r="D31" s="2286">
        <f>SUM(D26:E30)</f>
        <v/>
      </c>
      <c r="E31" s="1609" t="n"/>
      <c r="F31" s="1560" t="n"/>
      <c r="G31" s="1560" t="n"/>
      <c r="H31" s="2287" t="n"/>
      <c r="I31" s="1560" t="n"/>
      <c r="J31" s="1560" t="n"/>
      <c r="K31" s="1560" t="n"/>
      <c r="L31" s="1560" t="n"/>
      <c r="M31" s="1560" t="n"/>
      <c r="N31" s="1560" t="n"/>
      <c r="O31" s="1560" t="n"/>
    </row>
    <row r="32">
      <c r="A32" s="1560" t="inlineStr">
        <is>
          <t>Multiplied by Vacancy Factor of</t>
        </is>
      </c>
      <c r="B32" s="941">
        <f>D22</f>
        <v/>
      </c>
      <c r="C32" s="2288">
        <f>$B$41*C31</f>
        <v/>
      </c>
      <c r="D32" s="2289">
        <f>$B$41*D31</f>
        <v/>
      </c>
      <c r="E32" s="1609" t="n"/>
      <c r="F32" s="1560" t="n"/>
      <c r="G32" s="1560" t="n"/>
      <c r="H32" s="1560" t="n"/>
      <c r="I32" s="1560" t="n"/>
      <c r="J32" s="1560" t="n"/>
      <c r="K32" s="1560" t="n"/>
      <c r="L32" s="1560" t="n"/>
      <c r="M32" s="1560" t="n"/>
      <c r="N32" s="1560" t="n"/>
      <c r="O32" s="1560" t="n"/>
    </row>
    <row r="33">
      <c r="A33" s="943" t="inlineStr">
        <is>
          <t>Divided by EGI</t>
        </is>
      </c>
      <c r="B33" s="943" t="n"/>
      <c r="C33" s="944" t="n"/>
      <c r="D33" s="1674">
        <f>D32/D42</f>
        <v/>
      </c>
      <c r="E33" s="1609" t="n"/>
      <c r="F33" s="1560" t="n"/>
      <c r="G33" s="1560" t="n"/>
      <c r="H33" s="1560" t="n"/>
      <c r="I33" s="1560" t="n"/>
      <c r="J33" s="1560" t="n"/>
      <c r="K33" s="1560" t="n"/>
      <c r="L33" s="1560" t="n"/>
      <c r="M33" s="1560" t="n"/>
      <c r="N33" s="1560" t="n"/>
      <c r="O33" s="1560" t="n"/>
    </row>
    <row r="34" ht="7.5" customHeight="1" s="1449">
      <c r="B34" s="1560" t="n"/>
      <c r="C34" s="1560" t="n"/>
      <c r="D34" s="1560" t="n"/>
      <c r="E34" s="1560" t="n"/>
      <c r="F34" s="1560" t="n"/>
      <c r="G34" s="1560" t="n"/>
      <c r="H34" s="1560" t="n"/>
      <c r="I34" s="1560" t="n"/>
      <c r="J34" s="1560" t="n"/>
      <c r="K34" s="1560" t="n"/>
      <c r="L34" s="1560" t="n"/>
      <c r="M34" s="1560" t="n"/>
      <c r="N34" s="1560" t="n"/>
      <c r="O34" s="1560" t="n"/>
    </row>
    <row r="35">
      <c r="A35" s="1671" t="inlineStr">
        <is>
          <t>PRO FORMA OPERATING STATEMENT</t>
        </is>
      </c>
      <c r="F35" s="1560" t="n"/>
      <c r="G35" s="1560" t="n"/>
      <c r="H35" s="1560" t="n"/>
      <c r="I35" s="1560" t="n"/>
      <c r="J35" s="1560" t="n"/>
      <c r="K35" s="1560" t="n"/>
      <c r="L35" s="1560" t="n"/>
      <c r="M35" s="1560" t="n"/>
      <c r="N35" s="1560" t="n"/>
      <c r="O35" s="1560" t="n"/>
    </row>
    <row r="36" ht="30" customHeight="1" s="1449">
      <c r="A36" s="917" t="inlineStr">
        <is>
          <t>Category</t>
        </is>
      </c>
      <c r="B36" s="917" t="n"/>
      <c r="C36" s="1628" t="inlineStr">
        <is>
          <t>Projected Expenses</t>
        </is>
      </c>
      <c r="D36" s="945" t="inlineStr">
        <is>
          <t>Projected Income</t>
        </is>
      </c>
      <c r="E36" s="1628" t="inlineStr">
        <is>
          <t>PSF</t>
        </is>
      </c>
      <c r="F36" s="1560" t="n"/>
      <c r="G36" s="1560" t="n"/>
      <c r="H36" s="1560" t="n"/>
      <c r="I36" s="1560" t="n"/>
      <c r="J36" s="1560" t="n"/>
      <c r="K36" s="1560" t="n"/>
      <c r="L36" s="1560" t="n"/>
      <c r="M36" s="1560" t="n"/>
      <c r="N36" s="1560" t="n"/>
      <c r="O36" s="1560" t="n"/>
    </row>
    <row r="37">
      <c r="A37" s="946" t="inlineStr">
        <is>
          <t>Potential Gross Rental Income (PGRI)</t>
        </is>
      </c>
      <c r="B37" s="947" t="n"/>
      <c r="C37" s="948" t="n"/>
      <c r="D37" s="2290">
        <f>+D11</f>
        <v/>
      </c>
      <c r="E37" s="2291">
        <f>+D37/$B$2</f>
        <v/>
      </c>
      <c r="F37" s="1560" t="n"/>
      <c r="G37" s="1560" t="n"/>
      <c r="H37" s="1560" t="n"/>
      <c r="I37" s="1560" t="n"/>
      <c r="J37" s="2292" t="n"/>
      <c r="K37" s="1560" t="n"/>
      <c r="L37" s="1560" t="n"/>
      <c r="M37" s="1560" t="n"/>
      <c r="N37" s="1560" t="n"/>
      <c r="O37" s="1560" t="n"/>
    </row>
    <row r="38">
      <c r="A38" s="946" t="inlineStr">
        <is>
          <t>Plus:  Other Income</t>
        </is>
      </c>
      <c r="B38" s="952" t="n"/>
      <c r="C38" s="953" t="n"/>
      <c r="D38" s="2293" t="n">
        <v>0</v>
      </c>
      <c r="E38" s="2294">
        <f>+D38/$B$2</f>
        <v/>
      </c>
      <c r="F38" s="1560" t="n"/>
      <c r="G38" s="1560" t="n"/>
      <c r="H38" s="1560" t="n"/>
      <c r="I38" s="1560" t="n"/>
      <c r="J38" s="1560" t="n"/>
      <c r="K38" s="1560" t="n"/>
      <c r="L38" s="1560" t="n"/>
      <c r="M38" s="1560" t="n"/>
      <c r="N38" s="1560" t="n"/>
      <c r="O38" s="1560" t="n"/>
    </row>
    <row r="39">
      <c r="A39" s="956" t="inlineStr">
        <is>
          <t>Plus:  Pass-Through Income</t>
        </is>
      </c>
      <c r="B39" s="957" t="n"/>
      <c r="C39" s="958" t="n"/>
      <c r="D39" s="2295" t="n">
        <v>0</v>
      </c>
      <c r="E39" s="2296">
        <f>+D39/$B$2</f>
        <v/>
      </c>
      <c r="F39" s="1560" t="n"/>
      <c r="G39" s="1560" t="n"/>
      <c r="H39" s="1560" t="n"/>
      <c r="I39" s="1560" t="n"/>
      <c r="J39" s="1560" t="n"/>
      <c r="K39" s="1560" t="n"/>
      <c r="L39" s="1560" t="n"/>
      <c r="M39" s="1560" t="n"/>
      <c r="N39" s="1560" t="n"/>
      <c r="O39" s="1560" t="n"/>
    </row>
    <row r="40">
      <c r="A40" s="961" t="inlineStr">
        <is>
          <t>Total Potential Gross Rental Income</t>
        </is>
      </c>
      <c r="B40" s="962" t="n"/>
      <c r="C40" s="963" t="n"/>
      <c r="D40" s="2297">
        <f>SUM(D37:D39)</f>
        <v/>
      </c>
      <c r="E40" s="2298">
        <f>+D40/$B$2</f>
        <v/>
      </c>
      <c r="F40" s="1560" t="n"/>
      <c r="G40" s="1560" t="n"/>
      <c r="H40" s="1560" t="n"/>
      <c r="I40" s="1560" t="n"/>
      <c r="J40" s="1560" t="n"/>
      <c r="K40" s="1560" t="n"/>
      <c r="L40" s="1560" t="n"/>
      <c r="M40" s="1560" t="n"/>
      <c r="N40" s="1560" t="n"/>
      <c r="O40" s="1560" t="n"/>
    </row>
    <row r="41">
      <c r="A41" s="946" t="inlineStr">
        <is>
          <t>Less: Market Vacancy</t>
        </is>
      </c>
      <c r="B41" s="966">
        <f>D22</f>
        <v/>
      </c>
      <c r="C41" s="2299">
        <f>+B41*D40*-1</f>
        <v/>
      </c>
      <c r="D41" s="968" t="n"/>
      <c r="E41" s="2300">
        <f>+C41/$B$2</f>
        <v/>
      </c>
      <c r="F41" s="1560" t="n"/>
      <c r="G41" s="1560" t="n"/>
      <c r="H41" s="1560" t="n"/>
      <c r="I41" s="1560" t="n"/>
      <c r="J41" s="1560" t="n"/>
      <c r="K41" s="1560" t="n"/>
      <c r="L41" s="1560" t="n"/>
      <c r="M41" s="1560" t="n"/>
      <c r="N41" s="1560" t="n"/>
      <c r="O41" s="1560" t="n"/>
    </row>
    <row r="42">
      <c r="A42" s="961" t="inlineStr">
        <is>
          <t>Effective Gross Income (EGI)</t>
        </is>
      </c>
      <c r="B42" s="962" t="n"/>
      <c r="C42" s="963" t="n"/>
      <c r="D42" s="2297">
        <f>+D40+C41</f>
        <v/>
      </c>
      <c r="E42" s="2298">
        <f>+D42/$B$2</f>
        <v/>
      </c>
      <c r="F42" s="1560" t="n"/>
      <c r="G42" s="1560" t="n"/>
      <c r="H42" s="1560" t="n"/>
      <c r="I42" s="1560" t="n"/>
      <c r="J42" s="1560" t="n"/>
      <c r="K42" s="1560" t="n"/>
      <c r="L42" s="1560" t="n"/>
      <c r="M42" s="1560" t="n"/>
      <c r="N42" s="1560" t="n"/>
      <c r="O42" s="1560" t="n"/>
    </row>
    <row r="43">
      <c r="A43" s="970" t="inlineStr">
        <is>
          <t>Fixed Expenses</t>
        </is>
      </c>
      <c r="B43" s="971" t="n"/>
      <c r="C43" s="972" t="n"/>
      <c r="D43" s="972" t="n"/>
      <c r="E43" s="972" t="n"/>
      <c r="F43" s="1560" t="n"/>
      <c r="G43" s="1560" t="n"/>
      <c r="H43" s="1560" t="n"/>
      <c r="I43" s="1560" t="n"/>
      <c r="J43" s="1560" t="n"/>
      <c r="K43" s="1560" t="n"/>
      <c r="L43" s="1560" t="n"/>
      <c r="M43" s="1560" t="n"/>
      <c r="N43" s="1560" t="n"/>
      <c r="O43" s="1560" t="n"/>
    </row>
    <row r="44">
      <c r="A44" s="973" t="inlineStr">
        <is>
          <t>Owner's Expenses</t>
        </is>
      </c>
      <c r="B44" s="974" t="n"/>
      <c r="C44" s="2301">
        <f>+B44*D42*-1</f>
        <v/>
      </c>
      <c r="D44" s="976" t="inlineStr">
        <is>
          <t> </t>
        </is>
      </c>
      <c r="E44" s="2301">
        <f>+C44/$B$2</f>
        <v/>
      </c>
      <c r="F44" s="1560" t="n"/>
      <c r="G44" s="1560" t="n"/>
      <c r="H44" s="1560" t="n"/>
      <c r="I44" s="1560" t="n"/>
      <c r="J44" s="1560" t="n"/>
      <c r="K44" s="1560" t="n"/>
      <c r="L44" s="1560" t="n"/>
      <c r="M44" s="1560" t="n"/>
      <c r="N44" s="1560" t="n"/>
      <c r="O44" s="1560" t="n"/>
    </row>
    <row r="45" ht="30" customHeight="1" s="1449">
      <c r="A45" s="956" t="inlineStr">
        <is>
          <t xml:space="preserve">Operating Expense Recovery Loss During Vacancy </t>
        </is>
      </c>
      <c r="B45" s="977">
        <f>D33</f>
        <v/>
      </c>
      <c r="C45" s="2295">
        <f>-D32</f>
        <v/>
      </c>
      <c r="D45" s="978" t="n"/>
      <c r="E45" s="2302">
        <f>+C45/$B$2</f>
        <v/>
      </c>
      <c r="F45" s="1560" t="n"/>
      <c r="G45" s="1560" t="n"/>
      <c r="H45" s="1560" t="n"/>
      <c r="I45" s="1560" t="n"/>
      <c r="J45" s="1560" t="n"/>
      <c r="K45" s="1560" t="n"/>
      <c r="L45" s="1560" t="n"/>
      <c r="M45" s="1560" t="n"/>
      <c r="N45" s="1560" t="n"/>
      <c r="O45" s="1560" t="n"/>
    </row>
    <row r="46">
      <c r="A46" s="980" t="inlineStr">
        <is>
          <t xml:space="preserve">Total Expenses </t>
        </is>
      </c>
      <c r="B46" s="980" t="n"/>
      <c r="C46" s="2303">
        <f>SUM(C44:C45)</f>
        <v/>
      </c>
      <c r="D46" s="982" t="n"/>
      <c r="E46" s="2304">
        <f>+C46/$B$2</f>
        <v/>
      </c>
      <c r="F46" s="1560" t="n"/>
      <c r="G46" s="1560" t="n"/>
      <c r="H46" s="1560" t="n"/>
      <c r="I46" s="1560" t="n"/>
      <c r="J46" s="1560" t="n"/>
      <c r="K46" s="1560" t="n"/>
      <c r="L46" s="1560" t="n"/>
      <c r="M46" s="1560" t="n"/>
      <c r="N46" s="1560" t="n"/>
      <c r="O46" s="1560" t="n"/>
    </row>
    <row r="47">
      <c r="A47" s="984" t="inlineStr">
        <is>
          <t>Net Operating Income</t>
        </is>
      </c>
      <c r="B47" s="984" t="n"/>
      <c r="C47" s="2305" t="n"/>
      <c r="D47" s="2306">
        <f>+D42+C46</f>
        <v/>
      </c>
      <c r="E47" s="2307">
        <f>+D47/$B$2</f>
        <v/>
      </c>
      <c r="F47" s="1560" t="n"/>
      <c r="G47" s="1560" t="n"/>
      <c r="H47" s="1560" t="n"/>
      <c r="I47" s="1560" t="n"/>
      <c r="J47" s="1560" t="n"/>
      <c r="K47" s="1560" t="n"/>
      <c r="L47" s="1560" t="n"/>
      <c r="M47" s="1560" t="n"/>
      <c r="N47" s="1560" t="n"/>
      <c r="O47" s="1560" t="n"/>
      <c r="S47" s="1560" t="inlineStr">
        <is>
          <t>Reconciled OAR</t>
        </is>
      </c>
      <c r="T47" s="988" t="n"/>
      <c r="U47" s="914" t="inlineStr">
        <is>
          <t>←</t>
        </is>
      </c>
    </row>
    <row r="48" ht="8.25" customHeight="1" s="1449">
      <c r="B48" s="1560" t="n"/>
      <c r="C48" s="1560" t="n"/>
      <c r="D48" s="1560" t="n"/>
      <c r="E48" s="1560" t="n"/>
      <c r="F48" s="1560" t="n"/>
      <c r="G48" s="1560" t="n"/>
      <c r="H48" s="1560" t="n"/>
      <c r="I48" s="1560" t="n"/>
      <c r="J48" s="1560" t="n"/>
      <c r="K48" s="1560" t="n"/>
      <c r="L48" s="1560" t="n"/>
      <c r="M48" s="1560" t="n"/>
      <c r="N48" s="1560" t="n"/>
      <c r="O48" s="1560" t="n"/>
      <c r="S48" s="1560" t="inlineStr">
        <is>
          <t>Sensitivity</t>
        </is>
      </c>
      <c r="T48" s="988" t="n">
        <v>0.0025</v>
      </c>
      <c r="U48" s="914" t="inlineStr">
        <is>
          <t>←</t>
        </is>
      </c>
    </row>
    <row r="49">
      <c r="A49" s="1549" t="inlineStr">
        <is>
          <t>Third Party Surveys - Capitalization Rates</t>
        </is>
      </c>
      <c r="F49" s="1560" t="n"/>
      <c r="G49" s="1560" t="n"/>
      <c r="H49" s="1560" t="n"/>
      <c r="I49" s="1560" t="n"/>
      <c r="J49" s="1560" t="n"/>
      <c r="K49" s="1560" t="n"/>
      <c r="L49" s="1560" t="n"/>
      <c r="M49" s="1560" t="n"/>
      <c r="N49" s="1560" t="n"/>
      <c r="O49" s="1560" t="n"/>
    </row>
    <row r="50">
      <c r="A50" s="989" t="inlineStr">
        <is>
          <t>Category</t>
        </is>
      </c>
      <c r="B50" s="1664" t="n"/>
      <c r="C50" s="1664" t="inlineStr">
        <is>
          <t>CoStar</t>
        </is>
      </c>
      <c r="D50" s="1664" t="inlineStr">
        <is>
          <t>CoStar</t>
        </is>
      </c>
      <c r="E50" s="1664" t="n"/>
      <c r="F50" s="1560" t="n"/>
      <c r="G50" s="1560" t="n"/>
      <c r="H50" s="1560" t="n"/>
      <c r="I50" s="1560" t="n"/>
      <c r="J50" s="1560" t="n"/>
      <c r="K50" s="1560" t="n"/>
      <c r="L50" s="1560" t="n"/>
      <c r="M50" s="1560" t="n"/>
      <c r="N50" s="1560" t="n"/>
      <c r="O50" s="1560" t="n"/>
      <c r="S50" s="1685" t="inlineStr">
        <is>
          <t>Value Indications</t>
        </is>
      </c>
      <c r="T50" s="1686" t="n"/>
      <c r="U50" s="1686" t="n"/>
      <c r="V50" s="1687" t="n"/>
    </row>
    <row r="51" ht="30" customHeight="1" s="1449">
      <c r="A51" s="991" t="inlineStr">
        <is>
          <t>Date of Survey</t>
        </is>
      </c>
      <c r="B51" s="992" t="n"/>
      <c r="C51" s="1374" t="inlineStr">
        <is>
          <t>01/01/2019-06/30/2020</t>
        </is>
      </c>
      <c r="D51" s="1374" t="inlineStr">
        <is>
          <t>01/01/2019-06/30/2020</t>
        </is>
      </c>
      <c r="E51" s="993" t="n"/>
      <c r="F51" s="1560" t="n"/>
      <c r="G51" s="1560" t="n"/>
      <c r="H51" s="1560" t="n"/>
      <c r="I51" s="1560" t="n"/>
      <c r="J51" s="1560" t="n"/>
      <c r="K51" s="1560" t="n"/>
      <c r="L51" s="1560" t="n"/>
      <c r="M51" s="1560" t="n"/>
      <c r="N51" s="1560" t="n"/>
      <c r="O51" s="1560" t="n"/>
      <c r="S51" s="994" t="inlineStr">
        <is>
          <t>Category</t>
        </is>
      </c>
      <c r="T51" s="1681" t="inlineStr">
        <is>
          <t>Value Range</t>
        </is>
      </c>
      <c r="U51" s="1682" t="n"/>
      <c r="V51" s="1683" t="n"/>
    </row>
    <row r="52" ht="30" customHeight="1" s="1449">
      <c r="A52" s="991" t="inlineStr">
        <is>
          <t>Market</t>
        </is>
      </c>
      <c r="B52" s="995" t="n"/>
      <c r="C52" s="1375" t="inlineStr">
        <is>
          <t>Denver CBSA</t>
        </is>
      </c>
      <c r="D52" s="1375" t="inlineStr">
        <is>
          <t>Adams County</t>
        </is>
      </c>
      <c r="E52" s="993" t="n"/>
      <c r="F52" s="1560" t="n"/>
      <c r="G52" s="1560" t="n"/>
      <c r="H52" s="1560" t="n"/>
      <c r="I52" s="1560" t="n"/>
      <c r="J52" s="1560" t="n"/>
      <c r="K52" s="1560" t="n"/>
      <c r="L52" s="1560" t="n"/>
      <c r="M52" s="1560" t="n"/>
      <c r="N52" s="1560" t="n"/>
      <c r="O52" s="1560" t="n"/>
      <c r="S52" s="996" t="inlineStr">
        <is>
          <t>Net Operating Income</t>
        </is>
      </c>
      <c r="T52" s="2308">
        <f>+$D$47</f>
        <v/>
      </c>
      <c r="U52" s="2308">
        <f>+$D$47</f>
        <v/>
      </c>
      <c r="V52" s="2309">
        <f>+$D$47</f>
        <v/>
      </c>
    </row>
    <row r="53" ht="30" customHeight="1" s="1449">
      <c r="A53" s="991" t="inlineStr">
        <is>
          <t>Property Type</t>
        </is>
      </c>
      <c r="B53" s="999" t="n"/>
      <c r="C53" s="1374" t="inlineStr">
        <is>
          <t>Industrial/Flex</t>
        </is>
      </c>
      <c r="D53" s="1376" t="inlineStr">
        <is>
          <t>Industrial/Flex</t>
        </is>
      </c>
      <c r="E53" s="993" t="n"/>
      <c r="F53" s="1560" t="n"/>
      <c r="G53" s="1560" t="n"/>
      <c r="H53" s="1560" t="n"/>
      <c r="I53" s="1560" t="n"/>
      <c r="J53" s="1560" t="n"/>
      <c r="K53" s="1560" t="n"/>
      <c r="L53" s="1560" t="n"/>
      <c r="M53" s="1560" t="n"/>
      <c r="N53" s="1560" t="n"/>
      <c r="O53" s="1560" t="n"/>
      <c r="S53" s="1000" t="inlineStr">
        <is>
          <t>Capitalization Rate</t>
        </is>
      </c>
      <c r="T53" s="1001">
        <f>U53-T48</f>
        <v/>
      </c>
      <c r="U53" s="1001">
        <f>T47</f>
        <v/>
      </c>
      <c r="V53" s="1002">
        <f>U53+T48</f>
        <v/>
      </c>
    </row>
    <row r="54">
      <c r="A54" s="1003" t="inlineStr">
        <is>
          <t>Range Average</t>
        </is>
      </c>
      <c r="B54" s="1004" t="n"/>
      <c r="C54" s="1005" t="n"/>
      <c r="D54" s="1004" t="n"/>
      <c r="E54" s="1003" t="n"/>
      <c r="F54" s="2278" t="inlineStr">
        <is>
          <t>←Change</t>
        </is>
      </c>
      <c r="G54" s="1296" t="n"/>
      <c r="H54" s="1560" t="n"/>
      <c r="I54" s="1560" t="n"/>
      <c r="J54" s="1560" t="n"/>
      <c r="K54" s="1560" t="n"/>
      <c r="L54" s="1560" t="n"/>
      <c r="M54" s="1560" t="n"/>
      <c r="N54" s="1560" t="n"/>
      <c r="O54" s="1560" t="n"/>
      <c r="S54" s="1006" t="inlineStr">
        <is>
          <t>Value Indication</t>
        </is>
      </c>
      <c r="T54" s="2310">
        <f>+T52/T53</f>
        <v/>
      </c>
      <c r="U54" s="2310">
        <f>+U52/U53</f>
        <v/>
      </c>
      <c r="V54" s="2311">
        <f>+V52/V53</f>
        <v/>
      </c>
    </row>
    <row r="55">
      <c r="A55" s="1009" t="inlineStr">
        <is>
          <t>Average</t>
        </is>
      </c>
      <c r="B55" s="1010" t="n"/>
      <c r="C55" s="1011" t="n"/>
      <c r="D55" s="1010" t="n"/>
      <c r="E55" s="1012" t="n"/>
      <c r="F55" s="2278" t="inlineStr">
        <is>
          <t>←Change</t>
        </is>
      </c>
      <c r="G55" s="1296" t="n"/>
      <c r="H55" s="1560" t="n"/>
      <c r="I55" s="1560" t="n"/>
      <c r="J55" s="1560" t="n"/>
      <c r="K55" s="1560" t="n"/>
      <c r="L55" s="1560" t="n"/>
      <c r="M55" s="1560" t="n"/>
      <c r="N55" s="1560" t="n"/>
      <c r="O55" s="1560" t="n"/>
      <c r="S55" s="1013" t="inlineStr">
        <is>
          <t>Rounded</t>
        </is>
      </c>
      <c r="T55" s="2312">
        <f>MROUND(T54,5000)</f>
        <v/>
      </c>
      <c r="U55" s="2312">
        <f>MROUND(U54,5000)</f>
        <v/>
      </c>
      <c r="V55" s="2313">
        <f>MROUND(V54,5000)</f>
        <v/>
      </c>
    </row>
    <row r="56">
      <c r="A56" s="1016" t="inlineStr">
        <is>
          <t>Capitalization Rate Conclusion</t>
        </is>
      </c>
      <c r="B56" s="1017" t="n"/>
      <c r="C56" s="1018" t="n"/>
      <c r="D56" s="1377" t="n"/>
      <c r="E56" s="1019" t="n"/>
      <c r="F56" s="1020">
        <f>D56*100</f>
        <v/>
      </c>
      <c r="G56" s="1560" t="n"/>
      <c r="H56" s="1560" t="n"/>
      <c r="I56" s="1560" t="n"/>
      <c r="J56" s="1560" t="n"/>
      <c r="K56" s="1560" t="n"/>
      <c r="L56" s="1560" t="n"/>
      <c r="M56" s="1560" t="n"/>
      <c r="N56" s="1560" t="n"/>
      <c r="O56" s="1560" t="n"/>
      <c r="S56" s="1021" t="n"/>
      <c r="T56" s="2314" t="n"/>
      <c r="U56" s="2314" t="n"/>
      <c r="V56" s="2314" t="n"/>
    </row>
    <row r="57" ht="6.75" customHeight="1" s="1449">
      <c r="A57" s="1023" t="n"/>
      <c r="B57" s="1024" t="n"/>
      <c r="C57" s="1025" t="n"/>
      <c r="D57" s="1024" t="n"/>
      <c r="E57" s="1026" t="n"/>
      <c r="F57" s="362" t="n"/>
      <c r="G57" s="1560" t="n"/>
      <c r="H57" s="1560" t="n"/>
      <c r="I57" s="1560" t="n"/>
      <c r="J57" s="1560" t="n"/>
      <c r="K57" s="1560" t="n"/>
      <c r="L57" s="1560" t="n"/>
      <c r="M57" s="1560" t="n"/>
      <c r="N57" s="1560" t="n"/>
      <c r="O57" s="1560" t="n"/>
      <c r="S57" s="1021" t="n"/>
      <c r="T57" s="2314" t="n"/>
      <c r="U57" s="2314" t="n"/>
      <c r="V57" s="2314" t="n"/>
    </row>
    <row r="58">
      <c r="A58" s="1676" t="inlineStr">
        <is>
          <t>DIRECT CAPITALIZATION METHOD VALUE CONCLUSION</t>
        </is>
      </c>
      <c r="B58" s="1464" t="n"/>
      <c r="C58" s="1464" t="n"/>
      <c r="D58" s="1464" t="n"/>
      <c r="E58" s="1464" t="n"/>
      <c r="F58" s="1560" t="n"/>
      <c r="G58" s="1560" t="n"/>
      <c r="H58" s="1560" t="n"/>
      <c r="I58" s="1560" t="n"/>
      <c r="J58" s="1560" t="n"/>
      <c r="K58" s="1560" t="n"/>
      <c r="L58" s="1560" t="n"/>
      <c r="M58" s="1560" t="n"/>
      <c r="N58" s="1560" t="n"/>
      <c r="O58" s="1560" t="n"/>
      <c r="T58" s="1560" t="inlineStr">
        <is>
          <t>psf</t>
        </is>
      </c>
      <c r="U58" s="2287">
        <f>U55/B2</f>
        <v/>
      </c>
    </row>
    <row r="59">
      <c r="A59" s="1027" t="inlineStr">
        <is>
          <t>Net Operating Income (NOI)</t>
        </is>
      </c>
      <c r="B59" s="1027" t="n"/>
      <c r="C59" s="2315">
        <f>D47</f>
        <v/>
      </c>
      <c r="D59" s="2316">
        <f>C59/B2</f>
        <v/>
      </c>
      <c r="E59" s="1609" t="n"/>
      <c r="F59" s="1560" t="n"/>
      <c r="G59" s="1560" t="n"/>
      <c r="H59" s="1560" t="n"/>
      <c r="I59" s="1560" t="n"/>
      <c r="J59" s="1560" t="n"/>
      <c r="K59" s="1560" t="n"/>
      <c r="L59" s="1560" t="n"/>
      <c r="M59" s="1560" t="n"/>
      <c r="N59" s="1560" t="n"/>
      <c r="O59" s="1560" t="n"/>
    </row>
    <row r="60">
      <c r="A60" s="2317" t="n">
        <v>0.0025</v>
      </c>
      <c r="B60" s="2317" t="n"/>
      <c r="C60" s="1696" t="inlineStr">
        <is>
          <t>Value</t>
        </is>
      </c>
      <c r="D60" s="1696" t="inlineStr">
        <is>
          <t>$/SF</t>
        </is>
      </c>
      <c r="E60" s="1609" t="n"/>
      <c r="F60" s="1560" t="n"/>
      <c r="G60" s="1560" t="n"/>
      <c r="H60" s="1560" t="n"/>
      <c r="I60" s="1560" t="n"/>
      <c r="J60" s="1560" t="n"/>
      <c r="K60" s="1560" t="n"/>
      <c r="L60" s="1560" t="n"/>
      <c r="M60" s="1560" t="n"/>
      <c r="N60" s="1560" t="n"/>
      <c r="O60" s="1560" t="n"/>
    </row>
    <row r="61">
      <c r="A61" s="2318">
        <f>A72</f>
        <v/>
      </c>
      <c r="B61" s="2318" t="n"/>
      <c r="C61" s="2033">
        <f>C59/(D56-0.0025)</f>
        <v/>
      </c>
      <c r="D61" s="2319">
        <f>C61/B2</f>
        <v/>
      </c>
      <c r="E61" s="1477" t="n"/>
      <c r="F61" s="1560" t="n"/>
      <c r="G61" s="1560" t="n"/>
      <c r="H61" s="1560" t="n"/>
      <c r="I61" s="1560" t="n"/>
      <c r="J61" s="1560" t="n"/>
      <c r="K61" s="1560" t="n"/>
      <c r="L61" s="1560" t="n"/>
      <c r="M61" s="1560" t="n"/>
      <c r="N61" s="1560" t="n"/>
      <c r="O61" s="1560" t="n"/>
    </row>
    <row r="62">
      <c r="A62" s="2320">
        <f>A70</f>
        <v/>
      </c>
      <c r="B62" s="2321" t="n"/>
      <c r="C62" s="2033">
        <f>C59/D56</f>
        <v/>
      </c>
      <c r="D62" s="2322">
        <f>C62/B2</f>
        <v/>
      </c>
      <c r="F62" s="1560" t="n"/>
      <c r="G62" s="1560" t="n"/>
      <c r="H62" s="1560" t="n"/>
      <c r="I62" s="1560" t="n"/>
      <c r="J62" s="1560" t="n"/>
      <c r="K62" s="1560" t="n"/>
      <c r="L62" s="1560" t="n"/>
      <c r="M62" s="1560" t="n"/>
      <c r="N62" s="1560" t="n"/>
      <c r="O62" s="1560" t="n"/>
    </row>
    <row r="63">
      <c r="A63" s="2323">
        <f>A71</f>
        <v/>
      </c>
      <c r="B63" s="2323" t="n"/>
      <c r="C63" s="2033">
        <f>C59/(D56+0.0025)</f>
        <v/>
      </c>
      <c r="D63" s="2324">
        <f>C63/B2</f>
        <v/>
      </c>
      <c r="E63" s="1464" t="n"/>
      <c r="F63" s="1560" t="n"/>
      <c r="G63" s="1560" t="n"/>
      <c r="H63" s="1560" t="n"/>
      <c r="I63" s="1560" t="n"/>
      <c r="J63" s="1560" t="n"/>
      <c r="K63" s="1560" t="n"/>
      <c r="L63" s="1560" t="n"/>
      <c r="M63" s="1560" t="n"/>
      <c r="N63" s="1560" t="n"/>
      <c r="O63" s="1560" t="n"/>
    </row>
    <row r="64">
      <c r="A64" s="899" t="inlineStr">
        <is>
          <t>Reconciled Value</t>
        </is>
      </c>
      <c r="B64" s="899" t="n"/>
      <c r="C64" s="2036">
        <f>C62</f>
        <v/>
      </c>
      <c r="D64" s="2325">
        <f>C64/B2</f>
        <v/>
      </c>
      <c r="E64" s="1609" t="n"/>
      <c r="F64" s="1560" t="n"/>
      <c r="G64" s="1560" t="n"/>
      <c r="H64" s="1560" t="n"/>
      <c r="I64" s="1560" t="n"/>
      <c r="J64" s="1560" t="n"/>
      <c r="K64" s="1560" t="n"/>
      <c r="L64" s="1560" t="n"/>
      <c r="M64" s="1560" t="n"/>
      <c r="N64" s="1560" t="n"/>
      <c r="O64" s="1560" t="n"/>
    </row>
    <row r="65">
      <c r="A65" s="2326" t="n">
        <v>5000</v>
      </c>
      <c r="B65" s="2327" t="n"/>
      <c r="C65" s="2328">
        <f>ROUND((C64/A65),0)*A65</f>
        <v/>
      </c>
      <c r="D65" s="2329">
        <f>C65/B2</f>
        <v/>
      </c>
      <c r="E65" s="1609" t="n"/>
      <c r="F65" s="1560" t="n"/>
      <c r="G65" s="1560" t="n"/>
      <c r="H65" s="1560" t="n"/>
      <c r="I65" s="1560" t="n"/>
      <c r="J65" s="1560" t="n"/>
      <c r="K65" s="1560" t="n"/>
      <c r="L65" s="1560" t="n"/>
      <c r="M65" s="1560" t="n"/>
      <c r="N65" s="1560" t="n"/>
      <c r="O65" s="1560" t="n"/>
    </row>
    <row r="66">
      <c r="B66" s="1560" t="n"/>
      <c r="C66" s="1560" t="n"/>
      <c r="D66" s="1560" t="n"/>
      <c r="E66" s="1560" t="n"/>
      <c r="F66" s="1560" t="n"/>
      <c r="G66" s="1560" t="n"/>
      <c r="H66" s="1560" t="n"/>
      <c r="I66" s="1560" t="n"/>
      <c r="J66" s="1560" t="n"/>
      <c r="K66" s="1560" t="n"/>
      <c r="L66" s="1560" t="n"/>
      <c r="M66" s="1560" t="n"/>
      <c r="N66" s="1560" t="n"/>
      <c r="O66" s="1560" t="n"/>
    </row>
    <row r="67">
      <c r="B67" s="1560" t="n"/>
      <c r="C67" s="1560" t="n"/>
      <c r="D67" s="1560" t="n"/>
      <c r="E67" s="1560" t="n"/>
      <c r="F67" s="1560" t="n"/>
      <c r="G67" s="1560" t="n"/>
      <c r="H67" s="1560" t="n"/>
      <c r="I67" s="1560" t="n"/>
      <c r="J67" s="1560" t="n"/>
      <c r="K67" s="1560" t="n"/>
      <c r="L67" s="1560" t="n"/>
      <c r="M67" s="1560" t="n"/>
      <c r="N67" s="1560" t="n"/>
      <c r="O67" s="1560" t="n"/>
    </row>
    <row r="68">
      <c r="B68" s="1560" t="n"/>
      <c r="C68" s="1560" t="n"/>
      <c r="D68" s="1560" t="n"/>
      <c r="E68" s="1560" t="n"/>
      <c r="F68" s="1560" t="n"/>
      <c r="G68" s="1560" t="n"/>
      <c r="H68" s="1560" t="n"/>
      <c r="I68" s="1560" t="n"/>
      <c r="J68" s="1560" t="n"/>
      <c r="K68" s="1560" t="n"/>
      <c r="L68" s="1560" t="n"/>
      <c r="M68" s="1560" t="n"/>
      <c r="N68" s="1560" t="n"/>
      <c r="O68" s="1560" t="n"/>
    </row>
    <row r="69" ht="15.75" customHeight="1" s="1449" thickBot="1">
      <c r="A69" s="1560" t="inlineStr">
        <is>
          <t>Do not overwright</t>
        </is>
      </c>
      <c r="B69" s="1560" t="n"/>
      <c r="C69" s="1560" t="n"/>
      <c r="D69" s="1560" t="n"/>
      <c r="E69" s="1560" t="n"/>
      <c r="F69" s="1560" t="n"/>
      <c r="G69" s="1560" t="n"/>
      <c r="H69" s="1560" t="n"/>
      <c r="I69" s="1560" t="n"/>
      <c r="J69" s="1560" t="n"/>
      <c r="K69" s="1560" t="n"/>
      <c r="L69" s="1560" t="n"/>
      <c r="M69" s="1560" t="n"/>
      <c r="N69" s="1560" t="n"/>
      <c r="O69" s="1560" t="n"/>
    </row>
    <row r="70">
      <c r="A70" s="1378">
        <f>CONCATENATE("Based on Most Probable Range of ", FIXED(F56, 2), "%")</f>
        <v/>
      </c>
      <c r="B70" s="1560" t="n"/>
      <c r="C70" s="1560" t="n"/>
      <c r="D70" s="1560" t="n"/>
      <c r="E70" s="1560" t="n"/>
      <c r="F70" s="1560" t="n"/>
      <c r="G70" s="1560" t="n"/>
      <c r="H70" s="1560" t="n"/>
      <c r="I70" s="1560" t="n"/>
      <c r="J70" s="1560" t="n"/>
      <c r="K70" s="1560" t="n"/>
      <c r="L70" s="1560" t="n"/>
      <c r="M70" s="1560" t="n"/>
      <c r="N70" s="1560" t="n"/>
      <c r="O70" s="1560" t="n"/>
    </row>
    <row r="71">
      <c r="A71" s="1379">
        <f>CONCATENATE("Based on High-Range of ", FIXED(F56+0.25, 2), "%")</f>
        <v/>
      </c>
      <c r="B71" s="1560" t="n"/>
      <c r="C71" s="1560" t="n"/>
      <c r="D71" s="1560" t="n"/>
      <c r="E71" s="1560" t="n"/>
      <c r="F71" s="1560" t="n"/>
      <c r="G71" s="1560" t="n"/>
      <c r="H71" s="1560" t="n"/>
      <c r="I71" s="1560" t="n"/>
      <c r="J71" s="1560" t="n"/>
      <c r="K71" s="1560" t="n"/>
      <c r="L71" s="1560" t="n"/>
      <c r="M71" s="1560" t="n"/>
      <c r="N71" s="1560" t="n"/>
      <c r="O71" s="1560" t="n"/>
    </row>
    <row r="72" ht="15.75" customHeight="1" s="1449" thickBot="1">
      <c r="A72" s="1380">
        <f>CONCATENATE("Based on Low-Range of ", FIXED(F56-0.25, 2), "%")</f>
        <v/>
      </c>
      <c r="B72" s="1560" t="n"/>
      <c r="C72" s="1560" t="n"/>
      <c r="D72" s="1560" t="n"/>
      <c r="E72" s="1560" t="n"/>
      <c r="F72" s="1560" t="n"/>
      <c r="G72" s="1560" t="n"/>
      <c r="H72" s="1560" t="n"/>
      <c r="I72" s="1560" t="n"/>
      <c r="J72" s="1560" t="n"/>
      <c r="K72" s="1560" t="n"/>
      <c r="L72" s="1560" t="n"/>
      <c r="M72" s="1560" t="n"/>
      <c r="N72" s="1560" t="n"/>
      <c r="O72" s="1560" t="n"/>
    </row>
    <row r="73">
      <c r="B73" s="1560" t="n"/>
      <c r="C73" s="1560" t="n"/>
      <c r="D73" s="1560" t="n"/>
      <c r="E73" s="1560" t="n"/>
      <c r="F73" s="1560" t="n"/>
      <c r="G73" s="1560" t="n"/>
      <c r="H73" s="1560" t="n"/>
      <c r="I73" s="1560" t="n"/>
      <c r="J73" s="1560" t="n"/>
      <c r="K73" s="1560" t="n"/>
      <c r="L73" s="1560" t="n"/>
      <c r="M73" s="1560" t="n"/>
      <c r="N73" s="1560" t="n"/>
      <c r="O73" s="1560" t="n"/>
    </row>
    <row r="74">
      <c r="B74" s="1560" t="n"/>
      <c r="C74" s="1560" t="n"/>
      <c r="D74" s="1560" t="n"/>
      <c r="E74" s="1560" t="n"/>
      <c r="F74" s="1560" t="n"/>
      <c r="G74" s="1560" t="n"/>
      <c r="H74" s="1560" t="n"/>
      <c r="I74" s="1560" t="n"/>
      <c r="J74" s="1560" t="n"/>
      <c r="K74" s="1560" t="n"/>
      <c r="L74" s="1560" t="n"/>
      <c r="M74" s="1560" t="n"/>
      <c r="N74" s="1560" t="n"/>
      <c r="O74" s="1560" t="n"/>
    </row>
    <row r="75">
      <c r="B75" s="1560" t="n"/>
      <c r="C75" s="1560" t="n"/>
      <c r="D75" s="1560" t="n"/>
      <c r="E75" s="1560" t="n"/>
      <c r="F75" s="1560" t="n"/>
      <c r="G75" s="1560" t="n"/>
      <c r="H75" s="1560" t="n"/>
      <c r="I75" s="1560" t="n"/>
      <c r="J75" s="1560" t="n"/>
      <c r="K75" s="1560" t="n"/>
      <c r="L75" s="1560" t="n"/>
      <c r="M75" s="1560" t="n"/>
      <c r="N75" s="1560" t="n"/>
      <c r="O75" s="1560" t="n"/>
    </row>
    <row r="76">
      <c r="B76" s="1560" t="n"/>
      <c r="C76" s="1560" t="n"/>
      <c r="D76" s="1560" t="n"/>
      <c r="E76" s="1560" t="n"/>
      <c r="F76" s="1560" t="n"/>
      <c r="G76" s="1560" t="n"/>
      <c r="H76" s="1560" t="n"/>
      <c r="I76" s="1560" t="n"/>
      <c r="J76" s="1560" t="n"/>
      <c r="K76" s="1560" t="n"/>
      <c r="L76" s="1560" t="n"/>
      <c r="M76" s="1560" t="n"/>
      <c r="N76" s="1560" t="n"/>
      <c r="O76" s="1560" t="n"/>
    </row>
    <row r="77">
      <c r="B77" s="1560" t="n"/>
      <c r="C77" s="1560" t="n"/>
      <c r="D77" s="1560" t="n"/>
      <c r="E77" s="1560" t="n"/>
      <c r="F77" s="1560" t="n"/>
      <c r="G77" s="1560" t="n"/>
      <c r="H77" s="1560" t="n"/>
      <c r="I77" s="1560" t="n"/>
      <c r="J77" s="1560" t="n"/>
      <c r="K77" s="1560" t="n"/>
      <c r="L77" s="1560" t="n"/>
      <c r="M77" s="1560" t="n"/>
      <c r="N77" s="1560" t="n"/>
      <c r="O77" s="1560" t="n"/>
    </row>
    <row r="78">
      <c r="B78" s="1560" t="n"/>
      <c r="C78" s="1560" t="n"/>
      <c r="D78" s="1560" t="n"/>
      <c r="E78" s="1560" t="n"/>
      <c r="F78" s="1560" t="n"/>
      <c r="G78" s="1560" t="n"/>
      <c r="H78" s="1560" t="n"/>
      <c r="I78" s="1560" t="n"/>
      <c r="J78" s="1560" t="n"/>
      <c r="K78" s="1560" t="n"/>
      <c r="L78" s="1560" t="n"/>
      <c r="M78" s="1560" t="n"/>
      <c r="N78" s="1560" t="n"/>
      <c r="O78" s="1560" t="n"/>
    </row>
    <row r="79">
      <c r="B79" s="1560" t="n"/>
      <c r="C79" s="1560" t="n"/>
      <c r="D79" s="1560" t="n"/>
      <c r="E79" s="1560" t="n"/>
      <c r="F79" s="1560" t="n"/>
      <c r="G79" s="1560" t="n"/>
      <c r="H79" s="1560" t="n"/>
      <c r="I79" s="1560" t="n"/>
      <c r="J79" s="1560" t="n"/>
      <c r="K79" s="1560" t="n"/>
      <c r="L79" s="1560" t="n"/>
      <c r="M79" s="1560" t="n"/>
      <c r="N79" s="1560" t="n"/>
      <c r="O79" s="1560" t="n"/>
    </row>
    <row r="80">
      <c r="B80" s="1560" t="n"/>
      <c r="C80" s="1560" t="n"/>
      <c r="D80" s="1560" t="n"/>
      <c r="E80" s="1560" t="n"/>
      <c r="F80" s="1560" t="n"/>
      <c r="G80" s="1560" t="n"/>
      <c r="H80" s="1560" t="n"/>
      <c r="I80" s="1560" t="n"/>
      <c r="J80" s="1560" t="n"/>
      <c r="K80" s="1560" t="n"/>
      <c r="L80" s="1560" t="n"/>
      <c r="M80" s="1560" t="n"/>
      <c r="N80" s="1560" t="n"/>
      <c r="O80" s="1560" t="n"/>
    </row>
    <row r="81" customFormat="1" s="1560"/>
    <row r="82" customFormat="1" s="1560"/>
    <row r="83" customFormat="1" s="1560"/>
    <row r="84" customFormat="1" s="1560"/>
    <row r="85" customFormat="1" s="1560"/>
    <row r="86" customFormat="1" s="1560"/>
    <row r="87" customFormat="1" s="1560"/>
    <row r="88" customFormat="1" s="1560"/>
    <row r="89" customFormat="1" s="1560"/>
    <row r="90" customFormat="1" s="1560"/>
    <row r="91" customFormat="1" s="1560"/>
    <row r="92" customFormat="1" s="1560"/>
    <row r="93" customFormat="1" s="1560"/>
    <row r="94" customFormat="1" s="1560"/>
    <row r="95" customFormat="1" s="1560"/>
    <row r="96" customFormat="1" s="1560"/>
    <row r="97" customFormat="1" s="1560"/>
    <row r="98" customFormat="1" s="1560"/>
    <row r="99" customFormat="1" s="1560"/>
    <row r="100" customFormat="1" s="1560"/>
    <row r="101" customFormat="1" s="1560"/>
    <row r="102" customFormat="1" s="1560"/>
  </sheetData>
  <mergeCells count="39">
    <mergeCell ref="D60:E60"/>
    <mergeCell ref="A24:E24"/>
    <mergeCell ref="D63:E63"/>
    <mergeCell ref="A49:E49"/>
    <mergeCell ref="A21:C21"/>
    <mergeCell ref="G3:O3"/>
    <mergeCell ref="D22:E22"/>
    <mergeCell ref="D31:E31"/>
    <mergeCell ref="D65:E65"/>
    <mergeCell ref="T51:V51"/>
    <mergeCell ref="D21:E21"/>
    <mergeCell ref="S50:V50"/>
    <mergeCell ref="D11:E11"/>
    <mergeCell ref="A14:C14"/>
    <mergeCell ref="D27:E27"/>
    <mergeCell ref="A22:C22"/>
    <mergeCell ref="D61:E61"/>
    <mergeCell ref="D32:E32"/>
    <mergeCell ref="J4:K4"/>
    <mergeCell ref="D16:E16"/>
    <mergeCell ref="D28:E28"/>
    <mergeCell ref="D62:E62"/>
    <mergeCell ref="A8:E8"/>
    <mergeCell ref="A15:C15"/>
    <mergeCell ref="D9:E9"/>
    <mergeCell ref="D25:E25"/>
    <mergeCell ref="A35:E35"/>
    <mergeCell ref="D30:E30"/>
    <mergeCell ref="D64:E64"/>
    <mergeCell ref="D15:E15"/>
    <mergeCell ref="D33:E33"/>
    <mergeCell ref="D29:E29"/>
    <mergeCell ref="D14:E14"/>
    <mergeCell ref="A13:E13"/>
    <mergeCell ref="A58:E58"/>
    <mergeCell ref="D26:E26"/>
    <mergeCell ref="M4:N4"/>
    <mergeCell ref="D59:E59"/>
    <mergeCell ref="A16:C16"/>
  </mergeCells>
  <dataValidations disablePrompts="1" count="3">
    <dataValidation sqref="A65" showDropDown="0" showInputMessage="1" showErrorMessage="1" allowBlank="1" prompt="Enter how you want value to round.  Example:  100,000, or 50,000.  Only number is needed.  Text will autopopulate."/>
    <dataValidation sqref="A62" showDropDown="0" showInputMessage="1" showErrorMessage="1" allowBlank="1" prompt="Autopopulates with the concluded capitalization rate from the CapRates tab Cell C13."/>
    <dataValidation sqref="A60" showDropDown="0" showInputMessage="1" showErrorMessage="1" allowBlank="1" prompt="Enter capitalization rate spread.  Example 0.25.  Only value is needed.  Text will autopopulate.  Will also autopopulate cell B44 and B46."/>
  </dataValidations>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P107"/>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8" customWidth="1" style="1449" min="1" max="1"/>
    <col width="12" customWidth="1" style="1449" min="2" max="2"/>
    <col width="28" customWidth="1" style="1449" min="3" max="3"/>
    <col width="14" customWidth="1" style="1449" min="4" max="4"/>
    <col width="11.85546875" customWidth="1" style="1449" min="5" max="5"/>
    <col width="20" customWidth="1" style="1449" min="6" max="6"/>
    <col width="22" customWidth="1" style="1449" min="7" max="7"/>
    <col width="8" customWidth="1" style="1449" min="8" max="10"/>
    <col width="20" customWidth="1" style="1449" min="11" max="11"/>
    <col width="30" customWidth="1" style="1449" min="12" max="12"/>
    <col width="35" customWidth="1" style="1449" min="13" max="13"/>
    <col width="12" customWidth="1" style="1449" min="14" max="14"/>
    <col width="50" customWidth="1" style="1449" min="15" max="15"/>
  </cols>
  <sheetData>
    <row r="1" ht="24" customHeight="1" s="1449">
      <c r="A1" s="1700" t="inlineStr">
        <is>
          <t>COMMERCIAL PROPERTY EXPENSE DATABASE ? PROPERTY REGISTRY</t>
        </is>
      </c>
    </row>
    <row r="2" ht="15.95" customHeight="1" s="1449">
      <c r="A2" s="1702" t="inlineStr">
        <is>
          <t>Adams County Assessor | Add one row per property | Used to track all expense comp submissions</t>
        </is>
      </c>
    </row>
    <row r="3" ht="30" customHeight="1" s="1449">
      <c r="A3" s="2335" t="inlineStr">
        <is>
          <t>Prop ID</t>
        </is>
      </c>
      <c r="B3" s="2336" t="inlineStr">
        <is>
          <t>Occ Code</t>
        </is>
      </c>
      <c r="C3" s="2336" t="inlineStr">
        <is>
          <t>Account #</t>
        </is>
      </c>
      <c r="D3" s="2335" t="inlineStr">
        <is>
          <t>Address</t>
        </is>
      </c>
      <c r="E3" s="2335" t="inlineStr">
        <is>
          <t>City</t>
        </is>
      </c>
      <c r="F3" s="2335" t="inlineStr">
        <is>
          <t>State</t>
        </is>
      </c>
      <c r="G3" s="2335" t="inlineStr">
        <is>
          <t>Property Type</t>
        </is>
      </c>
      <c r="H3" s="2335" t="inlineStr">
        <is>
          <t>Subtype</t>
        </is>
      </c>
      <c r="I3" s="2335" t="inlineStr">
        <is>
          <t>Year Built</t>
        </is>
      </c>
      <c r="J3" s="2335" t="inlineStr">
        <is>
          <t>Bldg SF</t>
        </is>
      </c>
      <c r="K3" s="2335" t="inlineStr">
        <is>
          <t>Land SF</t>
        </is>
      </c>
      <c r="L3" s="2335" t="inlineStr">
        <is>
          <t>Parcel / Schedule #</t>
        </is>
      </c>
      <c r="M3" s="2335" t="inlineStr">
        <is>
          <t>Owner</t>
        </is>
      </c>
      <c r="N3" s="2335" t="inlineStr">
        <is>
          <t>Data Source</t>
        </is>
      </c>
      <c r="O3" s="2335" t="inlineStr">
        <is>
          <t>Date Added</t>
        </is>
      </c>
      <c r="P3" s="2335" t="inlineStr">
        <is>
          <t>Notes</t>
        </is>
      </c>
    </row>
    <row r="4" ht="42" customHeight="1" s="1449">
      <c r="A4" s="2337" t="inlineStr">
        <is>
          <t>P001</t>
        </is>
      </c>
      <c r="B4" s="2338" t="n">
        <v>407</v>
      </c>
      <c r="C4" s="2339" t="inlineStr">
        <is>
          <t>R0157664</t>
        </is>
      </c>
      <c r="D4" s="2337" t="inlineStr">
        <is>
          <t>6045 E. 76th Avenue</t>
        </is>
      </c>
      <c r="E4" s="2337" t="inlineStr">
        <is>
          <t>Commerce City</t>
        </is>
      </c>
      <c r="F4" s="2337" t="inlineStr">
        <is>
          <t>CO</t>
        </is>
      </c>
      <c r="G4" s="2337" t="inlineStr">
        <is>
          <t>Light Industrial</t>
        </is>
      </c>
      <c r="H4" s="2337" t="inlineStr">
        <is>
          <t>Distribution Warehouse</t>
        </is>
      </c>
      <c r="I4" s="2340" t="n">
        <v>1988</v>
      </c>
      <c r="J4" s="2340" t="n">
        <v>21000</v>
      </c>
      <c r="K4" s="2340" t="n">
        <v>66700</v>
      </c>
      <c r="L4" s="2337" t="inlineStr">
        <is>
          <t>R0157664 / 0172132216014</t>
        </is>
      </c>
      <c r="M4" s="2337" t="inlineStr">
        <is>
          <t>4711 West Tennessee Avenue LLC</t>
        </is>
      </c>
      <c r="N4" s="2337" t="inlineStr">
        <is>
          <t>Owner P&amp;L + RH Jacobson Analysis</t>
        </is>
      </c>
      <c r="O4" s="2337" t="inlineStr">
        <is>
          <t>2026-06-01</t>
        </is>
      </c>
      <c r="P4" s="2337" t="inlineStr">
        <is>
          <t>28.5% vacancy; inferior access through 2 adjoining parcels; appeal tax year 2025-26</t>
        </is>
      </c>
    </row>
    <row r="5" ht="39.95" customHeight="1" s="1449">
      <c r="A5" s="2337" t="inlineStr">
        <is>
          <t>P002</t>
        </is>
      </c>
      <c r="B5" s="2338" t="n">
        <v>344</v>
      </c>
      <c r="C5" s="2339" t="inlineStr">
        <is>
          <t>Unknown</t>
        </is>
      </c>
      <c r="D5" s="2337" t="inlineStr">
        <is>
          <t>13659 E. 104th Ave</t>
        </is>
      </c>
      <c r="E5" s="2337" t="inlineStr">
        <is>
          <t>Adams County</t>
        </is>
      </c>
      <c r="F5" s="2337" t="inlineStr">
        <is>
          <t>CO</t>
        </is>
      </c>
      <c r="G5" s="2337" t="inlineStr">
        <is>
          <t>Office/Commercial</t>
        </is>
      </c>
      <c r="H5" s="2337" t="inlineStr">
        <is>
          <t>Multi-tenant</t>
        </is>
      </c>
      <c r="I5" s="2337" t="n"/>
      <c r="J5" s="2337" t="n"/>
      <c r="K5" s="2337" t="n"/>
      <c r="L5" s="2337" t="inlineStr">
        <is>
          <t>Unknown</t>
        </is>
      </c>
      <c r="M5" s="2337" t="inlineStr">
        <is>
          <t>PMC-managed HOA structure</t>
        </is>
      </c>
      <c r="N5" s="2337" t="inlineStr">
        <is>
          <t>Owner Operating Statements (BAA CASES root)</t>
        </is>
      </c>
      <c r="O5" s="2337" t="inlineStr">
        <is>
          <t>2026-06-01</t>
        </is>
      </c>
      <c r="P5" s="2337" t="inlineStr">
        <is>
          <t>SF unknown; 2023-2024 actuals from operating statement submitted in BAA appeal</t>
        </is>
      </c>
    </row>
    <row r="6" ht="39.95" customHeight="1" s="1449">
      <c r="A6" s="2337" t="inlineStr">
        <is>
          <t>P003</t>
        </is>
      </c>
      <c r="B6" s="2338" t="n">
        <v>344</v>
      </c>
      <c r="C6" s="2339" t="inlineStr">
        <is>
          <t>R0024063</t>
        </is>
      </c>
      <c r="D6" s="2337" t="inlineStr">
        <is>
          <t>Park Centre - Wells Fargo Bldg (12000 N Pecos area)</t>
        </is>
      </c>
      <c r="E6" s="2337" t="inlineStr">
        <is>
          <t>Westminster</t>
        </is>
      </c>
      <c r="F6" s="2337" t="inlineStr">
        <is>
          <t>CO</t>
        </is>
      </c>
      <c r="G6" s="2337" t="inlineStr">
        <is>
          <t>Office</t>
        </is>
      </c>
      <c r="H6" s="2337" t="inlineStr">
        <is>
          <t>Class B Multi-tenant</t>
        </is>
      </c>
      <c r="I6" s="2337" t="n"/>
      <c r="J6" s="2340" t="n">
        <v>49479</v>
      </c>
      <c r="K6" s="2337" t="n"/>
      <c r="L6" s="2337" t="inlineStr">
        <is>
          <t>R0024063</t>
        </is>
      </c>
      <c r="M6" s="2337" t="inlineStr">
        <is>
          <t>Westfield Managed</t>
        </is>
      </c>
      <c r="N6" s="2337" t="inlineStr">
        <is>
          <t>FINANCIALS.pdf + PROFORMA REVISED.xlsx</t>
        </is>
      </c>
      <c r="O6" s="2337" t="inlineStr">
        <is>
          <t>2026-06-01</t>
        </is>
      </c>
      <c r="P6" s="2337" t="inlineStr">
        <is>
          <t>49,479 SF leasable; complex multi-tenant office; Westfield managed; BAA appeal case</t>
        </is>
      </c>
    </row>
    <row r="7" ht="39.95" customHeight="1" s="1449">
      <c r="A7" s="2337" t="inlineStr">
        <is>
          <t>P004</t>
        </is>
      </c>
      <c r="B7" s="2338" t="n">
        <v>412</v>
      </c>
      <c r="C7" s="2339" t="inlineStr">
        <is>
          <t>R0050221</t>
        </is>
      </c>
      <c r="D7" s="2337" t="inlineStr">
        <is>
          <t>8860 Federal Blvd</t>
        </is>
      </c>
      <c r="E7" s="2337" t="inlineStr">
        <is>
          <t>Adams County</t>
        </is>
      </c>
      <c r="F7" s="2337" t="inlineStr">
        <is>
          <t>CO</t>
        </is>
      </c>
      <c r="G7" s="2337" t="inlineStr">
        <is>
          <t>Retail</t>
        </is>
      </c>
      <c r="H7" s="2337" t="inlineStr">
        <is>
          <t>Strip/Multi-tenant</t>
        </is>
      </c>
      <c r="I7" s="2337" t="n"/>
      <c r="J7" s="2340" t="n">
        <v>65850</v>
      </c>
      <c r="K7" s="2337" t="n"/>
      <c r="L7" s="2337" t="inlineStr">
        <is>
          <t>R0050221</t>
        </is>
      </c>
      <c r="M7" s="2337" t="inlineStr">
        <is>
          <t>Enger Family Partnership LLLP</t>
        </is>
      </c>
      <c r="N7" s="2337" t="inlineStr">
        <is>
          <t>ACTUALS.pdf (BAA CASES)</t>
        </is>
      </c>
      <c r="O7" s="2337" t="inlineStr">
        <is>
          <t>2026-06-01</t>
        </is>
      </c>
      <c r="P7" s="2337" t="inlineStr">
        <is>
          <t>65,850 SF retail strip; triple-net structure with CAM recoveries; 2023-2024 actuals</t>
        </is>
      </c>
    </row>
    <row r="8" ht="39.95" customHeight="1" s="1449">
      <c r="A8" s="2337" t="inlineStr">
        <is>
          <t>P005</t>
        </is>
      </c>
      <c r="B8" s="2338" t="n">
        <v>344</v>
      </c>
      <c r="C8" s="2339" t="inlineStr">
        <is>
          <t>R0050977</t>
        </is>
      </c>
      <c r="D8" s="2337" t="inlineStr">
        <is>
          <t>9351 Grant St (Horizon Terrace)</t>
        </is>
      </c>
      <c r="E8" s="2337" t="inlineStr">
        <is>
          <t>Thornton</t>
        </is>
      </c>
      <c r="F8" s="2337" t="inlineStr">
        <is>
          <t>CO</t>
        </is>
      </c>
      <c r="G8" s="2337" t="inlineStr">
        <is>
          <t>Office</t>
        </is>
      </c>
      <c r="H8" s="2337" t="inlineStr">
        <is>
          <t>Class B Multi-story Multi-tenant</t>
        </is>
      </c>
      <c r="I8" s="2337" t="n"/>
      <c r="J8" s="2340" t="n">
        <v>91646</v>
      </c>
      <c r="K8" s="2337" t="n"/>
      <c r="L8" s="2337" t="inlineStr">
        <is>
          <t>R0050977</t>
        </is>
      </c>
      <c r="M8" s="2337" t="inlineStr">
        <is>
          <t>Horizon Terrace</t>
        </is>
      </c>
      <c r="N8" s="2337" t="inlineStr">
        <is>
          <t>Income Statements 2023 &amp; 2024 PDFs</t>
        </is>
      </c>
      <c r="O8" s="2337" t="inlineStr">
        <is>
          <t>2026-06-01</t>
        </is>
      </c>
      <c r="P8" s="2337" t="inlineStr">
        <is>
          <t>91,646 SF; full-service multi-tenant office with janitorial, security, elevator; Westfield managed</t>
        </is>
      </c>
    </row>
    <row r="9" ht="39.95" customHeight="1" s="1449">
      <c r="A9" s="2337" t="inlineStr">
        <is>
          <t>P006</t>
        </is>
      </c>
      <c r="B9" s="2338" t="n">
        <v>210</v>
      </c>
      <c r="C9" s="2339" t="inlineStr">
        <is>
          <t>R0062937</t>
        </is>
      </c>
      <c r="D9" s="2337" t="inlineStr">
        <is>
          <t>8670 Wolff Ct (Sheridan Park 8)</t>
        </is>
      </c>
      <c r="E9" s="2337" t="inlineStr">
        <is>
          <t>Westminster</t>
        </is>
      </c>
      <c r="F9" s="2337" t="inlineStr">
        <is>
          <t>CO</t>
        </is>
      </c>
      <c r="G9" s="2337" t="inlineStr">
        <is>
          <t>Office/Flex</t>
        </is>
      </c>
      <c r="H9" s="2337" t="inlineStr">
        <is>
          <t>Multi-tenant</t>
        </is>
      </c>
      <c r="I9" s="2337" t="n"/>
      <c r="J9" s="2340" t="n">
        <v>37078</v>
      </c>
      <c r="K9" s="2337" t="n"/>
      <c r="L9" s="2337" t="inlineStr">
        <is>
          <t>R0062937</t>
        </is>
      </c>
      <c r="M9" s="2337" t="inlineStr">
        <is>
          <t>Unknown</t>
        </is>
      </c>
      <c r="N9" s="2337" t="inlineStr">
        <is>
          <t>Operating Expense History DYCO.pdf</t>
        </is>
      </c>
      <c r="O9" s="2337" t="inlineStr">
        <is>
          <t>2026-06-01</t>
        </is>
      </c>
      <c r="P9" s="2337" t="inlineStr">
        <is>
          <t>~37,078 SF (derived from PSF); CAM reimbursable expense structure; 2020-2024 expense history</t>
        </is>
      </c>
    </row>
    <row r="10" ht="39.95" customHeight="1" s="1449">
      <c r="A10" s="2337" t="inlineStr">
        <is>
          <t>P007</t>
        </is>
      </c>
      <c r="B10" s="2338" t="n">
        <v>341</v>
      </c>
      <c r="C10" s="2339" t="inlineStr">
        <is>
          <t>R0062944</t>
        </is>
      </c>
      <c r="D10" s="2337" t="inlineStr">
        <is>
          <t>8787 (medical office complex)</t>
        </is>
      </c>
      <c r="E10" s="2337" t="inlineStr">
        <is>
          <t>Adams County</t>
        </is>
      </c>
      <c r="F10" s="2337" t="inlineStr">
        <is>
          <t>CO</t>
        </is>
      </c>
      <c r="G10" s="2337" t="inlineStr">
        <is>
          <t>Medical Office</t>
        </is>
      </c>
      <c r="H10" s="2337" t="inlineStr">
        <is>
          <t>Multi-tenant</t>
        </is>
      </c>
      <c r="I10" s="2337" t="n"/>
      <c r="J10" s="2340" t="n">
        <v>19430</v>
      </c>
      <c r="K10" s="2337" t="n"/>
      <c r="L10" s="2337" t="inlineStr">
        <is>
          <t>R0062944</t>
        </is>
      </c>
      <c r="M10" s="2337" t="inlineStr">
        <is>
          <t>MENDI-CO II LLC</t>
        </is>
      </c>
      <c r="N10" s="2337" t="inlineStr">
        <is>
          <t>2023 OPS.xlsx + 2024 OPS.xlsx</t>
        </is>
      </c>
      <c r="O10" s="2337" t="inlineStr">
        <is>
          <t>2026-06-01</t>
        </is>
      </c>
      <c r="P10" s="2337" t="inlineStr">
        <is>
          <t>~19,430 SF (derived); tenants: Denver Springs, Access VP, Colorado Net, Westminster Eye; 2023-2024 actuals</t>
        </is>
      </c>
    </row>
    <row r="11" ht="39.95" customHeight="1" s="1449">
      <c r="A11" s="2337" t="inlineStr">
        <is>
          <t>P008</t>
        </is>
      </c>
      <c r="B11" s="2338" t="n">
        <v>210</v>
      </c>
      <c r="C11" s="2339" t="inlineStr">
        <is>
          <t>R0070622</t>
        </is>
      </c>
      <c r="D11" s="2337" t="inlineStr">
        <is>
          <t>460-550 E. 76th Ave (WPC Corporate)</t>
        </is>
      </c>
      <c r="E11" s="2337" t="inlineStr">
        <is>
          <t>Adams County</t>
        </is>
      </c>
      <c r="F11" s="2337" t="inlineStr">
        <is>
          <t>CO</t>
        </is>
      </c>
      <c r="G11" s="2337" t="inlineStr">
        <is>
          <t>Industrial</t>
        </is>
      </c>
      <c r="H11" s="2337" t="inlineStr">
        <is>
          <t>Distribution/Flex Multi-tenant</t>
        </is>
      </c>
      <c r="I11" s="2337" t="n"/>
      <c r="J11" s="2340" t="n">
        <v>330935</v>
      </c>
      <c r="K11" s="2337" t="n"/>
      <c r="L11" s="2337" t="inlineStr">
        <is>
          <t>R0070622</t>
        </is>
      </c>
      <c r="M11" s="2337" t="inlineStr">
        <is>
          <t>WPC Corporate LLC</t>
        </is>
      </c>
      <c r="N11" s="2337" t="inlineStr">
        <is>
          <t>ACTUALS.pdf (BAA CASES)</t>
        </is>
      </c>
      <c r="O11" s="2337" t="inlineStr">
        <is>
          <t>2026-06-01</t>
        </is>
      </c>
      <c r="P11" s="2337" t="inlineStr">
        <is>
          <t>330,935 SF industrial; 2024 actuals only; large multi-tenant distribution complex</t>
        </is>
      </c>
    </row>
    <row r="12" ht="39.95" customHeight="1" s="1449">
      <c r="A12" s="2337" t="inlineStr">
        <is>
          <t>P009</t>
        </is>
      </c>
      <c r="B12" s="2338" t="n">
        <v>407</v>
      </c>
      <c r="C12" s="2339" t="inlineStr">
        <is>
          <t>R0075212</t>
        </is>
      </c>
      <c r="D12" s="2337" t="inlineStr">
        <is>
          <t>10500 Havana Court</t>
        </is>
      </c>
      <c r="E12" s="2337" t="inlineStr">
        <is>
          <t>Adams County</t>
        </is>
      </c>
      <c r="F12" s="2337" t="inlineStr">
        <is>
          <t>CO</t>
        </is>
      </c>
      <c r="G12" s="2337" t="inlineStr">
        <is>
          <t>Industrial</t>
        </is>
      </c>
      <c r="H12" s="2337" t="inlineStr">
        <is>
          <t>NNN Single-tenant</t>
        </is>
      </c>
      <c r="I12" s="2337" t="n"/>
      <c r="J12" s="2337" t="n"/>
      <c r="K12" s="2337" t="n"/>
      <c r="L12" s="2337" t="inlineStr">
        <is>
          <t>R0075212</t>
        </is>
      </c>
      <c r="M12" s="2337" t="inlineStr">
        <is>
          <t>Jellison Street LLP</t>
        </is>
      </c>
      <c r="N12" s="2337" t="inlineStr">
        <is>
          <t>PLEA USING ACTUALS AND TAX LOAD.pdf</t>
        </is>
      </c>
      <c r="O12" s="2337" t="inlineStr">
        <is>
          <t>2026-06-01</t>
        </is>
      </c>
      <c r="P12" s="2337" t="inlineStr">
        <is>
          <t>SF unknown; NNN lease structure; P&amp;L includes depreciation/mortgage (excluded from NOI calc); 2023-2024</t>
        </is>
      </c>
    </row>
    <row r="13" ht="39.95" customHeight="1" s="1449">
      <c r="A13" s="2337" t="inlineStr">
        <is>
          <t>P010</t>
        </is>
      </c>
      <c r="B13" s="2338" t="n">
        <v>210</v>
      </c>
      <c r="C13" s="2339" t="inlineStr">
        <is>
          <t>R0098225</t>
        </is>
      </c>
      <c r="D13" s="2337" t="inlineStr">
        <is>
          <t>Broadway Business Center (7040B Broadway)</t>
        </is>
      </c>
      <c r="E13" s="2337" t="inlineStr">
        <is>
          <t>Denver</t>
        </is>
      </c>
      <c r="F13" s="2337" t="inlineStr">
        <is>
          <t>CO</t>
        </is>
      </c>
      <c r="G13" s="2337" t="inlineStr">
        <is>
          <t>Flex/Industrial</t>
        </is>
      </c>
      <c r="H13" s="2337" t="inlineStr">
        <is>
          <t>Multi-tenant CAM</t>
        </is>
      </c>
      <c r="I13" s="2337" t="n"/>
      <c r="J13" s="2340" t="n">
        <v>105000</v>
      </c>
      <c r="K13" s="2337" t="n"/>
      <c r="L13" s="2337" t="inlineStr">
        <is>
          <t>R0098225</t>
        </is>
      </c>
      <c r="M13" s="2337" t="inlineStr">
        <is>
          <t>Broadway Business Center</t>
        </is>
      </c>
      <c r="N13" s="2337" t="inlineStr">
        <is>
          <t>2023 OPS.xlsx + 2024 OPS.xlsx</t>
        </is>
      </c>
      <c r="O13" s="2337" t="inlineStr">
        <is>
          <t>2026-06-01</t>
        </is>
      </c>
      <c r="P13" s="2337" t="inlineStr">
        <is>
          <t>~105,000 SF estimated; CAM-recoverable structure; 2024 RE Tax inflated by $111,314 prior-yr catchup; 2023-2024 actuals</t>
        </is>
      </c>
    </row>
    <row r="14" ht="39.95" customHeight="1" s="1449">
      <c r="A14" s="2337" t="inlineStr">
        <is>
          <t>P011</t>
        </is>
      </c>
      <c r="B14" s="2338" t="n">
        <v>210</v>
      </c>
      <c r="C14" s="2339" t="inlineStr">
        <is>
          <t>R0103767</t>
        </is>
      </c>
      <c r="D14" s="2337" t="inlineStr">
        <is>
          <t>5650 Washington St (Washington Business Park)</t>
        </is>
      </c>
      <c r="E14" s="2337" t="inlineStr">
        <is>
          <t>Adams County</t>
        </is>
      </c>
      <c r="F14" s="2337" t="inlineStr">
        <is>
          <t>CO</t>
        </is>
      </c>
      <c r="G14" s="2337" t="inlineStr">
        <is>
          <t>Industrial/Flex</t>
        </is>
      </c>
      <c r="H14" s="2337" t="inlineStr">
        <is>
          <t>Multi-tenant</t>
        </is>
      </c>
      <c r="I14" s="2337" t="n"/>
      <c r="J14" s="2337" t="n"/>
      <c r="K14" s="2337" t="n"/>
      <c r="L14" s="2337" t="inlineStr">
        <is>
          <t>R0103767</t>
        </is>
      </c>
      <c r="M14" s="2337" t="inlineStr">
        <is>
          <t>Unknown</t>
        </is>
      </c>
      <c r="N14" s="2337" t="inlineStr">
        <is>
          <t>Operating Statement (sans rent roll).pdf</t>
        </is>
      </c>
      <c r="O14" s="2337" t="inlineStr">
        <is>
          <t>2026-06-01</t>
        </is>
      </c>
      <c r="P14" s="2337" t="inlineStr">
        <is>
          <t>SF unknown; 2022-2024 actuals; management fee $54,025 in 2022 not shown in later years</t>
        </is>
      </c>
    </row>
    <row r="15" ht="39.95" customHeight="1" s="1449">
      <c r="A15" s="2337" t="inlineStr">
        <is>
          <t>P012</t>
        </is>
      </c>
      <c r="B15" s="2338" t="n">
        <v>344</v>
      </c>
      <c r="C15" s="2339" t="inlineStr">
        <is>
          <t>R0124385</t>
        </is>
      </c>
      <c r="D15" s="2337" t="inlineStr">
        <is>
          <t>Unknown (Tax District 555)</t>
        </is>
      </c>
      <c r="E15" s="2337" t="inlineStr">
        <is>
          <t>Adams County</t>
        </is>
      </c>
      <c r="F15" s="2337" t="inlineStr">
        <is>
          <t>CO</t>
        </is>
      </c>
      <c r="G15" s="2337" t="inlineStr">
        <is>
          <t>Office</t>
        </is>
      </c>
      <c r="H15" s="2337" t="inlineStr">
        <is>
          <t>Multi-tenant</t>
        </is>
      </c>
      <c r="I15" s="2337" t="n"/>
      <c r="J15" s="2340" t="n">
        <v>20170</v>
      </c>
      <c r="K15" s="2337" t="n"/>
      <c r="L15" s="2337" t="inlineStr">
        <is>
          <t>R0124385</t>
        </is>
      </c>
      <c r="M15" s="2337" t="inlineStr">
        <is>
          <t>Unknown</t>
        </is>
      </c>
      <c r="N15" s="2337" t="inlineStr">
        <is>
          <t>PROFORMA BASIS FOR OFFER.xlsx (actuals section)</t>
        </is>
      </c>
      <c r="O15" s="2337" t="inlineStr">
        <is>
          <t>2026-06-01</t>
        </is>
      </c>
      <c r="P15" s="2337" t="inlineStr">
        <is>
          <t>20,170 SF; 2023-2024 actuals extracted from proforma submission; limited line-item detail</t>
        </is>
      </c>
    </row>
    <row r="16" ht="39.95" customHeight="1" s="1449">
      <c r="A16" s="2337" t="inlineStr">
        <is>
          <t>P013</t>
        </is>
      </c>
      <c r="B16" s="2338" t="n">
        <v>353</v>
      </c>
      <c r="C16" s="2339" t="inlineStr">
        <is>
          <t>R0169176</t>
        </is>
      </c>
      <c r="D16" s="2337" t="inlineStr">
        <is>
          <t>Unknown (new construction, opened Oct 2023)</t>
        </is>
      </c>
      <c r="E16" s="2337" t="inlineStr">
        <is>
          <t>Adams County</t>
        </is>
      </c>
      <c r="F16" s="2337" t="inlineStr">
        <is>
          <t>CO</t>
        </is>
      </c>
      <c r="G16" s="2337" t="inlineStr">
        <is>
          <t>Retail/Office</t>
        </is>
      </c>
      <c r="H16" s="2337" t="inlineStr">
        <is>
          <t>Multi-tenant</t>
        </is>
      </c>
      <c r="I16" s="2340" t="n">
        <v>2023</v>
      </c>
      <c r="J16" s="2337" t="n"/>
      <c r="K16" s="2337" t="n"/>
      <c r="L16" s="2337" t="inlineStr">
        <is>
          <t>R0169176</t>
        </is>
      </c>
      <c r="M16" s="2337" t="inlineStr">
        <is>
          <t>Unknown</t>
        </is>
      </c>
      <c r="N16" s="2337" t="inlineStr">
        <is>
          <t>Income Statement 2023.xlsx + 2024.xlsx</t>
        </is>
      </c>
      <c r="O16" s="2337" t="inlineStr">
        <is>
          <t>2026-06-01</t>
        </is>
      </c>
      <c r="P16" s="2337" t="inlineStr">
        <is>
          <t>SF unknown; 2023 partial year (opened Oct 2023); 2024 full year; large RE tax load typical of new construction</t>
        </is>
      </c>
    </row>
    <row r="17" ht="39.95" customHeight="1" s="1449">
      <c r="A17" s="2337" t="inlineStr">
        <is>
          <t>P014</t>
        </is>
      </c>
      <c r="B17" s="2338" t="n">
        <v>407</v>
      </c>
      <c r="C17" s="2339" t="inlineStr">
        <is>
          <t>R0198530</t>
        </is>
      </c>
      <c r="D17" s="2337" t="inlineStr">
        <is>
          <t>Amazon DEN7 Distribution Center</t>
        </is>
      </c>
      <c r="E17" s="2337" t="inlineStr">
        <is>
          <t>Aurora</t>
        </is>
      </c>
      <c r="F17" s="2337" t="inlineStr">
        <is>
          <t>CO</t>
        </is>
      </c>
      <c r="G17" s="2337" t="inlineStr">
        <is>
          <t>Industrial/Distribution</t>
        </is>
      </c>
      <c r="H17" s="2337" t="inlineStr">
        <is>
          <t>Single-tenant NNN</t>
        </is>
      </c>
      <c r="I17" s="2337" t="n"/>
      <c r="J17" s="2340" t="n">
        <v>555840</v>
      </c>
      <c r="K17" s="2337" t="n"/>
      <c r="L17" s="2337" t="inlineStr">
        <is>
          <t>R0198530</t>
        </is>
      </c>
      <c r="M17" s="2337" t="inlineStr">
        <is>
          <t>Amazon (tenant)</t>
        </is>
      </c>
      <c r="N17" s="2337" t="inlineStr">
        <is>
          <t>CAM Reconciliation 2023 &amp; 2024 OPS.pdf</t>
        </is>
      </c>
      <c r="O17" s="2337" t="inlineStr">
        <is>
          <t>2026-06-01</t>
        </is>
      </c>
      <c r="P17" s="2337" t="inlineStr">
        <is>
          <t>555,840 SF Amazon fulfillment center; NNN ? expenses = LL CAM billed to tenant; RE Tax dominant expense; 2023-2024</t>
        </is>
      </c>
    </row>
    <row r="18">
      <c r="A18" s="2341" t="inlineStr">
        <is>
          <t>P015</t>
        </is>
      </c>
      <c r="B18" s="2338" t="n">
        <v>407</v>
      </c>
      <c r="C18" s="2339" t="inlineStr">
        <is>
          <t>R0180894</t>
        </is>
      </c>
      <c r="D18" s="2341" t="inlineStr">
        <is>
          <t>1910 N Gun Club Rd</t>
        </is>
      </c>
      <c r="E18" s="2341" t="inlineStr">
        <is>
          <t>Aurora</t>
        </is>
      </c>
      <c r="F18" s="2341" t="inlineStr">
        <is>
          <t>CO</t>
        </is>
      </c>
      <c r="G18" s="2341" t="inlineStr">
        <is>
          <t>Industrial</t>
        </is>
      </c>
      <c r="H18" s="2341" t="inlineStr">
        <is>
          <t>Distribution Warehouse Multi-Tenant NNN</t>
        </is>
      </c>
      <c r="I18" s="2341" t="n">
        <v>2019</v>
      </c>
      <c r="J18" s="2341" t="n">
        <v>163386</v>
      </c>
      <c r="K18" s="2341" t="n"/>
      <c r="L18" s="2341" t="inlineStr">
        <is>
          <t>R0180894</t>
        </is>
      </c>
      <c r="M18" s="2341" t="n"/>
      <c r="N18" s="2341" t="inlineStr">
        <is>
          <t>MHE 2025 BAA – Owner submitted P&amp;L</t>
        </is>
      </c>
      <c r="O18" s="2341" t="inlineStr">
        <is>
          <t>2026-06-01</t>
        </is>
      </c>
      <c r="P18" s="2341" t="inlineStr">
        <is>
          <t>Actual accrual income; 2023–2024</t>
        </is>
      </c>
    </row>
    <row r="19">
      <c r="A19" s="2342" t="inlineStr">
        <is>
          <t>P016</t>
        </is>
      </c>
      <c r="B19" s="2338" t="n">
        <v>584</v>
      </c>
      <c r="C19" s="2339" t="inlineStr">
        <is>
          <t>R0212546/R0212547</t>
        </is>
      </c>
      <c r="D19" s="2342" t="inlineStr">
        <is>
          <t>2780 N Tower Rd</t>
        </is>
      </c>
      <c r="E19" s="2342" t="inlineStr">
        <is>
          <t>Aurora</t>
        </is>
      </c>
      <c r="F19" s="2342" t="inlineStr">
        <is>
          <t>CO</t>
        </is>
      </c>
      <c r="G19" s="2342" t="inlineStr">
        <is>
          <t>Industrial</t>
        </is>
      </c>
      <c r="H19" s="2342" t="inlineStr">
        <is>
          <t>Mega Warehouse NNN</t>
        </is>
      </c>
      <c r="I19" s="2342" t="n">
        <v>1983</v>
      </c>
      <c r="J19" s="2342" t="n">
        <v>384953</v>
      </c>
      <c r="K19" s="2342" t="n"/>
      <c r="L19" s="2342" t="inlineStr">
        <is>
          <t>R0212546/R0212547</t>
        </is>
      </c>
      <c r="M19" s="2342" t="n"/>
      <c r="N19" s="2342" t="inlineStr">
        <is>
          <t>MHE 2025 BAA – County proforma</t>
        </is>
      </c>
      <c r="O19" s="2342" t="inlineStr">
        <is>
          <t>2026-06-01</t>
        </is>
      </c>
      <c r="P19" s="2342" t="inlineStr">
        <is>
          <t>County proforma; 2024 only</t>
        </is>
      </c>
    </row>
    <row r="20">
      <c r="A20" s="2341" t="inlineStr">
        <is>
          <t>P017</t>
        </is>
      </c>
      <c r="B20" s="2338" t="n">
        <v>210</v>
      </c>
      <c r="C20" s="2339" t="inlineStr">
        <is>
          <t>R0098098</t>
        </is>
      </c>
      <c r="D20" s="2341" t="inlineStr">
        <is>
          <t>1445 E 68th Ave</t>
        </is>
      </c>
      <c r="E20" s="2341" t="inlineStr">
        <is>
          <t>Denver</t>
        </is>
      </c>
      <c r="F20" s="2341" t="inlineStr">
        <is>
          <t>CO</t>
        </is>
      </c>
      <c r="G20" s="2341" t="inlineStr">
        <is>
          <t>Industrial</t>
        </is>
      </c>
      <c r="H20" s="2341" t="inlineStr">
        <is>
          <t>Industrial Office Mix</t>
        </is>
      </c>
      <c r="I20" s="2341" t="n">
        <v>1972</v>
      </c>
      <c r="J20" s="2341" t="n">
        <v>63348</v>
      </c>
      <c r="K20" s="2341" t="n"/>
      <c r="L20" s="2341" t="inlineStr">
        <is>
          <t>R0098098</t>
        </is>
      </c>
      <c r="M20" s="2341" t="n"/>
      <c r="N20" s="2341" t="inlineStr">
        <is>
          <t>MHE 2025 BAA – County proforma</t>
        </is>
      </c>
      <c r="O20" s="2341" t="inlineStr">
        <is>
          <t>2026-06-01</t>
        </is>
      </c>
      <c r="P20" s="2341" t="inlineStr">
        <is>
          <t>YOC 1972/2006/2023; county proforma 2024</t>
        </is>
      </c>
    </row>
    <row r="21">
      <c r="A21" s="2342" t="inlineStr">
        <is>
          <t>P018</t>
        </is>
      </c>
      <c r="B21" s="2338" t="n">
        <v>406</v>
      </c>
      <c r="C21" s="2339" t="inlineStr">
        <is>
          <t>R0103783</t>
        </is>
      </c>
      <c r="D21" s="2342" t="inlineStr">
        <is>
          <t>2031 E 58th Ave</t>
        </is>
      </c>
      <c r="E21" s="2342" t="inlineStr">
        <is>
          <t>Denver</t>
        </is>
      </c>
      <c r="F21" s="2342" t="inlineStr">
        <is>
          <t>CO</t>
        </is>
      </c>
      <c r="G21" s="2342" t="inlineStr">
        <is>
          <t>Industrial</t>
        </is>
      </c>
      <c r="H21" s="2342" t="inlineStr">
        <is>
          <t>Storage Warehouse / Mod Office NNN</t>
        </is>
      </c>
      <c r="I21" s="2342" t="n">
        <v>2004</v>
      </c>
      <c r="J21" s="2342" t="n">
        <v>18720</v>
      </c>
      <c r="K21" s="2342" t="n"/>
      <c r="L21" s="2342" t="inlineStr">
        <is>
          <t>R0103783</t>
        </is>
      </c>
      <c r="M21" s="2342" t="n"/>
      <c r="N21" s="2342" t="inlineStr">
        <is>
          <t>MHE 2025 BAA – NNN billed charges</t>
        </is>
      </c>
      <c r="O21" s="2342" t="inlineStr">
        <is>
          <t>2026-06-01</t>
        </is>
      </c>
      <c r="P21" s="2342" t="inlineStr">
        <is>
          <t>NNN actual billed charges 2019–2024</t>
        </is>
      </c>
    </row>
    <row r="22">
      <c r="A22" s="2341" t="inlineStr">
        <is>
          <t>P019</t>
        </is>
      </c>
      <c r="B22" s="2338" t="n">
        <v>407</v>
      </c>
      <c r="C22" s="2339" t="inlineStr">
        <is>
          <t>R0210402/R0210403</t>
        </is>
      </c>
      <c r="D22" s="2341" t="inlineStr">
        <is>
          <t>17190 E 85th Ave</t>
        </is>
      </c>
      <c r="E22" s="2341" t="inlineStr">
        <is>
          <t>Commerce City</t>
        </is>
      </c>
      <c r="F22" s="2341" t="inlineStr">
        <is>
          <t>CO</t>
        </is>
      </c>
      <c r="G22" s="2341" t="inlineStr">
        <is>
          <t>Industrial</t>
        </is>
      </c>
      <c r="H22" s="2341" t="inlineStr">
        <is>
          <t>Industrial Warehouse NNN</t>
        </is>
      </c>
      <c r="I22" s="2341" t="n">
        <v>2021</v>
      </c>
      <c r="J22" s="2341" t="n">
        <v>329940</v>
      </c>
      <c r="K22" s="2341" t="n"/>
      <c r="L22" s="2341" t="inlineStr">
        <is>
          <t>R0210402/R0210403</t>
        </is>
      </c>
      <c r="M22" s="2341" t="n"/>
      <c r="N22" s="2341" t="inlineStr">
        <is>
          <t>MHE 2025 BAA – Petitioner proforma</t>
        </is>
      </c>
      <c r="O22" s="2341" t="inlineStr">
        <is>
          <t>2026-06-01</t>
        </is>
      </c>
      <c r="P22" s="2341" t="inlineStr">
        <is>
          <t>Petitioner proforma 2024/25</t>
        </is>
      </c>
    </row>
    <row r="23">
      <c r="A23" s="2342" t="inlineStr">
        <is>
          <t>P020</t>
        </is>
      </c>
      <c r="B23" s="2338" t="n">
        <v>584</v>
      </c>
      <c r="C23" s="2339" t="inlineStr">
        <is>
          <t>R0209679</t>
        </is>
      </c>
      <c r="D23" s="2342" t="inlineStr">
        <is>
          <t>17501 E 84th Ave</t>
        </is>
      </c>
      <c r="E23" s="2342" t="inlineStr">
        <is>
          <t>Commerce City</t>
        </is>
      </c>
      <c r="F23" s="2342" t="inlineStr">
        <is>
          <t>CO</t>
        </is>
      </c>
      <c r="G23" s="2342" t="inlineStr">
        <is>
          <t>Industrial</t>
        </is>
      </c>
      <c r="H23" s="2342" t="inlineStr">
        <is>
          <t>Mega Warehouse / Distribution Center NNN (Lowe's)</t>
        </is>
      </c>
      <c r="I23" s="2342" t="n">
        <v>2021</v>
      </c>
      <c r="J23" s="2342" t="n">
        <v>999780</v>
      </c>
      <c r="K23" s="2342" t="n"/>
      <c r="L23" s="2342" t="inlineStr">
        <is>
          <t>R0209679</t>
        </is>
      </c>
      <c r="M23" s="2342" t="n"/>
      <c r="N23" s="2342" t="inlineStr">
        <is>
          <t>MHE 2025 BAA – Owner submitted P&amp;L</t>
        </is>
      </c>
      <c r="O23" s="2342" t="inlineStr">
        <is>
          <t>2026-06-01</t>
        </is>
      </c>
      <c r="P23" s="2342" t="inlineStr">
        <is>
          <t>Actual accrual; 2023 NOI inflated by ~$2.8M prior-yr tax adj</t>
        </is>
      </c>
    </row>
    <row r="24">
      <c r="A24" s="2341" t="inlineStr">
        <is>
          <t>P021</t>
        </is>
      </c>
      <c r="B24" s="2338" t="n">
        <v>210</v>
      </c>
      <c r="C24" s="2339" t="inlineStr">
        <is>
          <t>R0091931</t>
        </is>
      </c>
      <c r="D24" s="2341" t="inlineStr">
        <is>
          <t>6300 E. 58th Ave</t>
        </is>
      </c>
      <c r="E24" s="2341" t="inlineStr">
        <is>
          <t>Commerce City</t>
        </is>
      </c>
      <c r="F24" s="2341" t="inlineStr">
        <is>
          <t>CO</t>
        </is>
      </c>
      <c r="G24" s="2341" t="inlineStr">
        <is>
          <t>Industrial</t>
        </is>
      </c>
      <c r="H24" s="2341" t="inlineStr">
        <is>
          <t>Multi-Tenant Industrial/Flex</t>
        </is>
      </c>
      <c r="I24" s="2341" t="n">
        <v>1999</v>
      </c>
      <c r="J24" s="2341" t="n">
        <v>90000</v>
      </c>
      <c r="K24" s="2341" t="n"/>
      <c r="L24" s="2341" t="inlineStr">
        <is>
          <t>R0091931</t>
        </is>
      </c>
      <c r="M24" s="2341" t="n"/>
      <c r="N24" s="2341" t="inlineStr">
        <is>
          <t>MHE 2025 BOE – Owner actual P&amp;L</t>
        </is>
      </c>
      <c r="O24" s="2341" t="inlineStr">
        <is>
          <t>2026-06-02</t>
        </is>
      </c>
      <c r="P24" s="2341" t="inlineStr">
        <is>
          <t>Actual accrual 2023+2024; YOC 1999–2001</t>
        </is>
      </c>
    </row>
    <row r="25">
      <c r="A25" s="2342" t="inlineStr">
        <is>
          <t>P022</t>
        </is>
      </c>
      <c r="B25" s="2338" t="n">
        <v>210</v>
      </c>
      <c r="C25" s="2339" t="inlineStr">
        <is>
          <t>R0111559</t>
        </is>
      </c>
      <c r="D25" s="2342" t="inlineStr">
        <is>
          <t>3590 N. Himalaya Rd (Bldg 6)</t>
        </is>
      </c>
      <c r="E25" s="2342" t="inlineStr">
        <is>
          <t>Aurora</t>
        </is>
      </c>
      <c r="F25" s="2342" t="inlineStr">
        <is>
          <t>CO</t>
        </is>
      </c>
      <c r="G25" s="2342" t="inlineStr">
        <is>
          <t>Industrial</t>
        </is>
      </c>
      <c r="H25" s="2342" t="inlineStr">
        <is>
          <t>Multi-Tenant Industrial/Flex NNN</t>
        </is>
      </c>
      <c r="I25" s="2342" t="n"/>
      <c r="J25" s="2342" t="n"/>
      <c r="K25" s="2342" t="n"/>
      <c r="L25" s="2342" t="inlineStr">
        <is>
          <t>R0111559</t>
        </is>
      </c>
      <c r="M25" s="2342" t="n"/>
      <c r="N25" s="2342" t="inlineStr">
        <is>
          <t>MHE 2025 BOE – Sterling actual P&amp;L</t>
        </is>
      </c>
      <c r="O25" s="2342" t="inlineStr">
        <is>
          <t>2026-06-02</t>
        </is>
      </c>
      <c r="P25" s="2342" t="inlineStr">
        <is>
          <t>2023 transitional (vacancy); 2024 new tenant in place; SF not confirmed</t>
        </is>
      </c>
    </row>
    <row r="26">
      <c r="A26" s="2341" t="inlineStr">
        <is>
          <t>P023</t>
        </is>
      </c>
      <c r="B26" s="2338" t="n">
        <v>407</v>
      </c>
      <c r="C26" s="2339" t="inlineStr">
        <is>
          <t>R0191098</t>
        </is>
      </c>
      <c r="D26" s="2341" t="inlineStr">
        <is>
          <t>19754 E. 35th Dr (Bldg 4)</t>
        </is>
      </c>
      <c r="E26" s="2341" t="inlineStr">
        <is>
          <t>Aurora</t>
        </is>
      </c>
      <c r="F26" s="2341" t="inlineStr">
        <is>
          <t>CO</t>
        </is>
      </c>
      <c r="G26" s="2341" t="inlineStr">
        <is>
          <t>Industrial</t>
        </is>
      </c>
      <c r="H26" s="2341" t="inlineStr">
        <is>
          <t>Single-Tenant Industrial NNN</t>
        </is>
      </c>
      <c r="I26" s="2341" t="n"/>
      <c r="J26" s="2341" t="n">
        <v>155033</v>
      </c>
      <c r="K26" s="2341" t="n"/>
      <c r="L26" s="2341" t="inlineStr">
        <is>
          <t>R0191098</t>
        </is>
      </c>
      <c r="M26" s="2341" t="n"/>
      <c r="N26" s="2341" t="inlineStr">
        <is>
          <t>MHE 2025 BOE – Sterling actual P&amp;L</t>
        </is>
      </c>
      <c r="O26" s="2341" t="inlineStr">
        <is>
          <t>2026-06-02</t>
        </is>
      </c>
      <c r="P26" s="2341" t="inlineStr">
        <is>
          <t>Single-tenant NNN (Quality Custom Distribution); lease thru 12/31/2029</t>
        </is>
      </c>
    </row>
    <row r="27">
      <c r="A27" s="2342" t="inlineStr">
        <is>
          <t>P024</t>
        </is>
      </c>
      <c r="B27" s="2338" t="n">
        <v>407</v>
      </c>
      <c r="C27" s="2339" t="inlineStr">
        <is>
          <t>R0111560</t>
        </is>
      </c>
      <c r="D27" s="2342" t="inlineStr">
        <is>
          <t>20320 E. 36th Dr (Bldg 7)</t>
        </is>
      </c>
      <c r="E27" s="2342" t="inlineStr">
        <is>
          <t>Aurora</t>
        </is>
      </c>
      <c r="F27" s="2342" t="inlineStr">
        <is>
          <t>CO</t>
        </is>
      </c>
      <c r="G27" s="2342" t="inlineStr">
        <is>
          <t>Industrial</t>
        </is>
      </c>
      <c r="H27" s="2342" t="inlineStr">
        <is>
          <t>Single-Tenant Industrial NNN</t>
        </is>
      </c>
      <c r="I27" s="2342" t="n"/>
      <c r="J27" s="2342" t="n">
        <v>200000</v>
      </c>
      <c r="K27" s="2342" t="n"/>
      <c r="L27" s="2342" t="inlineStr">
        <is>
          <t>R0111560</t>
        </is>
      </c>
      <c r="M27" s="2342" t="n"/>
      <c r="N27" s="2342" t="inlineStr">
        <is>
          <t>MHE 2025 BOE – Sterling actual P&amp;L</t>
        </is>
      </c>
      <c r="O27" s="2342" t="inlineStr">
        <is>
          <t>2026-06-02</t>
        </is>
      </c>
      <c r="P27" s="2342" t="inlineStr">
        <is>
          <t>FedEx NNN; lease expired 4/30/2024 – 2023 only usable</t>
        </is>
      </c>
    </row>
    <row r="28">
      <c r="A28" s="2341" t="inlineStr">
        <is>
          <t>P025</t>
        </is>
      </c>
      <c r="B28" s="2338" t="n">
        <v>210</v>
      </c>
      <c r="C28" s="2339" t="inlineStr">
        <is>
          <t>R0191099</t>
        </is>
      </c>
      <c r="D28" s="2341" t="inlineStr">
        <is>
          <t>3559 N. Himalaya Rd (Bldg 5)</t>
        </is>
      </c>
      <c r="E28" s="2341" t="inlineStr">
        <is>
          <t>Aurora</t>
        </is>
      </c>
      <c r="F28" s="2341" t="inlineStr">
        <is>
          <t>CO</t>
        </is>
      </c>
      <c r="G28" s="2341" t="inlineStr">
        <is>
          <t>Industrial</t>
        </is>
      </c>
      <c r="H28" s="2341" t="inlineStr">
        <is>
          <t>Multi-Tenant Industrial NNN</t>
        </is>
      </c>
      <c r="I28" s="2341" t="n"/>
      <c r="J28" s="2341" t="n">
        <v>159047</v>
      </c>
      <c r="K28" s="2341" t="n"/>
      <c r="L28" s="2341" t="inlineStr">
        <is>
          <t>R0191099</t>
        </is>
      </c>
      <c r="M28" s="2341" t="n"/>
      <c r="N28" s="2341" t="inlineStr">
        <is>
          <t>MHE 2025 BOE – Sterling actual P&amp;L</t>
        </is>
      </c>
      <c r="O28" s="2341" t="inlineStr">
        <is>
          <t>2026-06-02</t>
        </is>
      </c>
      <c r="P28" s="2341" t="inlineStr">
        <is>
          <t>Multi-tenant NNN; 3 tenants; 2023+2024</t>
        </is>
      </c>
    </row>
    <row r="29">
      <c r="A29" s="2342" t="inlineStr">
        <is>
          <t>P026</t>
        </is>
      </c>
      <c r="B29" s="2338" t="n">
        <v>406</v>
      </c>
      <c r="C29" s="2339" t="inlineStr">
        <is>
          <t>R0092667</t>
        </is>
      </c>
      <c r="D29" s="2342" t="inlineStr">
        <is>
          <t>4901 Locust St</t>
        </is>
      </c>
      <c r="E29" s="2342" t="inlineStr">
        <is>
          <t>Commerce City</t>
        </is>
      </c>
      <c r="F29" s="2342" t="inlineStr">
        <is>
          <t>CO</t>
        </is>
      </c>
      <c r="G29" s="2342" t="inlineStr">
        <is>
          <t>Industrial</t>
        </is>
      </c>
      <c r="H29" s="2342" t="inlineStr">
        <is>
          <t>Industrial Warehouse</t>
        </is>
      </c>
      <c r="I29" s="2342" t="n"/>
      <c r="J29" s="2342" t="n">
        <v>29512</v>
      </c>
      <c r="K29" s="2342" t="n"/>
      <c r="L29" s="2342" t="inlineStr">
        <is>
          <t>R0092667</t>
        </is>
      </c>
      <c r="M29" s="2342" t="n"/>
      <c r="N29" s="2342" t="inlineStr">
        <is>
          <t>MHE 2025 BOE – Newmark appraisal proforma</t>
        </is>
      </c>
      <c r="O29" s="2342" t="inlineStr">
        <is>
          <t>2026-06-02</t>
        </is>
      </c>
      <c r="P29" s="2342" t="inlineStr">
        <is>
          <t>Stabilized proforma; Newmark V&amp;A appraisal 6/30/2024</t>
        </is>
      </c>
    </row>
    <row r="30">
      <c r="A30" s="2341" t="inlineStr">
        <is>
          <t>P027</t>
        </is>
      </c>
      <c r="B30" s="2338" t="n">
        <v>407</v>
      </c>
      <c r="C30" s="2339" t="inlineStr">
        <is>
          <t>R0132030</t>
        </is>
      </c>
      <c r="D30" s="2341" t="inlineStr">
        <is>
          <t>Majestic Commercenter (R0132030)</t>
        </is>
      </c>
      <c r="E30" s="2341" t="inlineStr">
        <is>
          <t>Commerce City</t>
        </is>
      </c>
      <c r="F30" s="2341" t="inlineStr">
        <is>
          <t>CO</t>
        </is>
      </c>
      <c r="G30" s="2341" t="inlineStr">
        <is>
          <t>Industrial</t>
        </is>
      </c>
      <c r="H30" s="2341" t="inlineStr">
        <is>
          <t>Warehouse NNN</t>
        </is>
      </c>
      <c r="I30" s="2341" t="n">
        <v>2001</v>
      </c>
      <c r="J30" s="2341" t="n">
        <v>200094</v>
      </c>
      <c r="K30" s="2341" t="n"/>
      <c r="L30" s="2341" t="inlineStr">
        <is>
          <t>R0132030</t>
        </is>
      </c>
      <c r="M30" s="2341" t="n"/>
      <c r="N30" s="2341" t="inlineStr">
        <is>
          <t>AXG – Whse Expenses PSF.xlsx</t>
        </is>
      </c>
      <c r="O30" s="2341" t="inlineStr">
        <is>
          <t>2026-06-02</t>
        </is>
      </c>
      <c r="P30" s="2341" t="inlineStr">
        <is>
          <t>NNN landlord expenses only; 2021–2022</t>
        </is>
      </c>
    </row>
    <row r="31">
      <c r="A31" s="2342" t="inlineStr">
        <is>
          <t>P028</t>
        </is>
      </c>
      <c r="B31" s="2338" t="n">
        <v>407</v>
      </c>
      <c r="C31" s="2339" t="inlineStr">
        <is>
          <t>R0084040</t>
        </is>
      </c>
      <c r="D31" s="2342" t="inlineStr">
        <is>
          <t>Majestic Commercenter (R0084040)</t>
        </is>
      </c>
      <c r="E31" s="2342" t="inlineStr">
        <is>
          <t>Commerce City</t>
        </is>
      </c>
      <c r="F31" s="2342" t="inlineStr">
        <is>
          <t>CO</t>
        </is>
      </c>
      <c r="G31" s="2342" t="inlineStr">
        <is>
          <t>Industrial</t>
        </is>
      </c>
      <c r="H31" s="2342" t="inlineStr">
        <is>
          <t>Warehouse NNN</t>
        </is>
      </c>
      <c r="I31" s="2342" t="n">
        <v>1997</v>
      </c>
      <c r="J31" s="2342" t="n">
        <v>177736</v>
      </c>
      <c r="K31" s="2342" t="n"/>
      <c r="L31" s="2342" t="inlineStr">
        <is>
          <t>R0084040</t>
        </is>
      </c>
      <c r="M31" s="2342" t="n"/>
      <c r="N31" s="2342" t="inlineStr">
        <is>
          <t>AXG – Whse Expenses PSF.xlsx</t>
        </is>
      </c>
      <c r="O31" s="2342" t="inlineStr">
        <is>
          <t>2026-06-02</t>
        </is>
      </c>
      <c r="P31" s="2342" t="inlineStr">
        <is>
          <t>NNN landlord expenses only; 2021–2022</t>
        </is>
      </c>
    </row>
    <row r="32">
      <c r="A32" s="2341" t="inlineStr">
        <is>
          <t>P029</t>
        </is>
      </c>
      <c r="B32" s="2338" t="n">
        <v>407</v>
      </c>
      <c r="C32" s="2339" t="inlineStr">
        <is>
          <t>R0084041</t>
        </is>
      </c>
      <c r="D32" s="2341" t="inlineStr">
        <is>
          <t>Majestic Commercenter (R0084041)</t>
        </is>
      </c>
      <c r="E32" s="2341" t="inlineStr">
        <is>
          <t>Commerce City</t>
        </is>
      </c>
      <c r="F32" s="2341" t="inlineStr">
        <is>
          <t>CO</t>
        </is>
      </c>
      <c r="G32" s="2341" t="inlineStr">
        <is>
          <t>Industrial</t>
        </is>
      </c>
      <c r="H32" s="2341" t="inlineStr">
        <is>
          <t>Warehouse NNN</t>
        </is>
      </c>
      <c r="I32" s="2341" t="n">
        <v>1997</v>
      </c>
      <c r="J32" s="2341" t="n">
        <v>200371</v>
      </c>
      <c r="K32" s="2341" t="n"/>
      <c r="L32" s="2341" t="inlineStr">
        <is>
          <t>R0084041</t>
        </is>
      </c>
      <c r="M32" s="2341" t="n"/>
      <c r="N32" s="2341" t="inlineStr">
        <is>
          <t>AXG – Whse Expenses PSF.xlsx</t>
        </is>
      </c>
      <c r="O32" s="2341" t="inlineStr">
        <is>
          <t>2026-06-02</t>
        </is>
      </c>
      <c r="P32" s="2341" t="inlineStr">
        <is>
          <t>NNN landlord expenses only; 2021–2022</t>
        </is>
      </c>
    </row>
    <row r="33">
      <c r="A33" s="2342" t="inlineStr">
        <is>
          <t>P030</t>
        </is>
      </c>
      <c r="B33" s="2338" t="n">
        <v>584</v>
      </c>
      <c r="C33" s="2339" t="inlineStr">
        <is>
          <t>R0217015</t>
        </is>
      </c>
      <c r="D33" s="2342" t="inlineStr">
        <is>
          <t>Majestic Commercenter (R0217015)</t>
        </is>
      </c>
      <c r="E33" s="2342" t="inlineStr">
        <is>
          <t>Commerce City</t>
        </is>
      </c>
      <c r="F33" s="2342" t="inlineStr">
        <is>
          <t>CO</t>
        </is>
      </c>
      <c r="G33" s="2342" t="inlineStr">
        <is>
          <t>Industrial</t>
        </is>
      </c>
      <c r="H33" s="2342" t="inlineStr">
        <is>
          <t>Mega Warehouse NNN</t>
        </is>
      </c>
      <c r="I33" s="2342" t="n">
        <v>2021</v>
      </c>
      <c r="J33" s="2342" t="n">
        <v>548510</v>
      </c>
      <c r="K33" s="2342" t="n"/>
      <c r="L33" s="2342" t="inlineStr">
        <is>
          <t>R0217015</t>
        </is>
      </c>
      <c r="M33" s="2342" t="n"/>
      <c r="N33" s="2342" t="inlineStr">
        <is>
          <t>AXG – Whse Expenses PSF.xlsx</t>
        </is>
      </c>
      <c r="O33" s="2342" t="inlineStr">
        <is>
          <t>2026-06-02</t>
        </is>
      </c>
      <c r="P33" s="2342" t="inlineStr">
        <is>
          <t>NNN landlord expenses only; 2022 only</t>
        </is>
      </c>
    </row>
    <row r="34">
      <c r="A34" s="2341" t="inlineStr">
        <is>
          <t>P031</t>
        </is>
      </c>
      <c r="B34" s="2338" t="n">
        <v>407</v>
      </c>
      <c r="C34" s="2339" t="inlineStr">
        <is>
          <t>R0111562</t>
        </is>
      </c>
      <c r="D34" s="2341" t="inlineStr">
        <is>
          <t>Majestic Commercenter (R0111562)</t>
        </is>
      </c>
      <c r="E34" s="2341" t="inlineStr">
        <is>
          <t>Commerce City</t>
        </is>
      </c>
      <c r="F34" s="2341" t="inlineStr">
        <is>
          <t>CO</t>
        </is>
      </c>
      <c r="G34" s="2341" t="inlineStr">
        <is>
          <t>Industrial</t>
        </is>
      </c>
      <c r="H34" s="2341" t="inlineStr">
        <is>
          <t>Warehouse NNN</t>
        </is>
      </c>
      <c r="I34" s="2341" t="n">
        <v>2000</v>
      </c>
      <c r="J34" s="2341" t="n">
        <v>149175</v>
      </c>
      <c r="K34" s="2341" t="n"/>
      <c r="L34" s="2341" t="inlineStr">
        <is>
          <t>R0111562</t>
        </is>
      </c>
      <c r="M34" s="2341" t="n"/>
      <c r="N34" s="2341" t="inlineStr">
        <is>
          <t>AXG – Whse Expenses PSF.xlsx</t>
        </is>
      </c>
      <c r="O34" s="2341" t="inlineStr">
        <is>
          <t>2026-06-02</t>
        </is>
      </c>
      <c r="P34" s="2341" t="inlineStr">
        <is>
          <t>NNN landlord expenses only; 2019–2020</t>
        </is>
      </c>
    </row>
    <row r="35">
      <c r="A35" s="2342" t="inlineStr">
        <is>
          <t>P032</t>
        </is>
      </c>
      <c r="B35" s="2338" t="n">
        <v>407</v>
      </c>
      <c r="C35" s="2339" t="inlineStr">
        <is>
          <t>R0118875</t>
        </is>
      </c>
      <c r="D35" s="2342" t="inlineStr">
        <is>
          <t>Majestic Commercenter (R0118875)</t>
        </is>
      </c>
      <c r="E35" s="2342" t="inlineStr">
        <is>
          <t>Commerce City</t>
        </is>
      </c>
      <c r="F35" s="2342" t="inlineStr">
        <is>
          <t>CO</t>
        </is>
      </c>
      <c r="G35" s="2342" t="inlineStr">
        <is>
          <t>Industrial</t>
        </is>
      </c>
      <c r="H35" s="2342" t="inlineStr">
        <is>
          <t>Warehouse NNN</t>
        </is>
      </c>
      <c r="I35" s="2342" t="n">
        <v>1999</v>
      </c>
      <c r="J35" s="2342" t="n">
        <v>279640</v>
      </c>
      <c r="K35" s="2342" t="n"/>
      <c r="L35" s="2342" t="inlineStr">
        <is>
          <t>R0118875</t>
        </is>
      </c>
      <c r="M35" s="2342" t="n"/>
      <c r="N35" s="2342" t="inlineStr">
        <is>
          <t>AXG – Whse Expenses PSF.xlsx</t>
        </is>
      </c>
      <c r="O35" s="2342" t="inlineStr">
        <is>
          <t>2026-06-02</t>
        </is>
      </c>
      <c r="P35" s="2342" t="inlineStr">
        <is>
          <t>NNN landlord expenses only; 2021–2022</t>
        </is>
      </c>
    </row>
    <row r="36">
      <c r="A36" s="2341" t="inlineStr">
        <is>
          <t>P033</t>
        </is>
      </c>
      <c r="B36" s="2338" t="n">
        <v>407</v>
      </c>
      <c r="C36" s="2339" t="inlineStr">
        <is>
          <t>R0132031</t>
        </is>
      </c>
      <c r="D36" s="2341" t="inlineStr">
        <is>
          <t>Majestic Commercenter (R0132031)</t>
        </is>
      </c>
      <c r="E36" s="2341" t="inlineStr">
        <is>
          <t>Commerce City</t>
        </is>
      </c>
      <c r="F36" s="2341" t="inlineStr">
        <is>
          <t>CO</t>
        </is>
      </c>
      <c r="G36" s="2341" t="inlineStr">
        <is>
          <t>Industrial</t>
        </is>
      </c>
      <c r="H36" s="2341" t="inlineStr">
        <is>
          <t>Warehouse NNN</t>
        </is>
      </c>
      <c r="I36" s="2341" t="n">
        <v>2002</v>
      </c>
      <c r="J36" s="2341" t="n">
        <v>280098</v>
      </c>
      <c r="K36" s="2341" t="n"/>
      <c r="L36" s="2341" t="inlineStr">
        <is>
          <t>R0132031</t>
        </is>
      </c>
      <c r="M36" s="2341" t="n"/>
      <c r="N36" s="2341" t="inlineStr">
        <is>
          <t>AXG – Whse Expenses PSF.xlsx</t>
        </is>
      </c>
      <c r="O36" s="2341" t="inlineStr">
        <is>
          <t>2026-06-02</t>
        </is>
      </c>
      <c r="P36" s="2341" t="inlineStr">
        <is>
          <t>NNN landlord expenses only; 2021–2022</t>
        </is>
      </c>
    </row>
    <row r="37">
      <c r="A37" s="2342" t="inlineStr">
        <is>
          <t>P034</t>
        </is>
      </c>
      <c r="B37" s="2338" t="n">
        <v>407</v>
      </c>
      <c r="C37" s="2339" t="inlineStr">
        <is>
          <t>R0172865</t>
        </is>
      </c>
      <c r="D37" s="2342" t="inlineStr">
        <is>
          <t>Majestic Commercenter (R0172865)</t>
        </is>
      </c>
      <c r="E37" s="2342" t="inlineStr">
        <is>
          <t>Commerce City</t>
        </is>
      </c>
      <c r="F37" s="2342" t="inlineStr">
        <is>
          <t>CO</t>
        </is>
      </c>
      <c r="G37" s="2342" t="inlineStr">
        <is>
          <t>Industrial</t>
        </is>
      </c>
      <c r="H37" s="2342" t="inlineStr">
        <is>
          <t>Warehouse NNN</t>
        </is>
      </c>
      <c r="I37" s="2342" t="n">
        <v>2008</v>
      </c>
      <c r="J37" s="2342" t="n">
        <v>215461</v>
      </c>
      <c r="K37" s="2342" t="n"/>
      <c r="L37" s="2342" t="inlineStr">
        <is>
          <t>R0172865</t>
        </is>
      </c>
      <c r="M37" s="2342" t="n"/>
      <c r="N37" s="2342" t="inlineStr">
        <is>
          <t>AXG – Whse Expenses PSF.xlsx</t>
        </is>
      </c>
      <c r="O37" s="2342" t="inlineStr">
        <is>
          <t>2026-06-02</t>
        </is>
      </c>
      <c r="P37" s="2342" t="inlineStr">
        <is>
          <t>NNN landlord expenses only; 2021–2022</t>
        </is>
      </c>
    </row>
    <row r="38">
      <c r="A38" s="2341" t="inlineStr">
        <is>
          <t>P035</t>
        </is>
      </c>
      <c r="B38" s="2338" t="n">
        <v>407</v>
      </c>
      <c r="C38" s="2339" t="inlineStr">
        <is>
          <t>R0172867</t>
        </is>
      </c>
      <c r="D38" s="2341" t="inlineStr">
        <is>
          <t>Majestic Commercenter (R0172867)</t>
        </is>
      </c>
      <c r="E38" s="2341" t="inlineStr">
        <is>
          <t>Commerce City</t>
        </is>
      </c>
      <c r="F38" s="2341" t="inlineStr">
        <is>
          <t>CO</t>
        </is>
      </c>
      <c r="G38" s="2341" t="inlineStr">
        <is>
          <t>Industrial</t>
        </is>
      </c>
      <c r="H38" s="2341" t="inlineStr">
        <is>
          <t>Warehouse NNN</t>
        </is>
      </c>
      <c r="I38" s="2341" t="n">
        <v>2007</v>
      </c>
      <c r="J38" s="2341" t="n">
        <v>215560</v>
      </c>
      <c r="K38" s="2341" t="n"/>
      <c r="L38" s="2341" t="inlineStr">
        <is>
          <t>R0172867</t>
        </is>
      </c>
      <c r="M38" s="2341" t="n"/>
      <c r="N38" s="2341" t="inlineStr">
        <is>
          <t>AXG – Whse Expenses PSF.xlsx</t>
        </is>
      </c>
      <c r="O38" s="2341" t="inlineStr">
        <is>
          <t>2026-06-02</t>
        </is>
      </c>
      <c r="P38" s="2341" t="inlineStr">
        <is>
          <t>NNN landlord expenses only; 2021–2022</t>
        </is>
      </c>
    </row>
    <row r="39">
      <c r="A39" s="2342" t="inlineStr">
        <is>
          <t>P036</t>
        </is>
      </c>
      <c r="B39" s="2338" t="n">
        <v>407</v>
      </c>
      <c r="C39" s="2339" t="inlineStr">
        <is>
          <t>R0172868</t>
        </is>
      </c>
      <c r="D39" s="2342" t="inlineStr">
        <is>
          <t>Majestic Commercenter (R0172868)</t>
        </is>
      </c>
      <c r="E39" s="2342" t="inlineStr">
        <is>
          <t>Commerce City</t>
        </is>
      </c>
      <c r="F39" s="2342" t="inlineStr">
        <is>
          <t>CO</t>
        </is>
      </c>
      <c r="G39" s="2342" t="inlineStr">
        <is>
          <t>Industrial</t>
        </is>
      </c>
      <c r="H39" s="2342" t="inlineStr">
        <is>
          <t>Warehouse NNN</t>
        </is>
      </c>
      <c r="I39" s="2342" t="n">
        <v>2007</v>
      </c>
      <c r="J39" s="2342" t="n">
        <v>202091</v>
      </c>
      <c r="K39" s="2342" t="n"/>
      <c r="L39" s="2342" t="inlineStr">
        <is>
          <t>R0172868</t>
        </is>
      </c>
      <c r="M39" s="2342" t="n"/>
      <c r="N39" s="2342" t="inlineStr">
        <is>
          <t>AXG – Whse Expenses PSF.xlsx</t>
        </is>
      </c>
      <c r="O39" s="2342" t="inlineStr">
        <is>
          <t>2026-06-02</t>
        </is>
      </c>
      <c r="P39" s="2342" t="inlineStr">
        <is>
          <t>NNN landlord expenses only; 2021–2022</t>
        </is>
      </c>
    </row>
    <row r="40">
      <c r="A40" s="2341" t="inlineStr">
        <is>
          <t>P037</t>
        </is>
      </c>
      <c r="B40" s="2338" t="n">
        <v>407</v>
      </c>
      <c r="C40" s="2339" t="inlineStr">
        <is>
          <t>R0145680</t>
        </is>
      </c>
      <c r="D40" s="2341" t="inlineStr">
        <is>
          <t>Majestic Commercenter (R0145680)</t>
        </is>
      </c>
      <c r="E40" s="2341" t="inlineStr">
        <is>
          <t>Commerce City</t>
        </is>
      </c>
      <c r="F40" s="2341" t="inlineStr">
        <is>
          <t>CO</t>
        </is>
      </c>
      <c r="G40" s="2341" t="inlineStr">
        <is>
          <t>Industrial</t>
        </is>
      </c>
      <c r="H40" s="2341" t="inlineStr">
        <is>
          <t>Warehouse NNN</t>
        </is>
      </c>
      <c r="I40" s="2341" t="n">
        <v>2001</v>
      </c>
      <c r="J40" s="2341" t="n">
        <v>150027</v>
      </c>
      <c r="K40" s="2341" t="n"/>
      <c r="L40" s="2341" t="inlineStr">
        <is>
          <t>R0145680</t>
        </is>
      </c>
      <c r="M40" s="2341" t="n"/>
      <c r="N40" s="2341" t="inlineStr">
        <is>
          <t>AXG – Whse Expenses PSF.xlsx</t>
        </is>
      </c>
      <c r="O40" s="2341" t="inlineStr">
        <is>
          <t>2026-06-02</t>
        </is>
      </c>
      <c r="P40" s="2341" t="inlineStr">
        <is>
          <t>NNN landlord expenses only; 2021–2022</t>
        </is>
      </c>
    </row>
    <row r="41">
      <c r="A41" s="2342" t="inlineStr">
        <is>
          <t>P038</t>
        </is>
      </c>
      <c r="B41" s="2338" t="n">
        <v>584</v>
      </c>
      <c r="C41" s="2339" t="inlineStr">
        <is>
          <t>R0181787</t>
        </is>
      </c>
      <c r="D41" s="2342" t="inlineStr">
        <is>
          <t>Majestic Commercenter (R0181787)</t>
        </is>
      </c>
      <c r="E41" s="2342" t="inlineStr">
        <is>
          <t>Commerce City</t>
        </is>
      </c>
      <c r="F41" s="2342" t="inlineStr">
        <is>
          <t>CO</t>
        </is>
      </c>
      <c r="G41" s="2342" t="inlineStr">
        <is>
          <t>Industrial</t>
        </is>
      </c>
      <c r="H41" s="2342" t="inlineStr">
        <is>
          <t>Mega Warehouse NNN</t>
        </is>
      </c>
      <c r="I41" s="2342" t="n">
        <v>2013</v>
      </c>
      <c r="J41" s="2342" t="n">
        <v>500358</v>
      </c>
      <c r="K41" s="2342" t="n"/>
      <c r="L41" s="2342" t="inlineStr">
        <is>
          <t>R0181787</t>
        </is>
      </c>
      <c r="M41" s="2342" t="n"/>
      <c r="N41" s="2342" t="inlineStr">
        <is>
          <t>AXG – Whse Expenses PSF.xlsx</t>
        </is>
      </c>
      <c r="O41" s="2342" t="inlineStr">
        <is>
          <t>2026-06-02</t>
        </is>
      </c>
      <c r="P41" s="2342" t="inlineStr">
        <is>
          <t>NNN landlord expenses only; 2021–2022</t>
        </is>
      </c>
    </row>
    <row r="42">
      <c r="A42" s="2341" t="inlineStr">
        <is>
          <t>P039</t>
        </is>
      </c>
      <c r="B42" s="2338" t="n">
        <v>584</v>
      </c>
      <c r="C42" s="2339" t="inlineStr">
        <is>
          <t>R0191101</t>
        </is>
      </c>
      <c r="D42" s="2341" t="inlineStr">
        <is>
          <t>Majestic Commercenter (R0191101)</t>
        </is>
      </c>
      <c r="E42" s="2341" t="inlineStr">
        <is>
          <t>Commerce City</t>
        </is>
      </c>
      <c r="F42" s="2341" t="inlineStr">
        <is>
          <t>CO</t>
        </is>
      </c>
      <c r="G42" s="2341" t="inlineStr">
        <is>
          <t>Industrial</t>
        </is>
      </c>
      <c r="H42" s="2341" t="inlineStr">
        <is>
          <t>Mega Warehouse NNN</t>
        </is>
      </c>
      <c r="I42" s="2341" t="n">
        <v>2017</v>
      </c>
      <c r="J42" s="2341" t="n">
        <v>522120</v>
      </c>
      <c r="K42" s="2341" t="n"/>
      <c r="L42" s="2341" t="inlineStr">
        <is>
          <t>R0191101</t>
        </is>
      </c>
      <c r="M42" s="2341" t="n"/>
      <c r="N42" s="2341" t="inlineStr">
        <is>
          <t>AXG – Whse Expenses PSF.xlsx</t>
        </is>
      </c>
      <c r="O42" s="2341" t="inlineStr">
        <is>
          <t>2026-06-02</t>
        </is>
      </c>
      <c r="P42" s="2341" t="inlineStr">
        <is>
          <t>NNN landlord expenses only; 2021–2022</t>
        </is>
      </c>
    </row>
    <row r="43">
      <c r="A43" s="2342" t="inlineStr">
        <is>
          <t>P040</t>
        </is>
      </c>
      <c r="B43" s="2338" t="n">
        <v>407</v>
      </c>
      <c r="C43" s="2339" t="inlineStr">
        <is>
          <t>R0202874</t>
        </is>
      </c>
      <c r="D43" s="2342" t="inlineStr">
        <is>
          <t>900 E 128th Ave</t>
        </is>
      </c>
      <c r="E43" s="2342" t="inlineStr">
        <is>
          <t>Henderson</t>
        </is>
      </c>
      <c r="F43" s="2342" t="inlineStr">
        <is>
          <t>CO</t>
        </is>
      </c>
      <c r="G43" s="2342" t="inlineStr">
        <is>
          <t>Industrial</t>
        </is>
      </c>
      <c r="H43" s="2342" t="inlineStr">
        <is>
          <t>Last-Mile Distribution NNN</t>
        </is>
      </c>
      <c r="I43" s="2342" t="n"/>
      <c r="J43" s="2342" t="n"/>
      <c r="K43" s="2342" t="n"/>
      <c r="L43" s="2342" t="inlineStr">
        <is>
          <t>R0202874</t>
        </is>
      </c>
      <c r="M43" s="2342" t="inlineStr">
        <is>
          <t>Amazon</t>
        </is>
      </c>
      <c r="N43" s="2342" t="inlineStr">
        <is>
          <t>AXG – Owner Income Statement 2021–2022</t>
        </is>
      </c>
      <c r="O43" s="2342" t="inlineStr">
        <is>
          <t>2026-06-02</t>
        </is>
      </c>
      <c r="P43" s="2342" t="inlineStr">
        <is>
          <t>Amazon AMZL Last Mile Site 51812; SF not extracted</t>
        </is>
      </c>
    </row>
    <row r="44">
      <c r="A44" s="2341" t="inlineStr">
        <is>
          <t>P041</t>
        </is>
      </c>
      <c r="B44" s="2338" t="n">
        <v>386</v>
      </c>
      <c r="C44" s="2339" t="inlineStr">
        <is>
          <t>R0189384</t>
        </is>
      </c>
      <c r="D44" s="2341" t="inlineStr">
        <is>
          <t>1101 Colorado Blvd</t>
        </is>
      </c>
      <c r="E44" s="2341" t="inlineStr">
        <is>
          <t>Thornton</t>
        </is>
      </c>
      <c r="F44" s="2341" t="inlineStr">
        <is>
          <t>CO</t>
        </is>
      </c>
      <c r="G44" s="2341" t="inlineStr">
        <is>
          <t>Self-Storage</t>
        </is>
      </c>
      <c r="H44" s="2341" t="inlineStr">
        <is>
          <t>Climate-Controlled</t>
        </is>
      </c>
      <c r="I44" s="2341" t="n"/>
      <c r="J44" s="2341" t="n">
        <v>65766</v>
      </c>
      <c r="K44" s="2341" t="n"/>
      <c r="L44" s="2341" t="inlineStr">
        <is>
          <t>R0189384</t>
        </is>
      </c>
      <c r="M44" s="2341" t="n"/>
      <c r="N44" s="2341" t="inlineStr">
        <is>
          <t>AXG – Carlson SS Portfolio P&amp;L</t>
        </is>
      </c>
      <c r="O44" s="2341" t="inlineStr">
        <is>
          <t>2026-06-02</t>
        </is>
      </c>
      <c r="P44" s="2341" t="inlineStr">
        <is>
          <t>Actual FY2021–2023; 101.5% occ Q4 2023</t>
        </is>
      </c>
    </row>
    <row r="45">
      <c r="A45" s="2342" t="inlineStr">
        <is>
          <t>P042</t>
        </is>
      </c>
      <c r="B45" s="2338" t="n">
        <v>386</v>
      </c>
      <c r="C45" s="2339" t="inlineStr">
        <is>
          <t>R0126235</t>
        </is>
      </c>
      <c r="D45" s="2342" t="inlineStr">
        <is>
          <t>15024 Laroy Drive</t>
        </is>
      </c>
      <c r="E45" s="2342" t="inlineStr">
        <is>
          <t>Northglenn</t>
        </is>
      </c>
      <c r="F45" s="2342" t="inlineStr">
        <is>
          <t>CO</t>
        </is>
      </c>
      <c r="G45" s="2342" t="inlineStr">
        <is>
          <t>Self-Storage</t>
        </is>
      </c>
      <c r="H45" s="2342" t="inlineStr">
        <is>
          <t>Climate-Controlled</t>
        </is>
      </c>
      <c r="I45" s="2342" t="n"/>
      <c r="J45" s="2342" t="n">
        <v>79950</v>
      </c>
      <c r="K45" s="2342" t="n"/>
      <c r="L45" s="2342" t="inlineStr">
        <is>
          <t>R0126235</t>
        </is>
      </c>
      <c r="M45" s="2342" t="n"/>
      <c r="N45" s="2342" t="inlineStr">
        <is>
          <t>AXG – Carlson SS Portfolio P&amp;L</t>
        </is>
      </c>
      <c r="O45" s="2342" t="inlineStr">
        <is>
          <t>2026-06-02</t>
        </is>
      </c>
      <c r="P45" s="2342" t="inlineStr">
        <is>
          <t>Actual FY2021–2023; 91.4% occ Dec 2023</t>
        </is>
      </c>
    </row>
    <row r="46">
      <c r="A46" s="2341" t="inlineStr">
        <is>
          <t>P043</t>
        </is>
      </c>
      <c r="B46" s="2338" t="n">
        <v>386</v>
      </c>
      <c r="C46" s="2339" t="inlineStr">
        <is>
          <t>R0126234</t>
        </is>
      </c>
      <c r="D46" s="2341" t="inlineStr">
        <is>
          <t>715 W 112th Ave</t>
        </is>
      </c>
      <c r="E46" s="2341" t="inlineStr">
        <is>
          <t>Northglenn</t>
        </is>
      </c>
      <c r="F46" s="2341" t="inlineStr">
        <is>
          <t>CO</t>
        </is>
      </c>
      <c r="G46" s="2341" t="inlineStr">
        <is>
          <t>Self-Storage</t>
        </is>
      </c>
      <c r="H46" s="2341" t="inlineStr">
        <is>
          <t>Drive-Up/Drop-Off</t>
        </is>
      </c>
      <c r="I46" s="2341" t="n"/>
      <c r="J46" s="2341" t="n">
        <v>83756</v>
      </c>
      <c r="K46" s="2341" t="n"/>
      <c r="L46" s="2341" t="inlineStr">
        <is>
          <t>R0126234</t>
        </is>
      </c>
      <c r="M46" s="2341" t="n"/>
      <c r="N46" s="2341" t="inlineStr">
        <is>
          <t>AXG – Carlson SS Portfolio P&amp;L</t>
        </is>
      </c>
      <c r="O46" s="2341" t="inlineStr">
        <is>
          <t>2026-06-02</t>
        </is>
      </c>
      <c r="P46" s="2341" t="inlineStr">
        <is>
          <t>Actual FY2021–2023</t>
        </is>
      </c>
    </row>
    <row r="47">
      <c r="A47" s="2342" t="inlineStr">
        <is>
          <t>P044</t>
        </is>
      </c>
      <c r="B47" s="2338" t="n">
        <v>386</v>
      </c>
      <c r="C47" s="2339" t="inlineStr">
        <is>
          <t>R0027089/R0178319</t>
        </is>
      </c>
      <c r="D47" s="2342" t="inlineStr">
        <is>
          <t>2290 E 120th Ave</t>
        </is>
      </c>
      <c r="E47" s="2342" t="inlineStr">
        <is>
          <t>Thornton</t>
        </is>
      </c>
      <c r="F47" s="2342" t="inlineStr">
        <is>
          <t>CO</t>
        </is>
      </c>
      <c r="G47" s="2342" t="inlineStr">
        <is>
          <t>Self-Storage</t>
        </is>
      </c>
      <c r="H47" s="2342" t="inlineStr">
        <is>
          <t>Drive-Up/Drop-Off</t>
        </is>
      </c>
      <c r="I47" s="2342" t="n"/>
      <c r="J47" s="2342" t="n">
        <v>71909</v>
      </c>
      <c r="K47" s="2342" t="n"/>
      <c r="L47" s="2342" t="inlineStr">
        <is>
          <t>R0027089/R0178319</t>
        </is>
      </c>
      <c r="M47" s="2342" t="n"/>
      <c r="N47" s="2342" t="inlineStr">
        <is>
          <t>AXG – Carlson SS Portfolio P&amp;L</t>
        </is>
      </c>
      <c r="O47" s="2342" t="inlineStr">
        <is>
          <t>2026-06-02</t>
        </is>
      </c>
      <c r="P47" s="2342" t="inlineStr">
        <is>
          <t>Combined parcel FY2021–2023; 88.2% occ Dec 2023</t>
        </is>
      </c>
    </row>
    <row r="48">
      <c r="A48" s="2341" t="inlineStr">
        <is>
          <t>P045</t>
        </is>
      </c>
      <c r="B48" s="2338" t="n">
        <v>386</v>
      </c>
      <c r="C48" s="2339" t="inlineStr">
        <is>
          <t>R0043569</t>
        </is>
      </c>
      <c r="D48" s="2341" t="inlineStr">
        <is>
          <t>40131 Quivas St (104th &amp; Quivas)</t>
        </is>
      </c>
      <c r="E48" s="2341" t="inlineStr">
        <is>
          <t>Thornton</t>
        </is>
      </c>
      <c r="F48" s="2341" t="inlineStr">
        <is>
          <t>CO</t>
        </is>
      </c>
      <c r="G48" s="2341" t="inlineStr">
        <is>
          <t>Self-Storage</t>
        </is>
      </c>
      <c r="H48" s="2341" t="inlineStr">
        <is>
          <t>Drive-Up/Drop-Off</t>
        </is>
      </c>
      <c r="I48" s="2341" t="n"/>
      <c r="J48" s="2341" t="n">
        <v>41900</v>
      </c>
      <c r="K48" s="2341" t="n"/>
      <c r="L48" s="2341" t="inlineStr">
        <is>
          <t>R0043569</t>
        </is>
      </c>
      <c r="M48" s="2341" t="n"/>
      <c r="N48" s="2341" t="inlineStr">
        <is>
          <t>AXG – SS Expense Matrix + FY2024 P&amp;L</t>
        </is>
      </c>
      <c r="O48" s="2341" t="inlineStr">
        <is>
          <t>2026-06-02</t>
        </is>
      </c>
      <c r="P48" s="2341" t="inlineStr">
        <is>
          <t>Actual FY2024 monthly P&amp;L + expense matrix</t>
        </is>
      </c>
    </row>
    <row r="49">
      <c r="A49" s="2342" t="inlineStr">
        <is>
          <t>P046</t>
        </is>
      </c>
      <c r="B49" s="2338" t="n">
        <v>386</v>
      </c>
      <c r="C49" s="2339" t="inlineStr">
        <is>
          <t>R0193009</t>
        </is>
      </c>
      <c r="D49" s="2342" t="inlineStr">
        <is>
          <t>Address unknown – see R0193009</t>
        </is>
      </c>
      <c r="E49" s="2342" t="inlineStr">
        <is>
          <t>Adams County</t>
        </is>
      </c>
      <c r="F49" s="2342" t="inlineStr">
        <is>
          <t>CO</t>
        </is>
      </c>
      <c r="G49" s="2342" t="inlineStr">
        <is>
          <t>Self-Storage</t>
        </is>
      </c>
      <c r="H49" s="2342" t="inlineStr">
        <is>
          <t>Climate-Controlled</t>
        </is>
      </c>
      <c r="I49" s="2342" t="n"/>
      <c r="J49" s="2342" t="n">
        <v>94736</v>
      </c>
      <c r="K49" s="2342" t="n"/>
      <c r="L49" s="2342" t="inlineStr">
        <is>
          <t>R0193009</t>
        </is>
      </c>
      <c r="M49" s="2342" t="n"/>
      <c r="N49" s="2342" t="inlineStr">
        <is>
          <t>AXG – SS Expense Matrix</t>
        </is>
      </c>
      <c r="O49" s="2342" t="inlineStr">
        <is>
          <t>2026-06-02</t>
        </is>
      </c>
      <c r="P49" s="2342" t="inlineStr">
        <is>
          <t>Expense matrix data; EGI $1,582,087</t>
        </is>
      </c>
    </row>
    <row r="50">
      <c r="A50" s="2341" t="inlineStr">
        <is>
          <t>P047</t>
        </is>
      </c>
      <c r="B50" s="2338" t="n">
        <v>386</v>
      </c>
      <c r="C50" s="2339" t="inlineStr">
        <is>
          <t>R0099616</t>
        </is>
      </c>
      <c r="D50" s="2341" t="inlineStr">
        <is>
          <t>Address unknown – see R0099616</t>
        </is>
      </c>
      <c r="E50" s="2341" t="inlineStr">
        <is>
          <t>Adams County</t>
        </is>
      </c>
      <c r="F50" s="2341" t="inlineStr">
        <is>
          <t>CO</t>
        </is>
      </c>
      <c r="G50" s="2341" t="inlineStr">
        <is>
          <t>Self-Storage</t>
        </is>
      </c>
      <c r="H50" s="2341" t="inlineStr">
        <is>
          <t>Drive-Up/Drop-Off</t>
        </is>
      </c>
      <c r="I50" s="2341" t="n"/>
      <c r="J50" s="2341" t="n">
        <v>73500</v>
      </c>
      <c r="K50" s="2341" t="n"/>
      <c r="L50" s="2341" t="inlineStr">
        <is>
          <t>R0099616</t>
        </is>
      </c>
      <c r="M50" s="2341" t="n"/>
      <c r="N50" s="2341" t="inlineStr">
        <is>
          <t>AXG – SS Expense Matrix</t>
        </is>
      </c>
      <c r="O50" s="2341" t="inlineStr">
        <is>
          <t>2026-06-02</t>
        </is>
      </c>
      <c r="P50" s="2341" t="inlineStr">
        <is>
          <t>Expense matrix data; EGI $834,358</t>
        </is>
      </c>
    </row>
    <row r="51">
      <c r="A51" s="2342" t="inlineStr">
        <is>
          <t>P048</t>
        </is>
      </c>
      <c r="B51" s="2338" t="n">
        <v>386</v>
      </c>
      <c r="C51" s="2339" t="inlineStr">
        <is>
          <t>R0098019</t>
        </is>
      </c>
      <c r="D51" s="2342" t="inlineStr">
        <is>
          <t>Address unknown – see R0098019</t>
        </is>
      </c>
      <c r="E51" s="2342" t="inlineStr">
        <is>
          <t>Adams County</t>
        </is>
      </c>
      <c r="F51" s="2342" t="inlineStr">
        <is>
          <t>CO</t>
        </is>
      </c>
      <c r="G51" s="2342" t="inlineStr">
        <is>
          <t>Self-Storage</t>
        </is>
      </c>
      <c r="H51" s="2342" t="inlineStr">
        <is>
          <t>Drive-Up/Drop-Off</t>
        </is>
      </c>
      <c r="I51" s="2342" t="n"/>
      <c r="J51" s="2342" t="n">
        <v>44975</v>
      </c>
      <c r="K51" s="2342" t="n"/>
      <c r="L51" s="2342" t="inlineStr">
        <is>
          <t>R0098019</t>
        </is>
      </c>
      <c r="M51" s="2342" t="n"/>
      <c r="N51" s="2342" t="inlineStr">
        <is>
          <t>AXG – SS Expense Matrix</t>
        </is>
      </c>
      <c r="O51" s="2342" t="inlineStr">
        <is>
          <t>2026-06-02</t>
        </is>
      </c>
      <c r="P51" s="2342" t="inlineStr">
        <is>
          <t>Expense matrix data; EGI $588,827</t>
        </is>
      </c>
    </row>
    <row r="52">
      <c r="A52" s="2341" t="inlineStr">
        <is>
          <t>P049</t>
        </is>
      </c>
      <c r="B52" s="2338" t="n">
        <v>386</v>
      </c>
      <c r="C52" s="2339" t="inlineStr">
        <is>
          <t>R0102989</t>
        </is>
      </c>
      <c r="D52" s="2341" t="inlineStr">
        <is>
          <t>Fitzsimons area – see R0102989</t>
        </is>
      </c>
      <c r="E52" s="2341" t="inlineStr">
        <is>
          <t>Aurora</t>
        </is>
      </c>
      <c r="F52" s="2341" t="inlineStr">
        <is>
          <t>CO</t>
        </is>
      </c>
      <c r="G52" s="2341" t="inlineStr">
        <is>
          <t>Self-Storage</t>
        </is>
      </c>
      <c r="H52" s="2341" t="inlineStr">
        <is>
          <t>Climate-Controlled</t>
        </is>
      </c>
      <c r="I52" s="2341" t="n"/>
      <c r="J52" s="2341" t="n">
        <v>94797</v>
      </c>
      <c r="K52" s="2341" t="n"/>
      <c r="L52" s="2341" t="inlineStr">
        <is>
          <t>R0102989</t>
        </is>
      </c>
      <c r="M52" s="2341" t="n"/>
      <c r="N52" s="2341" t="inlineStr">
        <is>
          <t>AXG – SS Expense Matrix</t>
        </is>
      </c>
      <c r="O52" s="2341" t="inlineStr">
        <is>
          <t>2026-06-02</t>
        </is>
      </c>
      <c r="P52" s="2341" t="inlineStr">
        <is>
          <t>Expense matrix data; EGI $1,184,503</t>
        </is>
      </c>
    </row>
    <row r="53">
      <c r="A53" s="2342" t="inlineStr">
        <is>
          <t>P050</t>
        </is>
      </c>
      <c r="B53" s="2338" t="n">
        <v>386</v>
      </c>
      <c r="C53" s="2339" t="inlineStr">
        <is>
          <t>R0085523</t>
        </is>
      </c>
      <c r="D53" s="2342" t="inlineStr">
        <is>
          <t>Address unknown – see R0085523</t>
        </is>
      </c>
      <c r="E53" s="2342" t="inlineStr">
        <is>
          <t>Adams County</t>
        </is>
      </c>
      <c r="F53" s="2342" t="inlineStr">
        <is>
          <t>CO</t>
        </is>
      </c>
      <c r="G53" s="2342" t="inlineStr">
        <is>
          <t>Self-Storage</t>
        </is>
      </c>
      <c r="H53" s="2342" t="inlineStr">
        <is>
          <t>Drive-Up/Drop-Off</t>
        </is>
      </c>
      <c r="I53" s="2342" t="n"/>
      <c r="J53" s="2342" t="n">
        <v>39525</v>
      </c>
      <c r="K53" s="2342" t="n"/>
      <c r="L53" s="2342" t="inlineStr">
        <is>
          <t>R0085523</t>
        </is>
      </c>
      <c r="M53" s="2342" t="n"/>
      <c r="N53" s="2342" t="inlineStr">
        <is>
          <t>AXG – SS Expense Matrix</t>
        </is>
      </c>
      <c r="O53" s="2342" t="inlineStr">
        <is>
          <t>2026-06-02</t>
        </is>
      </c>
      <c r="P53" s="2342" t="inlineStr">
        <is>
          <t>Expense matrix data; EGI $541,974</t>
        </is>
      </c>
    </row>
    <row r="54">
      <c r="A54" s="2341" t="inlineStr">
        <is>
          <t>P051</t>
        </is>
      </c>
      <c r="B54" s="2338" t="n">
        <v>386</v>
      </c>
      <c r="C54" s="2339" t="inlineStr">
        <is>
          <t>R0174860</t>
        </is>
      </c>
      <c r="D54" s="2341" t="inlineStr">
        <is>
          <t>Address unknown – see R0174860</t>
        </is>
      </c>
      <c r="E54" s="2341" t="inlineStr">
        <is>
          <t>Adams County</t>
        </is>
      </c>
      <c r="F54" s="2341" t="inlineStr">
        <is>
          <t>CO</t>
        </is>
      </c>
      <c r="G54" s="2341" t="inlineStr">
        <is>
          <t>Self-Storage</t>
        </is>
      </c>
      <c r="H54" s="2341" t="inlineStr">
        <is>
          <t>Drive-Up/Drop-Off (containers)</t>
        </is>
      </c>
      <c r="I54" s="2341" t="n"/>
      <c r="J54" s="2341" t="n">
        <v>45980</v>
      </c>
      <c r="K54" s="2341" t="n"/>
      <c r="L54" s="2341" t="inlineStr">
        <is>
          <t>R0174860</t>
        </is>
      </c>
      <c r="M54" s="2341" t="n"/>
      <c r="N54" s="2341" t="inlineStr">
        <is>
          <t>AXG – SS Expense Matrix</t>
        </is>
      </c>
      <c r="O54" s="2341" t="inlineStr">
        <is>
          <t>2026-06-02</t>
        </is>
      </c>
      <c r="P54" s="2341" t="inlineStr">
        <is>
          <t>Expense matrix data; EGI $646,496</t>
        </is>
      </c>
    </row>
    <row r="55">
      <c r="A55" s="2342" t="inlineStr">
        <is>
          <t>P052</t>
        </is>
      </c>
      <c r="B55" s="2338" t="n">
        <v>386</v>
      </c>
      <c r="C55" s="2339" t="inlineStr">
        <is>
          <t>R0161412</t>
        </is>
      </c>
      <c r="D55" s="2342" t="inlineStr">
        <is>
          <t>Address unknown – see R0161412</t>
        </is>
      </c>
      <c r="E55" s="2342" t="inlineStr">
        <is>
          <t>Adams County</t>
        </is>
      </c>
      <c r="F55" s="2342" t="inlineStr">
        <is>
          <t>CO</t>
        </is>
      </c>
      <c r="G55" s="2342" t="inlineStr">
        <is>
          <t>Self-Storage</t>
        </is>
      </c>
      <c r="H55" s="2342" t="inlineStr">
        <is>
          <t>Drive-Up/Drop-Off</t>
        </is>
      </c>
      <c r="I55" s="2342" t="n"/>
      <c r="J55" s="2342" t="n">
        <v>88043</v>
      </c>
      <c r="K55" s="2342" t="n"/>
      <c r="L55" s="2342" t="inlineStr">
        <is>
          <t>R0161412</t>
        </is>
      </c>
      <c r="M55" s="2342" t="n"/>
      <c r="N55" s="2342" t="inlineStr">
        <is>
          <t>AXG – SS Expense Matrix</t>
        </is>
      </c>
      <c r="O55" s="2342" t="inlineStr">
        <is>
          <t>2026-06-02</t>
        </is>
      </c>
      <c r="P55" s="2342" t="inlineStr">
        <is>
          <t>Expense matrix data; EGI $1,206,603</t>
        </is>
      </c>
    </row>
    <row r="56">
      <c r="A56" s="2341" t="inlineStr">
        <is>
          <t>P053</t>
        </is>
      </c>
      <c r="B56" s="2338" t="n">
        <v>386</v>
      </c>
      <c r="C56" s="2339" t="inlineStr">
        <is>
          <t>R0169115</t>
        </is>
      </c>
      <c r="D56" s="2341" t="inlineStr">
        <is>
          <t>Address unknown – see R0169115</t>
        </is>
      </c>
      <c r="E56" s="2341" t="inlineStr">
        <is>
          <t>Adams County</t>
        </is>
      </c>
      <c r="F56" s="2341" t="inlineStr">
        <is>
          <t>CO</t>
        </is>
      </c>
      <c r="G56" s="2341" t="inlineStr">
        <is>
          <t>Self-Storage</t>
        </is>
      </c>
      <c r="H56" s="2341" t="inlineStr">
        <is>
          <t>Drive-Up/Drop-Off</t>
        </is>
      </c>
      <c r="I56" s="2341" t="n"/>
      <c r="J56" s="2341" t="n">
        <v>41764</v>
      </c>
      <c r="K56" s="2341" t="n"/>
      <c r="L56" s="2341" t="inlineStr">
        <is>
          <t>R0169115</t>
        </is>
      </c>
      <c r="M56" s="2341" t="n"/>
      <c r="N56" s="2341" t="inlineStr">
        <is>
          <t>AXG – SS Expense Matrix</t>
        </is>
      </c>
      <c r="O56" s="2341" t="inlineStr">
        <is>
          <t>2026-06-02</t>
        </is>
      </c>
      <c r="P56" s="2341" t="inlineStr">
        <is>
          <t>Expense matrix data; EGI $787,364</t>
        </is>
      </c>
    </row>
    <row r="57">
      <c r="A57" s="2341" t="inlineStr">
        <is>
          <t>P054</t>
        </is>
      </c>
      <c r="B57" s="2338" t="n">
        <v>210</v>
      </c>
      <c r="C57" s="2339" t="inlineStr">
        <is>
          <t>R0180551</t>
        </is>
      </c>
      <c r="D57" s="2341" t="inlineStr">
        <is>
          <t>1953 N Gun Club Rd</t>
        </is>
      </c>
      <c r="E57" s="2341" t="inlineStr">
        <is>
          <t>Aurora</t>
        </is>
      </c>
      <c r="F57" s="2341" t="inlineStr">
        <is>
          <t>CO</t>
        </is>
      </c>
      <c r="G57" s="2341" t="inlineStr">
        <is>
          <t>Industrial</t>
        </is>
      </c>
      <c r="H57" s="2341" t="inlineStr">
        <is>
          <t>Multi-Tenant Industrial/Office NNN</t>
        </is>
      </c>
      <c r="I57" s="2341" t="n"/>
      <c r="J57" s="2341" t="n"/>
      <c r="K57" s="2341" t="n"/>
      <c r="L57" s="2341" t="inlineStr">
        <is>
          <t>R0180551</t>
        </is>
      </c>
      <c r="M57" s="2341" t="inlineStr">
        <is>
          <t>Cherry Owner III LLC / AIP KKR</t>
        </is>
      </c>
      <c r="N57" s="2341" t="inlineStr">
        <is>
          <t>08_2025 Review – owner actual P&amp;L</t>
        </is>
      </c>
      <c r="O57" s="2341" t="inlineStr">
        <is>
          <t>2026-06-02</t>
        </is>
      </c>
      <c r="P57" s="2341" t="inlineStr">
        <is>
          <t>Actual 2023+2024; base rent + full recovery; adj for prior-yr tax</t>
        </is>
      </c>
    </row>
    <row r="58">
      <c r="A58" s="2342" t="inlineStr">
        <is>
          <t>P055</t>
        </is>
      </c>
      <c r="B58" s="2338" t="n">
        <v>407</v>
      </c>
      <c r="C58" s="2339" t="inlineStr">
        <is>
          <t>R0211072/R0211073/R0211074</t>
        </is>
      </c>
      <c r="D58" s="2342" t="inlineStr">
        <is>
          <t>Park 76 Distribution Center</t>
        </is>
      </c>
      <c r="E58" s="2342" t="inlineStr">
        <is>
          <t>Aurora</t>
        </is>
      </c>
      <c r="F58" s="2342" t="inlineStr">
        <is>
          <t>CO</t>
        </is>
      </c>
      <c r="G58" s="2342" t="inlineStr">
        <is>
          <t>Industrial</t>
        </is>
      </c>
      <c r="H58" s="2342" t="inlineStr">
        <is>
          <t>Industrial Warehouse (3-bldg campus) NNN</t>
        </is>
      </c>
      <c r="I58" s="2342" t="n"/>
      <c r="J58" s="2342" t="n"/>
      <c r="K58" s="2342" t="n"/>
      <c r="L58" s="2342" t="inlineStr">
        <is>
          <t>R0211072/R0211073/R0211074</t>
        </is>
      </c>
      <c r="M58" s="2342" t="inlineStr">
        <is>
          <t>Park 76 Owner LLC / Alpha Industrial</t>
        </is>
      </c>
      <c r="N58" s="2342" t="inlineStr">
        <is>
          <t>08_2025 Review – owner actual P&amp;L</t>
        </is>
      </c>
      <c r="O58" s="2342" t="inlineStr">
        <is>
          <t>2026-06-02</t>
        </is>
      </c>
      <c r="P58" s="2342" t="inlineStr">
        <is>
          <t>3-building campus; actual 2023+2024; lease-up completed ~2023</t>
        </is>
      </c>
    </row>
    <row r="59">
      <c r="A59" s="2341" t="inlineStr">
        <is>
          <t>P056</t>
        </is>
      </c>
      <c r="B59" s="2338" t="n">
        <v>407</v>
      </c>
      <c r="C59" s="2339" t="inlineStr">
        <is>
          <t>R0210485</t>
        </is>
      </c>
      <c r="D59" s="2341" t="inlineStr">
        <is>
          <t>1101 E 126th Ave (Bldg A)</t>
        </is>
      </c>
      <c r="E59" s="2341" t="inlineStr">
        <is>
          <t>Thornton</t>
        </is>
      </c>
      <c r="F59" s="2341" t="inlineStr">
        <is>
          <t>CO</t>
        </is>
      </c>
      <c r="G59" s="2341" t="inlineStr">
        <is>
          <t>Industrial</t>
        </is>
      </c>
      <c r="H59" s="2341" t="inlineStr">
        <is>
          <t>Industrial Warehouse NNN</t>
        </is>
      </c>
      <c r="I59" s="2341" t="n">
        <v>2022</v>
      </c>
      <c r="J59" s="2341" t="n"/>
      <c r="K59" s="2341" t="n"/>
      <c r="L59" s="2341" t="inlineStr">
        <is>
          <t>R0210485</t>
        </is>
      </c>
      <c r="M59" s="2341" t="inlineStr">
        <is>
          <t>Thornton Owner LLC / Alpha Industrial</t>
        </is>
      </c>
      <c r="N59" s="2341" t="inlineStr">
        <is>
          <t>08_2025 Review – owner actual P&amp;L</t>
        </is>
      </c>
      <c r="O59" s="2341" t="inlineStr">
        <is>
          <t>2026-06-02</t>
        </is>
      </c>
      <c r="P59" s="2341" t="inlineStr">
        <is>
          <t>New (YOC ~2022); 2023 lease-up; 2024 near-stabilized; 2024 only added</t>
        </is>
      </c>
    </row>
    <row r="60">
      <c r="A60" s="2342" t="inlineStr">
        <is>
          <t>P057</t>
        </is>
      </c>
      <c r="B60" s="2338" t="n">
        <v>407</v>
      </c>
      <c r="C60" s="2339" t="inlineStr">
        <is>
          <t>R0210486</t>
        </is>
      </c>
      <c r="D60" s="2342" t="inlineStr">
        <is>
          <t>12625 Lafayette St (Bldg B)</t>
        </is>
      </c>
      <c r="E60" s="2342" t="inlineStr">
        <is>
          <t>Thornton</t>
        </is>
      </c>
      <c r="F60" s="2342" t="inlineStr">
        <is>
          <t>CO</t>
        </is>
      </c>
      <c r="G60" s="2342" t="inlineStr">
        <is>
          <t>Industrial</t>
        </is>
      </c>
      <c r="H60" s="2342" t="inlineStr">
        <is>
          <t>Industrial Warehouse NNN</t>
        </is>
      </c>
      <c r="I60" s="2342" t="n">
        <v>2022</v>
      </c>
      <c r="J60" s="2342" t="n"/>
      <c r="K60" s="2342" t="n"/>
      <c r="L60" s="2342" t="inlineStr">
        <is>
          <t>R0210486</t>
        </is>
      </c>
      <c r="M60" s="2342" t="inlineStr">
        <is>
          <t>Thornton Owner LLC / Alpha Industrial</t>
        </is>
      </c>
      <c r="N60" s="2342" t="inlineStr">
        <is>
          <t>08_2025 Review – owner actual P&amp;L</t>
        </is>
      </c>
      <c r="O60" s="2342" t="inlineStr">
        <is>
          <t>2026-06-02</t>
        </is>
      </c>
      <c r="P60" s="2342" t="inlineStr">
        <is>
          <t>New (YOC ~2022); 2023 lease-up; 2024 near-stabilized; 2024 only added</t>
        </is>
      </c>
    </row>
    <row r="61">
      <c r="A61" s="2341" t="inlineStr">
        <is>
          <t>P058</t>
        </is>
      </c>
      <c r="B61" s="2338" t="n">
        <v>407</v>
      </c>
      <c r="C61" s="2339" t="inlineStr">
        <is>
          <t>R0091934</t>
        </is>
      </c>
      <c r="D61" s="2341" t="inlineStr">
        <is>
          <t>350 Park Industrial (5759)</t>
        </is>
      </c>
      <c r="E61" s="2341" t="inlineStr">
        <is>
          <t>Aurora</t>
        </is>
      </c>
      <c r="F61" s="2341" t="inlineStr">
        <is>
          <t>CO</t>
        </is>
      </c>
      <c r="G61" s="2341" t="inlineStr">
        <is>
          <t>Industrial</t>
        </is>
      </c>
      <c r="H61" s="2341" t="inlineStr">
        <is>
          <t>Multi-Tenant Industrial 407</t>
        </is>
      </c>
      <c r="I61" s="2341" t="n">
        <v>1995</v>
      </c>
      <c r="J61" s="2341" t="n">
        <v>32600</v>
      </c>
      <c r="K61" s="2341" t="n"/>
      <c r="L61" s="2341" t="inlineStr">
        <is>
          <t>R0091934</t>
        </is>
      </c>
      <c r="M61" s="2341" t="n"/>
      <c r="N61" s="2341" t="inlineStr">
        <is>
          <t>08_2025 Review – owner actual P&amp;L</t>
        </is>
      </c>
      <c r="O61" s="2341" t="inlineStr">
        <is>
          <t>2026-06-02</t>
        </is>
      </c>
      <c r="P61" s="2341" t="inlineStr">
        <is>
          <t>Actual accrual 2023+2024; multi-tenant; 3 tenants</t>
        </is>
      </c>
    </row>
    <row r="62">
      <c r="A62" s="2342" t="inlineStr">
        <is>
          <t>P059</t>
        </is>
      </c>
      <c r="B62" s="2338" t="n">
        <v>407</v>
      </c>
      <c r="C62" s="2339" t="inlineStr">
        <is>
          <t>R0093111</t>
        </is>
      </c>
      <c r="D62" s="2342" t="inlineStr">
        <is>
          <t>Industrial Property (yden0702)</t>
        </is>
      </c>
      <c r="E62" s="2342" t="inlineStr">
        <is>
          <t>Aurora</t>
        </is>
      </c>
      <c r="F62" s="2342" t="inlineStr">
        <is>
          <t>CO</t>
        </is>
      </c>
      <c r="G62" s="2342" t="inlineStr">
        <is>
          <t>Industrial</t>
        </is>
      </c>
      <c r="H62" s="2342" t="inlineStr">
        <is>
          <t>Multi-Tenant Industrial 407</t>
        </is>
      </c>
      <c r="I62" s="2342" t="n"/>
      <c r="J62" s="2342" t="n"/>
      <c r="K62" s="2342" t="n"/>
      <c r="L62" s="2342" t="inlineStr">
        <is>
          <t>R0093111</t>
        </is>
      </c>
      <c r="M62" s="2342" t="n"/>
      <c r="N62" s="2342" t="inlineStr">
        <is>
          <t>08_2025 Review – owner actual P&amp;L</t>
        </is>
      </c>
      <c r="O62" s="2342" t="inlineStr">
        <is>
          <t>2026-06-02</t>
        </is>
      </c>
      <c r="P62" s="2342" t="inlineStr">
        <is>
          <t>Actual 2023+2024; SF not confirmed; multi-tenant 3 tenants</t>
        </is>
      </c>
    </row>
    <row r="63">
      <c r="A63" s="2341" t="inlineStr">
        <is>
          <t>P060</t>
        </is>
      </c>
      <c r="B63" s="2338" t="n">
        <v>407</v>
      </c>
      <c r="C63" s="2339" t="inlineStr">
        <is>
          <t>R0100104</t>
        </is>
      </c>
      <c r="D63" s="2341" t="inlineStr">
        <is>
          <t>312 Kew West</t>
        </is>
      </c>
      <c r="E63" s="2341" t="inlineStr">
        <is>
          <t>Aurora</t>
        </is>
      </c>
      <c r="F63" s="2341" t="inlineStr">
        <is>
          <t>CO</t>
        </is>
      </c>
      <c r="G63" s="2341" t="inlineStr">
        <is>
          <t>Industrial</t>
        </is>
      </c>
      <c r="H63" s="2341" t="inlineStr">
        <is>
          <t>Multi-Tenant Industrial 407</t>
        </is>
      </c>
      <c r="I63" s="2341" t="n"/>
      <c r="J63" s="2341" t="n"/>
      <c r="K63" s="2341" t="n"/>
      <c r="L63" s="2341" t="inlineStr">
        <is>
          <t>R0100104</t>
        </is>
      </c>
      <c r="M63" s="2341" t="n"/>
      <c r="N63" s="2341" t="inlineStr">
        <is>
          <t>08_2025 Review – owner actual P&amp;L</t>
        </is>
      </c>
      <c r="O63" s="2341" t="inlineStr">
        <is>
          <t>2026-06-02</t>
        </is>
      </c>
      <c r="P63" s="2341" t="inlineStr">
        <is>
          <t>Actual 2023+2024; SF not confirmed</t>
        </is>
      </c>
    </row>
    <row r="64">
      <c r="A64" s="2342" t="inlineStr">
        <is>
          <t>P061</t>
        </is>
      </c>
      <c r="B64" s="2338" t="n">
        <v>584</v>
      </c>
      <c r="C64" s="2339" t="inlineStr">
        <is>
          <t>R0083935</t>
        </is>
      </c>
      <c r="D64" s="2342" t="inlineStr">
        <is>
          <t>20101 E 36th Ave (RK Industries)</t>
        </is>
      </c>
      <c r="E64" s="2342" t="inlineStr">
        <is>
          <t>Aurora</t>
        </is>
      </c>
      <c r="F64" s="2342" t="inlineStr">
        <is>
          <t>CO</t>
        </is>
      </c>
      <c r="G64" s="2342" t="inlineStr">
        <is>
          <t>Industrial</t>
        </is>
      </c>
      <c r="H64" s="2342" t="inlineStr">
        <is>
          <t>Mega Warehouse NNN</t>
        </is>
      </c>
      <c r="I64" s="2342" t="n"/>
      <c r="J64" s="2342" t="n">
        <v>278538</v>
      </c>
      <c r="K64" s="2342" t="n"/>
      <c r="L64" s="2342" t="inlineStr">
        <is>
          <t>R0083935</t>
        </is>
      </c>
      <c r="M64" s="2342" t="inlineStr">
        <is>
          <t>RK Industries</t>
        </is>
      </c>
      <c r="N64" s="2342" t="inlineStr">
        <is>
          <t>08_2025 Review – CBRE income statement</t>
        </is>
      </c>
      <c r="O64" s="2342" t="inlineStr">
        <is>
          <t>2026-06-02</t>
        </is>
      </c>
      <c r="P64" s="2342" t="inlineStr">
        <is>
          <t>Single-tenant NNN; 2024 partial data; rent $4.47/SF NNN</t>
        </is>
      </c>
    </row>
    <row r="65">
      <c r="A65" s="2341" t="inlineStr">
        <is>
          <t>P062</t>
        </is>
      </c>
      <c r="B65" s="2338" t="n">
        <v>407</v>
      </c>
      <c r="C65" s="2339" t="inlineStr">
        <is>
          <t>R0200721</t>
        </is>
      </c>
      <c r="D65" s="2341" t="inlineStr">
        <is>
          <t>3420 N Lisbon St</t>
        </is>
      </c>
      <c r="E65" s="2341" t="inlineStr">
        <is>
          <t>Aurora</t>
        </is>
      </c>
      <c r="F65" s="2341" t="inlineStr">
        <is>
          <t>CO</t>
        </is>
      </c>
      <c r="G65" s="2341" t="inlineStr">
        <is>
          <t>Industrial</t>
        </is>
      </c>
      <c r="H65" s="2341" t="inlineStr">
        <is>
          <t>Single-Tenant Industrial NNN</t>
        </is>
      </c>
      <c r="I65" s="2341" t="n">
        <v>2019</v>
      </c>
      <c r="J65" s="2341" t="n">
        <v>36212</v>
      </c>
      <c r="K65" s="2341" t="n"/>
      <c r="L65" s="2341" t="inlineStr">
        <is>
          <t>R0200721</t>
        </is>
      </c>
      <c r="M65" s="2341" t="inlineStr">
        <is>
          <t>Cameron Ashley Bldg Products</t>
        </is>
      </c>
      <c r="N65" s="2341" t="inlineStr">
        <is>
          <t>08_2025 Review – rent roll</t>
        </is>
      </c>
      <c r="O65" s="2341" t="inlineStr">
        <is>
          <t>2026-06-02</t>
        </is>
      </c>
      <c r="P65" s="2341" t="inlineStr">
        <is>
          <t>NNN lease thru 12/31/2028; rent only; tenant pays all opex</t>
        </is>
      </c>
    </row>
    <row r="66">
      <c r="A66" s="2342" t="inlineStr">
        <is>
          <t>P063</t>
        </is>
      </c>
      <c r="B66" s="2338" t="n">
        <v>344</v>
      </c>
      <c r="C66" s="2339" t="inlineStr">
        <is>
          <t>R0040581</t>
        </is>
      </c>
      <c r="D66" s="2342" t="inlineStr">
        <is>
          <t>2090 E 104th Ave</t>
        </is>
      </c>
      <c r="E66" s="2342" t="inlineStr">
        <is>
          <t>Thornton</t>
        </is>
      </c>
      <c r="F66" s="2342" t="inlineStr">
        <is>
          <t>CO</t>
        </is>
      </c>
      <c r="G66" s="2342" t="inlineStr">
        <is>
          <t>Office</t>
        </is>
      </c>
      <c r="H66" s="2342" t="inlineStr">
        <is>
          <t>Multi-Tenant Office</t>
        </is>
      </c>
      <c r="I66" s="2342" t="n"/>
      <c r="J66" s="2342" t="n">
        <v>19764</v>
      </c>
      <c r="K66" s="2342" t="n"/>
      <c r="L66" s="2342" t="inlineStr">
        <is>
          <t>R0040581</t>
        </is>
      </c>
      <c r="M66" s="2342" t="n"/>
      <c r="N66" s="2342" t="inlineStr">
        <is>
          <t>08_2025 Review – owner P&amp;L</t>
        </is>
      </c>
      <c r="O66" s="2342" t="inlineStr">
        <is>
          <t>2026-06-02</t>
        </is>
      </c>
      <c r="P66" s="2342" t="inlineStr">
        <is>
          <t>Actual 2023+2024; 11 suites</t>
        </is>
      </c>
    </row>
    <row r="67">
      <c r="A67" s="2341" t="inlineStr">
        <is>
          <t>P064</t>
        </is>
      </c>
      <c r="B67" s="2338" t="n">
        <v>344</v>
      </c>
      <c r="C67" s="2339" t="inlineStr">
        <is>
          <t>R0050977</t>
        </is>
      </c>
      <c r="D67" s="2341" t="inlineStr">
        <is>
          <t>9351 Grant St</t>
        </is>
      </c>
      <c r="E67" s="2341" t="inlineStr">
        <is>
          <t>Thornton</t>
        </is>
      </c>
      <c r="F67" s="2341" t="inlineStr">
        <is>
          <t>CO</t>
        </is>
      </c>
      <c r="G67" s="2341" t="inlineStr">
        <is>
          <t>Office</t>
        </is>
      </c>
      <c r="H67" s="2341" t="inlineStr">
        <is>
          <t>Multi-Tenant Office</t>
        </is>
      </c>
      <c r="I67" s="2341" t="n"/>
      <c r="J67" s="2341" t="n"/>
      <c r="K67" s="2341" t="n"/>
      <c r="L67" s="2341" t="inlineStr">
        <is>
          <t>R0050977</t>
        </is>
      </c>
      <c r="M67" s="2341" t="inlineStr">
        <is>
          <t>Crown Real Estate Group</t>
        </is>
      </c>
      <c r="N67" s="2341" t="inlineStr">
        <is>
          <t>08_2025 Review – owner P&amp;L</t>
        </is>
      </c>
      <c r="O67" s="2341" t="inlineStr">
        <is>
          <t>2026-06-02</t>
        </is>
      </c>
      <c r="P67" s="2341" t="inlineStr">
        <is>
          <t>Actual 2023; SF not stated; large property</t>
        </is>
      </c>
    </row>
    <row r="68">
      <c r="A68" s="2342" t="inlineStr">
        <is>
          <t>P065</t>
        </is>
      </c>
      <c r="B68" s="2338" t="n">
        <v>344</v>
      </c>
      <c r="C68" s="2339" t="inlineStr">
        <is>
          <t>R0069041</t>
        </is>
      </c>
      <c r="D68" s="2342" t="inlineStr">
        <is>
          <t>7475 Dakin St (Turnpike Tower)</t>
        </is>
      </c>
      <c r="E68" s="2342" t="inlineStr">
        <is>
          <t>Denver</t>
        </is>
      </c>
      <c r="F68" s="2342" t="inlineStr">
        <is>
          <t>CO</t>
        </is>
      </c>
      <c r="G68" s="2342" t="inlineStr">
        <is>
          <t>Office</t>
        </is>
      </c>
      <c r="H68" s="2342" t="inlineStr">
        <is>
          <t>Multi-Tenant Office</t>
        </is>
      </c>
      <c r="I68" s="2342" t="n"/>
      <c r="J68" s="2342" t="n">
        <v>114843</v>
      </c>
      <c r="K68" s="2342" t="n"/>
      <c r="L68" s="2342" t="inlineStr">
        <is>
          <t>R0069041</t>
        </is>
      </c>
      <c r="M68" s="2342" t="n"/>
      <c r="N68" s="2342" t="inlineStr">
        <is>
          <t>08_2025 Review – owner P&amp;L</t>
        </is>
      </c>
      <c r="O68" s="2342" t="inlineStr">
        <is>
          <t>2026-06-02</t>
        </is>
      </c>
      <c r="P68" s="2342" t="inlineStr">
        <is>
          <t>Actual 2023+2024; 87.7% occ; NNN/Modified leases</t>
        </is>
      </c>
    </row>
    <row r="69">
      <c r="A69" s="2341" t="inlineStr">
        <is>
          <t>P066</t>
        </is>
      </c>
      <c r="B69" s="2338" t="n">
        <v>344</v>
      </c>
      <c r="C69" s="2339" t="inlineStr">
        <is>
          <t>R0079409</t>
        </is>
      </c>
      <c r="D69" s="2341" t="inlineStr">
        <is>
          <t>6401 E 72nd Ave</t>
        </is>
      </c>
      <c r="E69" s="2341" t="inlineStr">
        <is>
          <t>Commerce City</t>
        </is>
      </c>
      <c r="F69" s="2341" t="inlineStr">
        <is>
          <t>CO</t>
        </is>
      </c>
      <c r="G69" s="2341" t="inlineStr">
        <is>
          <t>Office</t>
        </is>
      </c>
      <c r="H69" s="2341" t="inlineStr">
        <is>
          <t>Multi-Tenant Office</t>
        </is>
      </c>
      <c r="I69" s="2341" t="n"/>
      <c r="J69" s="2341" t="n">
        <v>8218</v>
      </c>
      <c r="K69" s="2341" t="n"/>
      <c r="L69" s="2341" t="inlineStr">
        <is>
          <t>R0079409</t>
        </is>
      </c>
      <c r="M69" s="2341" t="n"/>
      <c r="N69" s="2341" t="inlineStr">
        <is>
          <t>08_2025 Review – owner P&amp;L</t>
        </is>
      </c>
      <c r="O69" s="2341" t="inlineStr">
        <is>
          <t>2026-06-02</t>
        </is>
      </c>
      <c r="P69" s="2341" t="inlineStr">
        <is>
          <t>Actual 2023; 9 tenants; small multi-tenant office</t>
        </is>
      </c>
    </row>
    <row r="70">
      <c r="A70" s="2342" t="inlineStr">
        <is>
          <t>P067</t>
        </is>
      </c>
      <c r="B70" s="2338" t="n">
        <v>344</v>
      </c>
      <c r="C70" s="2339" t="inlineStr">
        <is>
          <t>R0189338</t>
        </is>
      </c>
      <c r="D70" s="2342" t="inlineStr">
        <is>
          <t>203 Telluride St</t>
        </is>
      </c>
      <c r="E70" s="2342" t="inlineStr">
        <is>
          <t>Aurora</t>
        </is>
      </c>
      <c r="F70" s="2342" t="inlineStr">
        <is>
          <t>CO</t>
        </is>
      </c>
      <c r="G70" s="2342" t="inlineStr">
        <is>
          <t>Office</t>
        </is>
      </c>
      <c r="H70" s="2342" t="inlineStr">
        <is>
          <t>Multi-Tenant Office</t>
        </is>
      </c>
      <c r="I70" s="2342" t="n"/>
      <c r="J70" s="2342" t="n"/>
      <c r="K70" s="2342" t="n"/>
      <c r="L70" s="2342" t="inlineStr">
        <is>
          <t>R0189338</t>
        </is>
      </c>
      <c r="M70" s="2342" t="n"/>
      <c r="N70" s="2342" t="inlineStr">
        <is>
          <t>08_2025 Review – owner P&amp;L</t>
        </is>
      </c>
      <c r="O70" s="2342" t="inlineStr">
        <is>
          <t>2026-06-02</t>
        </is>
      </c>
      <c r="P70" s="2342" t="inlineStr">
        <is>
          <t>Actual 2023+2024; SF not stated</t>
        </is>
      </c>
    </row>
    <row r="71">
      <c r="A71" s="2341" t="inlineStr">
        <is>
          <t>P068</t>
        </is>
      </c>
      <c r="B71" s="2338" t="n">
        <v>344</v>
      </c>
      <c r="C71" s="2339" t="inlineStr">
        <is>
          <t>R0193830</t>
        </is>
      </c>
      <c r="D71" s="2341" t="inlineStr">
        <is>
          <t>Justice Center Office Plaza</t>
        </is>
      </c>
      <c r="E71" s="2341" t="inlineStr">
        <is>
          <t>Denver</t>
        </is>
      </c>
      <c r="F71" s="2341" t="inlineStr">
        <is>
          <t>CO</t>
        </is>
      </c>
      <c r="G71" s="2341" t="inlineStr">
        <is>
          <t>Office</t>
        </is>
      </c>
      <c r="H71" s="2341" t="inlineStr">
        <is>
          <t>Multi-Tenant Office NNN</t>
        </is>
      </c>
      <c r="I71" s="2341" t="n"/>
      <c r="J71" s="2341" t="n">
        <v>41979</v>
      </c>
      <c r="K71" s="2341" t="n"/>
      <c r="L71" s="2341" t="inlineStr">
        <is>
          <t>R0193830</t>
        </is>
      </c>
      <c r="M71" s="2341" t="n"/>
      <c r="N71" s="2341" t="inlineStr">
        <is>
          <t>08_2025 Review – owner P&amp;L</t>
        </is>
      </c>
      <c r="O71" s="2341" t="inlineStr">
        <is>
          <t>2026-06-02</t>
        </is>
      </c>
      <c r="P71" s="2341" t="inlineStr">
        <is>
          <t>Actual 2023+2024; govt tenants; 100% occ; NNN leases</t>
        </is>
      </c>
    </row>
    <row r="72">
      <c r="A72" s="2342" t="inlineStr">
        <is>
          <t>P069</t>
        </is>
      </c>
      <c r="B72" s="2338" t="n">
        <v>210</v>
      </c>
      <c r="C72" s="2339" t="inlineStr">
        <is>
          <t>R0098223</t>
        </is>
      </c>
      <c r="D72" s="2342" t="inlineStr">
        <is>
          <t>Washington Commerce Center</t>
        </is>
      </c>
      <c r="E72" s="2342" t="inlineStr">
        <is>
          <t>Commerce City</t>
        </is>
      </c>
      <c r="F72" s="2342" t="inlineStr">
        <is>
          <t>CO</t>
        </is>
      </c>
      <c r="G72" s="2342" t="inlineStr">
        <is>
          <t>Office/Industrial</t>
        </is>
      </c>
      <c r="H72" s="2342" t="inlineStr">
        <is>
          <t>Multi-Tenant Office/Industrial</t>
        </is>
      </c>
      <c r="I72" s="2342" t="n"/>
      <c r="J72" s="2342" t="n">
        <v>278538</v>
      </c>
      <c r="K72" s="2342" t="n"/>
      <c r="L72" s="2342" t="inlineStr">
        <is>
          <t>R0098223</t>
        </is>
      </c>
      <c r="M72" s="2342" t="n"/>
      <c r="N72" s="2342" t="inlineStr">
        <is>
          <t>08_2025 Review – owner P&amp;L</t>
        </is>
      </c>
      <c r="O72" s="2342" t="inlineStr">
        <is>
          <t>2026-06-02</t>
        </is>
      </c>
      <c r="P72" s="2342" t="inlineStr">
        <is>
          <t>Actual 2023+2024; SF est; opex very low – likely tenant-pay NNN</t>
        </is>
      </c>
    </row>
    <row r="73">
      <c r="A73" s="2341" t="inlineStr">
        <is>
          <t>P070</t>
        </is>
      </c>
      <c r="B73" s="2338" t="n">
        <v>210</v>
      </c>
      <c r="C73" s="2339" t="inlineStr">
        <is>
          <t>R0084242</t>
        </is>
      </c>
      <c r="D73" s="2341" t="inlineStr">
        <is>
          <t>Upland Dist Ctr I (Bldg 1 bt46274)</t>
        </is>
      </c>
      <c r="E73" s="2341" t="inlineStr">
        <is>
          <t>Aurora</t>
        </is>
      </c>
      <c r="F73" s="2341" t="inlineStr">
        <is>
          <t>CO</t>
        </is>
      </c>
      <c r="G73" s="2341" t="inlineStr">
        <is>
          <t>Industrial</t>
        </is>
      </c>
      <c r="H73" s="2341" t="inlineStr">
        <is>
          <t>Multi-Tenant Industrial NNN</t>
        </is>
      </c>
      <c r="I73" s="2341" t="n"/>
      <c r="J73" s="2341" t="n"/>
      <c r="K73" s="2341" t="n"/>
      <c r="L73" s="2341" t="inlineStr">
        <is>
          <t>R0084242</t>
        </is>
      </c>
      <c r="M73" s="2341" t="inlineStr">
        <is>
          <t>Link Logistics</t>
        </is>
      </c>
      <c r="N73" s="2341" t="inlineStr">
        <is>
          <t>08_2025 Review – Link Logistics actual P&amp;L</t>
        </is>
      </c>
      <c r="O73" s="2341" t="inlineStr">
        <is>
          <t>2026-06-02</t>
        </is>
      </c>
      <c r="P73" s="2341" t="inlineStr">
        <is>
          <t>Actual accrual 2023+2024; NNN reimbursable structure</t>
        </is>
      </c>
    </row>
    <row r="74">
      <c r="A74" s="2342" t="inlineStr">
        <is>
          <t>P071</t>
        </is>
      </c>
      <c r="B74" s="2338" t="n">
        <v>210</v>
      </c>
      <c r="C74" s="2339" t="inlineStr">
        <is>
          <t>R0084243</t>
        </is>
      </c>
      <c r="D74" s="2342" t="inlineStr">
        <is>
          <t>Upland Dist Ctr I (Bldg 2 bt46275)</t>
        </is>
      </c>
      <c r="E74" s="2342" t="inlineStr">
        <is>
          <t>Aurora</t>
        </is>
      </c>
      <c r="F74" s="2342" t="inlineStr">
        <is>
          <t>CO</t>
        </is>
      </c>
      <c r="G74" s="2342" t="inlineStr">
        <is>
          <t>Industrial</t>
        </is>
      </c>
      <c r="H74" s="2342" t="inlineStr">
        <is>
          <t>Multi-Tenant Industrial NNN</t>
        </is>
      </c>
      <c r="I74" s="2342" t="n"/>
      <c r="J74" s="2342" t="n"/>
      <c r="K74" s="2342" t="n"/>
      <c r="L74" s="2342" t="inlineStr">
        <is>
          <t>R0084243</t>
        </is>
      </c>
      <c r="M74" s="2342" t="inlineStr">
        <is>
          <t>Link Logistics</t>
        </is>
      </c>
      <c r="N74" s="2342" t="inlineStr">
        <is>
          <t>08_2025 Review – Link Logistics actual P&amp;L</t>
        </is>
      </c>
      <c r="O74" s="2342" t="inlineStr">
        <is>
          <t>2026-06-02</t>
        </is>
      </c>
      <c r="P74" s="2342" t="inlineStr">
        <is>
          <t>Actual accrual 2023+2024</t>
        </is>
      </c>
    </row>
    <row r="75">
      <c r="A75" s="2341" t="inlineStr">
        <is>
          <t>P072</t>
        </is>
      </c>
      <c r="B75" s="2338" t="n">
        <v>210</v>
      </c>
      <c r="C75" s="2339" t="inlineStr">
        <is>
          <t>R0084244</t>
        </is>
      </c>
      <c r="D75" s="2341" t="inlineStr">
        <is>
          <t>Upland Dist Ctr I (Bldg 3 bt46276)</t>
        </is>
      </c>
      <c r="E75" s="2341" t="inlineStr">
        <is>
          <t>Aurora</t>
        </is>
      </c>
      <c r="F75" s="2341" t="inlineStr">
        <is>
          <t>CO</t>
        </is>
      </c>
      <c r="G75" s="2341" t="inlineStr">
        <is>
          <t>Industrial</t>
        </is>
      </c>
      <c r="H75" s="2341" t="inlineStr">
        <is>
          <t>Multi-Tenant Industrial NNN</t>
        </is>
      </c>
      <c r="I75" s="2341" t="n"/>
      <c r="J75" s="2341" t="n"/>
      <c r="K75" s="2341" t="n"/>
      <c r="L75" s="2341" t="inlineStr">
        <is>
          <t>R0084244</t>
        </is>
      </c>
      <c r="M75" s="2341" t="inlineStr">
        <is>
          <t>Link Logistics</t>
        </is>
      </c>
      <c r="N75" s="2341" t="inlineStr">
        <is>
          <t>08_2025 Review – Link Logistics actual P&amp;L</t>
        </is>
      </c>
      <c r="O75" s="2341" t="inlineStr">
        <is>
          <t>2026-06-02</t>
        </is>
      </c>
      <c r="P75" s="2341" t="inlineStr">
        <is>
          <t>2023 only; large warehouse; notable vacancy/free rent period</t>
        </is>
      </c>
    </row>
    <row r="76">
      <c r="A76" s="2342" t="inlineStr">
        <is>
          <t>P073</t>
        </is>
      </c>
      <c r="B76" s="2338" t="n">
        <v>210</v>
      </c>
      <c r="C76" s="2339" t="inlineStr">
        <is>
          <t>R0084247</t>
        </is>
      </c>
      <c r="D76" s="2342" t="inlineStr">
        <is>
          <t>13802 E 33rd Place</t>
        </is>
      </c>
      <c r="E76" s="2342" t="inlineStr">
        <is>
          <t>Aurora</t>
        </is>
      </c>
      <c r="F76" s="2342" t="inlineStr">
        <is>
          <t>CO</t>
        </is>
      </c>
      <c r="G76" s="2342" t="inlineStr">
        <is>
          <t>Industrial</t>
        </is>
      </c>
      <c r="H76" s="2342" t="inlineStr">
        <is>
          <t>Multi-Tenant Industrial NNN</t>
        </is>
      </c>
      <c r="I76" s="2342" t="n"/>
      <c r="J76" s="2342" t="n"/>
      <c r="K76" s="2342" t="n"/>
      <c r="L76" s="2342" t="inlineStr">
        <is>
          <t>R0084247</t>
        </is>
      </c>
      <c r="M76" s="2342" t="inlineStr">
        <is>
          <t>Link Logistics</t>
        </is>
      </c>
      <c r="N76" s="2342" t="inlineStr">
        <is>
          <t>08_2025 Review – Link Logistics actual P&amp;L</t>
        </is>
      </c>
      <c r="O76" s="2342" t="inlineStr">
        <is>
          <t>2026-06-02</t>
        </is>
      </c>
      <c r="P76" s="2342" t="inlineStr">
        <is>
          <t>Actual accrual 2023+2024</t>
        </is>
      </c>
    </row>
    <row r="77">
      <c r="A77" s="2341" t="inlineStr">
        <is>
          <t>P074</t>
        </is>
      </c>
      <c r="B77" s="2338" t="n">
        <v>210</v>
      </c>
      <c r="C77" s="2339" t="inlineStr">
        <is>
          <t>R0084248</t>
        </is>
      </c>
      <c r="D77" s="2341" t="inlineStr">
        <is>
          <t>14002 E 33rd Place</t>
        </is>
      </c>
      <c r="E77" s="2341" t="inlineStr">
        <is>
          <t>Aurora</t>
        </is>
      </c>
      <c r="F77" s="2341" t="inlineStr">
        <is>
          <t>CO</t>
        </is>
      </c>
      <c r="G77" s="2341" t="inlineStr">
        <is>
          <t>Industrial</t>
        </is>
      </c>
      <c r="H77" s="2341" t="inlineStr">
        <is>
          <t>Multi-Tenant Industrial NNN</t>
        </is>
      </c>
      <c r="I77" s="2341" t="n"/>
      <c r="J77" s="2341" t="n"/>
      <c r="K77" s="2341" t="n"/>
      <c r="L77" s="2341" t="inlineStr">
        <is>
          <t>R0084248</t>
        </is>
      </c>
      <c r="M77" s="2341" t="inlineStr">
        <is>
          <t>Link Logistics</t>
        </is>
      </c>
      <c r="N77" s="2341" t="inlineStr">
        <is>
          <t>08_2025 Review – Link Logistics actual P&amp;L</t>
        </is>
      </c>
      <c r="O77" s="2341" t="inlineStr">
        <is>
          <t>2026-06-02</t>
        </is>
      </c>
      <c r="P77" s="2341" t="inlineStr">
        <is>
          <t>Actual accrual 2023+2024; 2023 RE tax net of $53k refund</t>
        </is>
      </c>
    </row>
    <row r="78">
      <c r="A78" s="2342" t="inlineStr">
        <is>
          <t>P075</t>
        </is>
      </c>
      <c r="B78" s="2338" t="n">
        <v>210</v>
      </c>
      <c r="C78" s="2339" t="inlineStr">
        <is>
          <t>R0084250</t>
        </is>
      </c>
      <c r="D78" s="2342" t="inlineStr">
        <is>
          <t>3250 Abilene Street</t>
        </is>
      </c>
      <c r="E78" s="2342" t="inlineStr">
        <is>
          <t>Aurora</t>
        </is>
      </c>
      <c r="F78" s="2342" t="inlineStr">
        <is>
          <t>CO</t>
        </is>
      </c>
      <c r="G78" s="2342" t="inlineStr">
        <is>
          <t>Industrial</t>
        </is>
      </c>
      <c r="H78" s="2342" t="inlineStr">
        <is>
          <t>Multi-Tenant Industrial NNN</t>
        </is>
      </c>
      <c r="I78" s="2342" t="n"/>
      <c r="J78" s="2342" t="n"/>
      <c r="K78" s="2342" t="n"/>
      <c r="L78" s="2342" t="inlineStr">
        <is>
          <t>R0084250</t>
        </is>
      </c>
      <c r="M78" s="2342" t="inlineStr">
        <is>
          <t>Link Logistics</t>
        </is>
      </c>
      <c r="N78" s="2342" t="inlineStr">
        <is>
          <t>08_2025 Review – Link Logistics actual P&amp;L</t>
        </is>
      </c>
      <c r="O78" s="2342" t="inlineStr">
        <is>
          <t>2026-06-02</t>
        </is>
      </c>
      <c r="P78" s="2342" t="inlineStr">
        <is>
          <t>2024 tenant turnover; base rent dropped $787k→$407k; 2023 more stable</t>
        </is>
      </c>
    </row>
    <row r="79">
      <c r="A79" s="2341" t="inlineStr">
        <is>
          <t>P076</t>
        </is>
      </c>
      <c r="B79" s="2338" t="n">
        <v>210</v>
      </c>
      <c r="C79" s="2339" t="inlineStr">
        <is>
          <t>R0084253</t>
        </is>
      </c>
      <c r="D79" s="2341" t="inlineStr">
        <is>
          <t>14509 E 33rd Place (bt46265)</t>
        </is>
      </c>
      <c r="E79" s="2341" t="inlineStr">
        <is>
          <t>Aurora</t>
        </is>
      </c>
      <c r="F79" s="2341" t="inlineStr">
        <is>
          <t>CO</t>
        </is>
      </c>
      <c r="G79" s="2341" t="inlineStr">
        <is>
          <t>Industrial</t>
        </is>
      </c>
      <c r="H79" s="2341" t="inlineStr">
        <is>
          <t>Multi-Tenant Industrial NNN</t>
        </is>
      </c>
      <c r="I79" s="2341" t="n"/>
      <c r="J79" s="2341" t="n"/>
      <c r="K79" s="2341" t="n"/>
      <c r="L79" s="2341" t="inlineStr">
        <is>
          <t>R0084253</t>
        </is>
      </c>
      <c r="M79" s="2341" t="inlineStr">
        <is>
          <t>Link Logistics</t>
        </is>
      </c>
      <c r="N79" s="2341" t="inlineStr">
        <is>
          <t>08_2025 Review – Link Logistics actual P&amp;L</t>
        </is>
      </c>
      <c r="O79" s="2341" t="inlineStr">
        <is>
          <t>2026-06-02</t>
        </is>
      </c>
      <c r="P79" s="2341" t="inlineStr">
        <is>
          <t>Actual 2023+2024; 3-bldg campus R0084253</t>
        </is>
      </c>
    </row>
    <row r="80">
      <c r="A80" s="2342" t="inlineStr">
        <is>
          <t>P077</t>
        </is>
      </c>
      <c r="B80" s="2338" t="n">
        <v>210</v>
      </c>
      <c r="C80" s="2339" t="inlineStr">
        <is>
          <t>R0084253</t>
        </is>
      </c>
      <c r="D80" s="2342" t="inlineStr">
        <is>
          <t>14704 E 33rd Place (bt46266)</t>
        </is>
      </c>
      <c r="E80" s="2342" t="inlineStr">
        <is>
          <t>Aurora</t>
        </is>
      </c>
      <c r="F80" s="2342" t="inlineStr">
        <is>
          <t>CO</t>
        </is>
      </c>
      <c r="G80" s="2342" t="inlineStr">
        <is>
          <t>Industrial</t>
        </is>
      </c>
      <c r="H80" s="2342" t="inlineStr">
        <is>
          <t>Multi-Tenant Industrial NNN</t>
        </is>
      </c>
      <c r="I80" s="2342" t="n"/>
      <c r="J80" s="2342" t="n"/>
      <c r="K80" s="2342" t="n"/>
      <c r="L80" s="2342" t="inlineStr">
        <is>
          <t>R0084253</t>
        </is>
      </c>
      <c r="M80" s="2342" t="inlineStr">
        <is>
          <t>Link Logistics</t>
        </is>
      </c>
      <c r="N80" s="2342" t="inlineStr">
        <is>
          <t>08_2025 Review – Link Logistics actual P&amp;L</t>
        </is>
      </c>
      <c r="O80" s="2342" t="inlineStr">
        <is>
          <t>2026-06-02</t>
        </is>
      </c>
      <c r="P80" s="2342" t="inlineStr">
        <is>
          <t>Actual 2024; partial vacancy (electric/gas vacancy costs); same parcel R0084253</t>
        </is>
      </c>
    </row>
    <row r="81">
      <c r="A81" s="2341" t="inlineStr">
        <is>
          <t>P078</t>
        </is>
      </c>
      <c r="B81" s="2338" t="n">
        <v>210</v>
      </c>
      <c r="C81" s="2339" t="inlineStr">
        <is>
          <t>R0084253</t>
        </is>
      </c>
      <c r="D81" s="2341" t="inlineStr">
        <is>
          <t>14705 E 33rd Place (bt46267)</t>
        </is>
      </c>
      <c r="E81" s="2341" t="inlineStr">
        <is>
          <t>Aurora</t>
        </is>
      </c>
      <c r="F81" s="2341" t="inlineStr">
        <is>
          <t>CO</t>
        </is>
      </c>
      <c r="G81" s="2341" t="inlineStr">
        <is>
          <t>Industrial</t>
        </is>
      </c>
      <c r="H81" s="2341" t="inlineStr">
        <is>
          <t>Multi-Tenant Industrial NNN</t>
        </is>
      </c>
      <c r="I81" s="2341" t="n"/>
      <c r="J81" s="2341" t="n"/>
      <c r="K81" s="2341" t="n"/>
      <c r="L81" s="2341" t="inlineStr">
        <is>
          <t>R0084253</t>
        </is>
      </c>
      <c r="M81" s="2341" t="inlineStr">
        <is>
          <t>Link Logistics</t>
        </is>
      </c>
      <c r="N81" s="2341" t="inlineStr">
        <is>
          <t>08_2025 Review – Link Logistics actual P&amp;L</t>
        </is>
      </c>
      <c r="O81" s="2341" t="inlineStr">
        <is>
          <t>2026-06-02</t>
        </is>
      </c>
      <c r="P81" s="2341" t="inlineStr">
        <is>
          <t>Actual 2024; partial lease-up/free rent; same parcel R0084253</t>
        </is>
      </c>
    </row>
    <row r="82">
      <c r="A82" s="2342" t="inlineStr">
        <is>
          <t>P079</t>
        </is>
      </c>
      <c r="B82" s="2338" t="n">
        <v>584</v>
      </c>
      <c r="C82" s="2339" t="inlineStr">
        <is>
          <t>R0086214</t>
        </is>
      </c>
      <c r="D82" s="2342" t="inlineStr">
        <is>
          <t>Aurora Warehouse (Polar br40666)</t>
        </is>
      </c>
      <c r="E82" s="2342" t="inlineStr">
        <is>
          <t>Aurora</t>
        </is>
      </c>
      <c r="F82" s="2342" t="inlineStr">
        <is>
          <t>CO</t>
        </is>
      </c>
      <c r="G82" s="2342" t="inlineStr">
        <is>
          <t>Industrial</t>
        </is>
      </c>
      <c r="H82" s="2342" t="inlineStr">
        <is>
          <t>Mega Warehouse NNN</t>
        </is>
      </c>
      <c r="I82" s="2342" t="n"/>
      <c r="J82" s="2342" t="n"/>
      <c r="K82" s="2342" t="n"/>
      <c r="L82" s="2342" t="inlineStr">
        <is>
          <t>R0086214</t>
        </is>
      </c>
      <c r="M82" s="2342" t="inlineStr">
        <is>
          <t>Link Logistics</t>
        </is>
      </c>
      <c r="N82" s="2342" t="inlineStr">
        <is>
          <t>08_2025 Review – Link Logistics actual P&amp;L</t>
        </is>
      </c>
      <c r="O82" s="2342" t="inlineStr">
        <is>
          <t>2026-06-02</t>
        </is>
      </c>
      <c r="P82" s="2342" t="inlineStr">
        <is>
          <t>Actual 2023+2024; very large — RE tax $2.2-2.4M; revenue $6.5-7M</t>
        </is>
      </c>
    </row>
    <row r="83">
      <c r="A83" s="2341" t="inlineStr">
        <is>
          <t>P080</t>
        </is>
      </c>
      <c r="B83" s="2338" t="n">
        <v>407</v>
      </c>
      <c r="C83" s="2339" t="inlineStr">
        <is>
          <t>R0194277</t>
        </is>
      </c>
      <c r="D83" s="2341" t="inlineStr">
        <is>
          <t>8251 Quintero St</t>
        </is>
      </c>
      <c r="E83" s="2341" t="inlineStr">
        <is>
          <t>Commerce City</t>
        </is>
      </c>
      <c r="F83" s="2341" t="inlineStr">
        <is>
          <t>CO</t>
        </is>
      </c>
      <c r="G83" s="2341" t="inlineStr">
        <is>
          <t>Industrial</t>
        </is>
      </c>
      <c r="H83" s="2341" t="inlineStr">
        <is>
          <t>Industrial Warehouse NNN</t>
        </is>
      </c>
      <c r="I83" s="2341" t="n"/>
      <c r="J83" s="2341" t="n"/>
      <c r="K83" s="2341" t="n"/>
      <c r="L83" s="2341" t="inlineStr">
        <is>
          <t>R0194277</t>
        </is>
      </c>
      <c r="M83" s="2341" t="inlineStr">
        <is>
          <t>Becknell Industrial</t>
        </is>
      </c>
      <c r="N83" s="2341" t="inlineStr">
        <is>
          <t>08_2025 Review – Becknell Industrial actual P&amp;L</t>
        </is>
      </c>
      <c r="O83" s="2341" t="inlineStr">
        <is>
          <t>2026-06-02</t>
        </is>
      </c>
      <c r="P83" s="2341" t="inlineStr">
        <is>
          <t>Actual accrual 2023+2024; large RE taxes ~$2M; snow $151-188k</t>
        </is>
      </c>
    </row>
    <row r="84">
      <c r="A84" s="2342" t="inlineStr">
        <is>
          <t>P081</t>
        </is>
      </c>
      <c r="B84" s="2338" t="n">
        <v>407</v>
      </c>
      <c r="C84" s="2339" t="inlineStr">
        <is>
          <t>R0198176</t>
        </is>
      </c>
      <c r="D84" s="2342" t="inlineStr">
        <is>
          <t>21800 E 19th Ave</t>
        </is>
      </c>
      <c r="E84" s="2342" t="inlineStr">
        <is>
          <t>Aurora</t>
        </is>
      </c>
      <c r="F84" s="2342" t="inlineStr">
        <is>
          <t>CO</t>
        </is>
      </c>
      <c r="G84" s="2342" t="inlineStr">
        <is>
          <t>Industrial</t>
        </is>
      </c>
      <c r="H84" s="2342" t="inlineStr">
        <is>
          <t>Industrial Warehouse NNN</t>
        </is>
      </c>
      <c r="I84" s="2342" t="n"/>
      <c r="J84" s="2342" t="n"/>
      <c r="K84" s="2342" t="n"/>
      <c r="L84" s="2342" t="inlineStr">
        <is>
          <t>R0198176</t>
        </is>
      </c>
      <c r="M84" s="2342" t="inlineStr">
        <is>
          <t>Becknell Industrial</t>
        </is>
      </c>
      <c r="N84" s="2342" t="inlineStr">
        <is>
          <t>08_2025 Review – Becknell Industrial actual P&amp;L</t>
        </is>
      </c>
      <c r="O84" s="2342" t="inlineStr">
        <is>
          <t>2026-06-02</t>
        </is>
      </c>
      <c r="P84" s="2342" t="inlineStr">
        <is>
          <t>Actual accrual 2023+2024; absolute NNN – tenant pays RE taxes directly</t>
        </is>
      </c>
    </row>
    <row r="85">
      <c r="A85" s="2341" t="inlineStr">
        <is>
          <t>P082</t>
        </is>
      </c>
      <c r="B85" s="2338" t="n">
        <v>407</v>
      </c>
      <c r="C85" s="2339" t="inlineStr">
        <is>
          <t>R0201311</t>
        </is>
      </c>
      <c r="D85" s="2341" t="inlineStr">
        <is>
          <t>Ascent Commerce Center Bldg I</t>
        </is>
      </c>
      <c r="E85" s="2341" t="inlineStr">
        <is>
          <t>Aurora</t>
        </is>
      </c>
      <c r="F85" s="2341" t="inlineStr">
        <is>
          <t>CO</t>
        </is>
      </c>
      <c r="G85" s="2341" t="inlineStr">
        <is>
          <t>Industrial</t>
        </is>
      </c>
      <c r="H85" s="2341" t="inlineStr">
        <is>
          <t>Industrial Warehouse NNN</t>
        </is>
      </c>
      <c r="I85" s="2341" t="n"/>
      <c r="J85" s="2341" t="n"/>
      <c r="K85" s="2341" t="n"/>
      <c r="L85" s="2341" t="inlineStr">
        <is>
          <t>R0201311</t>
        </is>
      </c>
      <c r="M85" s="2341" t="inlineStr">
        <is>
          <t>Ambrose Property Group</t>
        </is>
      </c>
      <c r="N85" s="2341" t="inlineStr">
        <is>
          <t>08_2025 Review – Ambrose Property Group actual P&amp;L</t>
        </is>
      </c>
      <c r="O85" s="2341" t="inlineStr">
        <is>
          <t>2026-06-02</t>
        </is>
      </c>
      <c r="P85" s="2341" t="inlineStr">
        <is>
          <t>Q4 2024 only (Oct–Dec); partial-year/lease-up; 3-bldg campus</t>
        </is>
      </c>
    </row>
    <row r="86">
      <c r="A86" s="2342" t="inlineStr">
        <is>
          <t>P083</t>
        </is>
      </c>
      <c r="B86" s="2338" t="n">
        <v>407</v>
      </c>
      <c r="C86" s="2339" t="inlineStr">
        <is>
          <t>R0201311</t>
        </is>
      </c>
      <c r="D86" s="2342" t="inlineStr">
        <is>
          <t>Ascent Commerce Center Bldg II</t>
        </is>
      </c>
      <c r="E86" s="2342" t="inlineStr">
        <is>
          <t>Aurora</t>
        </is>
      </c>
      <c r="F86" s="2342" t="inlineStr">
        <is>
          <t>CO</t>
        </is>
      </c>
      <c r="G86" s="2342" t="inlineStr">
        <is>
          <t>Industrial</t>
        </is>
      </c>
      <c r="H86" s="2342" t="inlineStr">
        <is>
          <t>Industrial Warehouse NNN</t>
        </is>
      </c>
      <c r="I86" s="2342" t="n"/>
      <c r="J86" s="2342" t="n"/>
      <c r="K86" s="2342" t="n"/>
      <c r="L86" s="2342" t="inlineStr">
        <is>
          <t>R0201311</t>
        </is>
      </c>
      <c r="M86" s="2342" t="inlineStr">
        <is>
          <t>Ambrose Property Group</t>
        </is>
      </c>
      <c r="N86" s="2342" t="inlineStr">
        <is>
          <t>08_2025 Review – Ambrose Property Group actual P&amp;L</t>
        </is>
      </c>
      <c r="O86" s="2342" t="inlineStr">
        <is>
          <t>2026-06-02</t>
        </is>
      </c>
      <c r="P86" s="2342" t="inlineStr">
        <is>
          <t>Q4 2024 only (Oct–Dec); partial-year/lease-up; same campus R0201311</t>
        </is>
      </c>
    </row>
    <row r="87">
      <c r="A87" s="2341" t="inlineStr">
        <is>
          <t>P084</t>
        </is>
      </c>
      <c r="B87" s="2338" t="n">
        <v>407</v>
      </c>
      <c r="C87" s="2339" t="inlineStr">
        <is>
          <t>R0201311</t>
        </is>
      </c>
      <c r="D87" s="2341" t="inlineStr">
        <is>
          <t>Ascent Commerce Center Bldg III</t>
        </is>
      </c>
      <c r="E87" s="2341" t="inlineStr">
        <is>
          <t>Aurora</t>
        </is>
      </c>
      <c r="F87" s="2341" t="inlineStr">
        <is>
          <t>CO</t>
        </is>
      </c>
      <c r="G87" s="2341" t="inlineStr">
        <is>
          <t>Industrial</t>
        </is>
      </c>
      <c r="H87" s="2341" t="inlineStr">
        <is>
          <t>Industrial Warehouse NNN</t>
        </is>
      </c>
      <c r="I87" s="2341" t="n"/>
      <c r="J87" s="2341" t="n"/>
      <c r="K87" s="2341" t="n"/>
      <c r="L87" s="2341" t="inlineStr">
        <is>
          <t>R0201311</t>
        </is>
      </c>
      <c r="M87" s="2341" t="inlineStr">
        <is>
          <t>Ambrose Property Group</t>
        </is>
      </c>
      <c r="N87" s="2341" t="inlineStr">
        <is>
          <t>08_2025 Review – Ambrose Property Group actual P&amp;L</t>
        </is>
      </c>
      <c r="O87" s="2341" t="inlineStr">
        <is>
          <t>2026-06-02</t>
        </is>
      </c>
      <c r="P87" s="2341" t="inlineStr">
        <is>
          <t>Q4 2024 only (Oct–Dec); lease-up/negative NOI; same campus R0201311</t>
        </is>
      </c>
    </row>
    <row r="88">
      <c r="A88" s="2341" t="inlineStr">
        <is>
          <t>P085</t>
        </is>
      </c>
      <c r="B88" s="2338" t="n">
        <v>210</v>
      </c>
      <c r="C88" s="2339" t="inlineStr">
        <is>
          <t>R0093018</t>
        </is>
      </c>
      <c r="D88" s="2341" t="inlineStr">
        <is>
          <t>3350 Peoria St</t>
        </is>
      </c>
      <c r="E88" s="2341" t="inlineStr">
        <is>
          <t>Denver</t>
        </is>
      </c>
      <c r="F88" s="2341" t="inlineStr">
        <is>
          <t>CO</t>
        </is>
      </c>
      <c r="G88" s="2341" t="inlineStr">
        <is>
          <t>Industrial</t>
        </is>
      </c>
      <c r="H88" s="2341" t="inlineStr">
        <is>
          <t>Office/Industrial Flex</t>
        </is>
      </c>
      <c r="I88" s="2341" t="n"/>
      <c r="J88" s="2341" t="n">
        <v>33057</v>
      </c>
      <c r="K88" s="2341" t="n"/>
      <c r="L88" s="2341" t="inlineStr">
        <is>
          <t>R0093018</t>
        </is>
      </c>
      <c r="M88" s="2341" t="n"/>
      <c r="N88" s="2341" t="inlineStr">
        <is>
          <t>Lease, Rent or Op Income info – owner P&amp;L 2024</t>
        </is>
      </c>
      <c r="O88" s="2341" t="inlineStr">
        <is>
          <t>2026-06-03</t>
        </is>
      </c>
      <c r="P88" s="2341" t="inlineStr">
        <is>
          <t>Office/Industrial flex; owner-submitted 2024 P&amp;L</t>
        </is>
      </c>
    </row>
    <row r="89">
      <c r="A89" s="2342" t="inlineStr">
        <is>
          <t>P086</t>
        </is>
      </c>
      <c r="B89" s="2338" t="n">
        <v>406</v>
      </c>
      <c r="C89" s="2339" t="inlineStr">
        <is>
          <t>R0210684</t>
        </is>
      </c>
      <c r="D89" s="2342" t="inlineStr">
        <is>
          <t>14200 E Moncrieff Place</t>
        </is>
      </c>
      <c r="E89" s="2342" t="inlineStr">
        <is>
          <t>Aurora</t>
        </is>
      </c>
      <c r="F89" s="2342" t="inlineStr">
        <is>
          <t>CO</t>
        </is>
      </c>
      <c r="G89" s="2342" t="inlineStr">
        <is>
          <t>Industrial</t>
        </is>
      </c>
      <c r="H89" s="2342" t="inlineStr">
        <is>
          <t>Industrial Warehouse</t>
        </is>
      </c>
      <c r="I89" s="2342" t="n">
        <v>1980</v>
      </c>
      <c r="J89" s="2342" t="n">
        <v>233808</v>
      </c>
      <c r="K89" s="2342" t="n"/>
      <c r="L89" s="2342" t="inlineStr">
        <is>
          <t>R0210684</t>
        </is>
      </c>
      <c r="M89" s="2342" t="n"/>
      <c r="N89" s="2342" t="inlineStr">
        <is>
          <t>Lease, Rent or Op Income info – owner P&amp;L 2023+2024</t>
        </is>
      </c>
      <c r="O89" s="2342" t="inlineStr">
        <is>
          <t>2026-06-03</t>
        </is>
      </c>
      <c r="P89" s="2342" t="inlineStr">
        <is>
          <t>Large industrial; 1980 YOC; 233,808 SF</t>
        </is>
      </c>
    </row>
    <row r="90">
      <c r="A90" s="2341" t="inlineStr">
        <is>
          <t>P087</t>
        </is>
      </c>
      <c r="B90" s="2338" t="n">
        <v>407</v>
      </c>
      <c r="C90" s="2339" t="inlineStr">
        <is>
          <t>R0102985</t>
        </is>
      </c>
      <c r="D90" s="2341" t="inlineStr">
        <is>
          <t>5861 Tennyson St</t>
        </is>
      </c>
      <c r="E90" s="2341" t="inlineStr">
        <is>
          <t>Arvada</t>
        </is>
      </c>
      <c r="F90" s="2341" t="inlineStr">
        <is>
          <t>CO</t>
        </is>
      </c>
      <c r="G90" s="2341" t="inlineStr">
        <is>
          <t>Industrial</t>
        </is>
      </c>
      <c r="H90" s="2341" t="inlineStr">
        <is>
          <t>Industrial NNN</t>
        </is>
      </c>
      <c r="I90" s="2341" t="n">
        <v>2000</v>
      </c>
      <c r="J90" s="2341" t="n">
        <v>80640</v>
      </c>
      <c r="K90" s="2341" t="n"/>
      <c r="L90" s="2341" t="inlineStr">
        <is>
          <t>R0102985</t>
        </is>
      </c>
      <c r="M90" s="2341" t="n"/>
      <c r="N90" s="2341" t="inlineStr">
        <is>
          <t>Lease, Rent or Op Income info – owner P&amp;L 2023+2024</t>
        </is>
      </c>
      <c r="O90" s="2341" t="inlineStr">
        <is>
          <t>2026-06-03</t>
        </is>
      </c>
      <c r="P90" s="2341" t="inlineStr">
        <is>
          <t>NNN; landlord expenses only (tenant pays RE tax); 2000 YOC</t>
        </is>
      </c>
    </row>
    <row r="91">
      <c r="A91" s="2342" t="inlineStr">
        <is>
          <t>P088</t>
        </is>
      </c>
      <c r="B91" s="2338" t="n">
        <v>210</v>
      </c>
      <c r="C91" s="2339" t="inlineStr">
        <is>
          <t>R0090973</t>
        </is>
      </c>
      <c r="D91" s="2342" t="inlineStr">
        <is>
          <t>3975 E 56th Ave</t>
        </is>
      </c>
      <c r="E91" s="2342" t="inlineStr">
        <is>
          <t>Commerce City</t>
        </is>
      </c>
      <c r="F91" s="2342" t="inlineStr">
        <is>
          <t>CO</t>
        </is>
      </c>
      <c r="G91" s="2342" t="inlineStr">
        <is>
          <t>Industrial</t>
        </is>
      </c>
      <c r="H91" s="2342" t="inlineStr">
        <is>
          <t>Multi-Tenant Industrial</t>
        </is>
      </c>
      <c r="I91" s="2342" t="n"/>
      <c r="J91" s="2342" t="n">
        <v>42299</v>
      </c>
      <c r="K91" s="2342" t="n"/>
      <c r="L91" s="2342" t="inlineStr">
        <is>
          <t>R0090973</t>
        </is>
      </c>
      <c r="M91" s="2342" t="n"/>
      <c r="N91" s="2342" t="inlineStr">
        <is>
          <t>Lease, Rent or Op Income info – owner P&amp;L 2024</t>
        </is>
      </c>
      <c r="O91" s="2342" t="inlineStr">
        <is>
          <t>2026-06-03</t>
        </is>
      </c>
      <c r="P91" s="2342" t="inlineStr">
        <is>
          <t>Sand Creek Business Park; 2024 only</t>
        </is>
      </c>
    </row>
    <row r="92">
      <c r="A92" s="2341" t="inlineStr">
        <is>
          <t>P089</t>
        </is>
      </c>
      <c r="B92" s="2338" t="n">
        <v>407</v>
      </c>
      <c r="C92" s="2339" t="inlineStr">
        <is>
          <t>R0180951</t>
        </is>
      </c>
      <c r="D92" s="2341" t="inlineStr">
        <is>
          <t>(Address TBD – R0180951)</t>
        </is>
      </c>
      <c r="E92" s="2341" t="inlineStr">
        <is>
          <t>Adams County</t>
        </is>
      </c>
      <c r="F92" s="2341" t="inlineStr">
        <is>
          <t>CO</t>
        </is>
      </c>
      <c r="G92" s="2341" t="inlineStr">
        <is>
          <t>Industrial</t>
        </is>
      </c>
      <c r="H92" s="2341" t="inlineStr">
        <is>
          <t>Industrial NNN</t>
        </is>
      </c>
      <c r="I92" s="2341" t="n">
        <v>2016</v>
      </c>
      <c r="J92" s="2341" t="n">
        <v>122106</v>
      </c>
      <c r="K92" s="2341" t="n"/>
      <c r="L92" s="2341" t="inlineStr">
        <is>
          <t>R0180951</t>
        </is>
      </c>
      <c r="M92" s="2341" t="n"/>
      <c r="N92" s="2341" t="inlineStr">
        <is>
          <t>WH Expenses 2026-Working File – NNN landlord expenses 2023+2024</t>
        </is>
      </c>
      <c r="O92" s="2341" t="inlineStr">
        <is>
          <t>2026-06-03</t>
        </is>
      </c>
      <c r="P92" s="2341" t="inlineStr">
        <is>
          <t>NNN; landlord RE Tax, Ins, Utils, CAM only; 2023+2024</t>
        </is>
      </c>
    </row>
    <row r="93">
      <c r="A93" s="2342" t="inlineStr">
        <is>
          <t>P090</t>
        </is>
      </c>
      <c r="B93" s="2338" t="n">
        <v>407</v>
      </c>
      <c r="C93" s="2339" t="inlineStr">
        <is>
          <t>R0110351</t>
        </is>
      </c>
      <c r="D93" s="2342" t="inlineStr">
        <is>
          <t>(Address TBD – R0110351)</t>
        </is>
      </c>
      <c r="E93" s="2342" t="inlineStr">
        <is>
          <t>Adams County</t>
        </is>
      </c>
      <c r="F93" s="2342" t="inlineStr">
        <is>
          <t>CO</t>
        </is>
      </c>
      <c r="G93" s="2342" t="inlineStr">
        <is>
          <t>Industrial</t>
        </is>
      </c>
      <c r="H93" s="2342" t="inlineStr">
        <is>
          <t>Industrial NNN</t>
        </is>
      </c>
      <c r="I93" s="2342" t="n">
        <v>2000</v>
      </c>
      <c r="J93" s="2342" t="n">
        <v>85200</v>
      </c>
      <c r="K93" s="2342" t="n"/>
      <c r="L93" s="2342" t="inlineStr">
        <is>
          <t>R0110351</t>
        </is>
      </c>
      <c r="M93" s="2342" t="n"/>
      <c r="N93" s="2342" t="inlineStr">
        <is>
          <t>WH Expenses 2026-Working File – NNN landlord expenses 2023+2024</t>
        </is>
      </c>
      <c r="O93" s="2342" t="inlineStr">
        <is>
          <t>2026-06-03</t>
        </is>
      </c>
      <c r="P93" s="2342" t="inlineStr">
        <is>
          <t>NNN; landlord RE Tax, Ins, CAM only; 2023+2024</t>
        </is>
      </c>
    </row>
    <row r="94">
      <c r="A94" s="2341" t="inlineStr">
        <is>
          <t>P091</t>
        </is>
      </c>
      <c r="B94" s="2338" t="n">
        <v>584</v>
      </c>
      <c r="C94" s="2339" t="inlineStr">
        <is>
          <t>R0198530</t>
        </is>
      </c>
      <c r="D94" s="2341" t="inlineStr">
        <is>
          <t>(Address TBD – R0198530)</t>
        </is>
      </c>
      <c r="E94" s="2341" t="inlineStr">
        <is>
          <t>Adams County</t>
        </is>
      </c>
      <c r="F94" s="2341" t="inlineStr">
        <is>
          <t>CO</t>
        </is>
      </c>
      <c r="G94" s="2341" t="inlineStr">
        <is>
          <t>Industrial</t>
        </is>
      </c>
      <c r="H94" s="2341" t="inlineStr">
        <is>
          <t>Industrial Mega-Warehouse NNN</t>
        </is>
      </c>
      <c r="I94" s="2341" t="n">
        <v>2019</v>
      </c>
      <c r="J94" s="2341" t="n">
        <v>555867</v>
      </c>
      <c r="K94" s="2341" t="n"/>
      <c r="L94" s="2341" t="inlineStr">
        <is>
          <t>R0198530</t>
        </is>
      </c>
      <c r="M94" s="2341" t="n"/>
      <c r="N94" s="2341" t="inlineStr">
        <is>
          <t>WH Expenses 2026-Working File – NNN landlord expenses 2024</t>
        </is>
      </c>
      <c r="O94" s="2341" t="inlineStr">
        <is>
          <t>2026-06-03</t>
        </is>
      </c>
      <c r="P94" s="2341" t="inlineStr">
        <is>
          <t>Mega-warehouse; NNN; landlord RE Tax, Ins, Mgmt only; 2024</t>
        </is>
      </c>
    </row>
    <row r="95">
      <c r="A95" s="2342" t="inlineStr">
        <is>
          <t>P092</t>
        </is>
      </c>
      <c r="B95" s="2338" t="n">
        <v>447</v>
      </c>
      <c r="C95" s="2339" t="inlineStr">
        <is>
          <t>R0180834</t>
        </is>
      </c>
      <c r="D95" s="2342" t="inlineStr">
        <is>
          <t>(Address TBD – R0180834)</t>
        </is>
      </c>
      <c r="E95" s="2342" t="inlineStr">
        <is>
          <t>Adams County</t>
        </is>
      </c>
      <c r="F95" s="2342" t="inlineStr">
        <is>
          <t>CO</t>
        </is>
      </c>
      <c r="G95" s="2342" t="inlineStr">
        <is>
          <t>Industrial</t>
        </is>
      </c>
      <c r="H95" s="2342" t="inlineStr">
        <is>
          <t>Cold Storage/Mega-Warehouse NNN</t>
        </is>
      </c>
      <c r="I95" s="2342" t="n">
        <v>2012</v>
      </c>
      <c r="J95" s="2342" t="n">
        <v>550031</v>
      </c>
      <c r="K95" s="2342" t="n"/>
      <c r="L95" s="2342" t="inlineStr">
        <is>
          <t>R0180834</t>
        </is>
      </c>
      <c r="M95" s="2342" t="n"/>
      <c r="N95" s="2342" t="inlineStr">
        <is>
          <t>WH Expenses 2026-Working File – NNN landlord expenses 2024</t>
        </is>
      </c>
      <c r="O95" s="2342" t="inlineStr">
        <is>
          <t>2026-06-03</t>
        </is>
      </c>
      <c r="P95" s="2342" t="inlineStr">
        <is>
          <t>Cold storage/mega-WH; NNN; 2012 YOC; landlord RE Tax, Ins, Mgmt only</t>
        </is>
      </c>
    </row>
    <row r="96">
      <c r="A96" s="2341" t="inlineStr">
        <is>
          <t>P093</t>
        </is>
      </c>
      <c r="B96" s="2338" t="n">
        <v>407</v>
      </c>
      <c r="C96" s="2339" t="inlineStr">
        <is>
          <t>R0114792</t>
        </is>
      </c>
      <c r="D96" s="2341" t="inlineStr">
        <is>
          <t>(Address TBD – R0114792)</t>
        </is>
      </c>
      <c r="E96" s="2341" t="inlineStr">
        <is>
          <t>Adams County</t>
        </is>
      </c>
      <c r="F96" s="2341" t="inlineStr">
        <is>
          <t>CO</t>
        </is>
      </c>
      <c r="G96" s="2341" t="inlineStr">
        <is>
          <t>Industrial</t>
        </is>
      </c>
      <c r="H96" s="2341" t="inlineStr">
        <is>
          <t>Industrial NNN</t>
        </is>
      </c>
      <c r="I96" s="2341" t="n">
        <v>1998</v>
      </c>
      <c r="J96" s="2341" t="n">
        <v>64501</v>
      </c>
      <c r="K96" s="2341" t="n"/>
      <c r="L96" s="2341" t="inlineStr">
        <is>
          <t>R0114792</t>
        </is>
      </c>
      <c r="M96" s="2341" t="n"/>
      <c r="N96" s="2341" t="inlineStr">
        <is>
          <t>WH Expenses 2026-Working File – NNN landlord expenses 2023+2024</t>
        </is>
      </c>
      <c r="O96" s="2341" t="inlineStr">
        <is>
          <t>2026-06-03</t>
        </is>
      </c>
      <c r="P96" s="2341" t="inlineStr">
        <is>
          <t>NNN; landlord RE Tax, Ins, Mgmt only; 1998 YOC</t>
        </is>
      </c>
    </row>
    <row r="97">
      <c r="A97" s="2341" t="inlineStr">
        <is>
          <t>P094</t>
        </is>
      </c>
      <c r="B97" s="2338" t="n">
        <v>407</v>
      </c>
      <c r="C97" s="2339" t="inlineStr">
        <is>
          <t>R0104122</t>
        </is>
      </c>
      <c r="D97" s="2341" t="inlineStr">
        <is>
          <t>550 W 53rd Pl</t>
        </is>
      </c>
      <c r="E97" s="2341" t="inlineStr">
        <is>
          <t>Denver</t>
        </is>
      </c>
      <c r="F97" s="2341" t="inlineStr">
        <is>
          <t>CO</t>
        </is>
      </c>
      <c r="G97" s="2341" t="inlineStr">
        <is>
          <t>Industrial</t>
        </is>
      </c>
      <c r="H97" s="2341" t="inlineStr">
        <is>
          <t>Distribution Warehouse</t>
        </is>
      </c>
      <c r="I97" s="2341" t="n">
        <v>1971</v>
      </c>
      <c r="J97" s="2341" t="n">
        <v>127900</v>
      </c>
      <c r="K97" s="2341" t="n"/>
      <c r="L97" s="2341" t="inlineStr">
        <is>
          <t>R0104122</t>
        </is>
      </c>
      <c r="M97" s="2341" t="n"/>
      <c r="N97" s="2341" t="inlineStr">
        <is>
          <t>Brad-CBOE 2024 – appraiser income approach pro forma</t>
        </is>
      </c>
      <c r="O97" s="2341" t="inlineStr">
        <is>
          <t>2026-06-03</t>
        </is>
      </c>
      <c r="P97" s="2341" t="inlineStr">
        <is>
          <t>YOC 1971 (remod 1999/eff 1985); 127,900 SF; 2024 CBOE abatement income approach</t>
        </is>
      </c>
    </row>
    <row r="98">
      <c r="A98" s="2342" t="inlineStr">
        <is>
          <t>P095</t>
        </is>
      </c>
      <c r="B98" s="2338" t="n">
        <v>386</v>
      </c>
      <c r="C98" s="2339" t="inlineStr">
        <is>
          <t>R0086010</t>
        </is>
      </c>
      <c r="D98" s="2342" t="inlineStr">
        <is>
          <t>15413 E 18th Ave</t>
        </is>
      </c>
      <c r="E98" s="2342" t="inlineStr">
        <is>
          <t>Aurora</t>
        </is>
      </c>
      <c r="F98" s="2342" t="inlineStr">
        <is>
          <t>CO</t>
        </is>
      </c>
      <c r="G98" s="2342" t="inlineStr">
        <is>
          <t>Self-Storage</t>
        </is>
      </c>
      <c r="H98" s="2342" t="inlineStr">
        <is>
          <t>Self-Storage</t>
        </is>
      </c>
      <c r="I98" s="2342" t="n">
        <v>1984</v>
      </c>
      <c r="J98" s="2342" t="n">
        <v>63989</v>
      </c>
      <c r="K98" s="2342" t="n"/>
      <c r="L98" s="2342" t="inlineStr">
        <is>
          <t>R0086010</t>
        </is>
      </c>
      <c r="M98" s="2342" t="n"/>
      <c r="N98" s="2342" t="inlineStr">
        <is>
          <t>AXG CBOE 2024 – appraiser income approach pro forma</t>
        </is>
      </c>
      <c r="O98" s="2342" t="inlineStr">
        <is>
          <t>2026-06-03</t>
        </is>
      </c>
      <c r="P98" s="2342" t="inlineStr">
        <is>
          <t>8 buildings; NRA 57,754 SF; GBA 63,989 SF; 1984 YOC</t>
        </is>
      </c>
    </row>
    <row r="99">
      <c r="A99" s="2341" t="inlineStr">
        <is>
          <t>P096</t>
        </is>
      </c>
      <c r="B99" s="2338" t="n">
        <v>407</v>
      </c>
      <c r="C99" s="2339" t="inlineStr">
        <is>
          <t>R0083917</t>
        </is>
      </c>
      <c r="D99" s="2341" t="inlineStr">
        <is>
          <t>14701 E 38th Ave</t>
        </is>
      </c>
      <c r="E99" s="2341" t="inlineStr">
        <is>
          <t>Aurora</t>
        </is>
      </c>
      <c r="F99" s="2341" t="inlineStr">
        <is>
          <t>CO</t>
        </is>
      </c>
      <c r="G99" s="2341" t="inlineStr">
        <is>
          <t>Industrial</t>
        </is>
      </c>
      <c r="H99" s="2341" t="inlineStr">
        <is>
          <t>Industrial Owner-User</t>
        </is>
      </c>
      <c r="I99" s="2341" t="n"/>
      <c r="J99" s="2341" t="n">
        <v>117280</v>
      </c>
      <c r="K99" s="2341" t="n"/>
      <c r="L99" s="2341" t="inlineStr">
        <is>
          <t>R0083917</t>
        </is>
      </c>
      <c r="M99" s="2341" t="n"/>
      <c r="N99" s="2341" t="inlineStr">
        <is>
          <t>MT.xlsx I&amp;E Survey 2024</t>
        </is>
      </c>
      <c r="O99" s="2341" t="inlineStr">
        <is>
          <t>2026-06-03</t>
        </is>
      </c>
      <c r="P99" s="2341" t="inlineStr">
        <is>
          <t>Owner-user; expenses may include non-RE items (flag); 117,280 SF</t>
        </is>
      </c>
    </row>
    <row r="100">
      <c r="A100" s="2342" t="inlineStr">
        <is>
          <t>P097</t>
        </is>
      </c>
      <c r="B100" s="2338" t="n">
        <v>210</v>
      </c>
      <c r="C100" s="2339" t="inlineStr">
        <is>
          <t>R0137586</t>
        </is>
      </c>
      <c r="D100" s="2342" t="inlineStr">
        <is>
          <t>7273-7285 E 96th Ave</t>
        </is>
      </c>
      <c r="E100" s="2342" t="inlineStr">
        <is>
          <t>Commerce City</t>
        </is>
      </c>
      <c r="F100" s="2342" t="inlineStr">
        <is>
          <t>CO</t>
        </is>
      </c>
      <c r="G100" s="2342" t="inlineStr">
        <is>
          <t>Industrial</t>
        </is>
      </c>
      <c r="H100" s="2342" t="inlineStr">
        <is>
          <t>Multi-Tenant Industrial</t>
        </is>
      </c>
      <c r="I100" s="2342" t="n"/>
      <c r="J100" s="2342" t="n">
        <v>57200</v>
      </c>
      <c r="K100" s="2342" t="n"/>
      <c r="L100" s="2342" t="inlineStr">
        <is>
          <t>R0137586</t>
        </is>
      </c>
      <c r="M100" s="2342" t="n"/>
      <c r="N100" s="2342" t="inlineStr">
        <is>
          <t>MT.xlsx I&amp;E Survey 2023</t>
        </is>
      </c>
      <c r="O100" s="2342" t="inlineStr">
        <is>
          <t>2026-06-03</t>
        </is>
      </c>
      <c r="P100" s="2342" t="inlineStr">
        <is>
          <t>Modified lease; 57,200 SF; 2023 survey data</t>
        </is>
      </c>
    </row>
    <row r="101">
      <c r="A101" s="2341" t="inlineStr">
        <is>
          <t>P098</t>
        </is>
      </c>
      <c r="B101" s="2338" t="n">
        <v>210</v>
      </c>
      <c r="C101" s="2339" t="inlineStr">
        <is>
          <t>R0187010</t>
        </is>
      </c>
      <c r="D101" s="2341" t="inlineStr">
        <is>
          <t>8020 Steele St</t>
        </is>
      </c>
      <c r="E101" s="2341" t="inlineStr">
        <is>
          <t>Denver</t>
        </is>
      </c>
      <c r="F101" s="2341" t="inlineStr">
        <is>
          <t>CO</t>
        </is>
      </c>
      <c r="G101" s="2341" t="inlineStr">
        <is>
          <t>Industrial</t>
        </is>
      </c>
      <c r="H101" s="2341" t="inlineStr">
        <is>
          <t>Industrial Modified Gross</t>
        </is>
      </c>
      <c r="I101" s="2341" t="n"/>
      <c r="J101" s="2341" t="n">
        <v>70000</v>
      </c>
      <c r="K101" s="2341" t="n"/>
      <c r="L101" s="2341" t="inlineStr">
        <is>
          <t>R0187010</t>
        </is>
      </c>
      <c r="M101" s="2341" t="n"/>
      <c r="N101" s="2341" t="inlineStr">
        <is>
          <t>MT.xlsx I&amp;E Survey 2024</t>
        </is>
      </c>
      <c r="O101" s="2341" t="inlineStr">
        <is>
          <t>2026-06-03</t>
        </is>
      </c>
      <c r="P101" s="2341" t="inlineStr">
        <is>
          <t>Modified gross; owner pays ins/R&amp;M/mgmt; tenant pays utils/trash; 70,000 SF</t>
        </is>
      </c>
    </row>
    <row r="102">
      <c r="A102" s="2342" t="inlineStr">
        <is>
          <t>P099</t>
        </is>
      </c>
      <c r="B102" s="2338" t="n">
        <v>210</v>
      </c>
      <c r="C102" s="2339" t="inlineStr">
        <is>
          <t>R0111914</t>
        </is>
      </c>
      <c r="D102" s="2342" t="inlineStr">
        <is>
          <t>1963 Jasper St</t>
        </is>
      </c>
      <c r="E102" s="2342" t="inlineStr">
        <is>
          <t>Aurora</t>
        </is>
      </c>
      <c r="F102" s="2342" t="inlineStr">
        <is>
          <t>CO</t>
        </is>
      </c>
      <c r="G102" s="2342" t="inlineStr">
        <is>
          <t>Industrial</t>
        </is>
      </c>
      <c r="H102" s="2342" t="inlineStr">
        <is>
          <t>Multi-Tenant Industrial Gross</t>
        </is>
      </c>
      <c r="I102" s="2342" t="n"/>
      <c r="J102" s="2342" t="n">
        <v>33574</v>
      </c>
      <c r="K102" s="2342" t="n"/>
      <c r="L102" s="2342" t="inlineStr">
        <is>
          <t>R0111914</t>
        </is>
      </c>
      <c r="M102" s="2342" t="n"/>
      <c r="N102" s="2342" t="inlineStr">
        <is>
          <t>MT.xlsx I&amp;E Survey 2024</t>
        </is>
      </c>
      <c r="O102" s="2342" t="inlineStr">
        <is>
          <t>2026-06-03</t>
        </is>
      </c>
      <c r="P102" s="2342" t="inlineStr">
        <is>
          <t>Gross lease; owner pays all expenses except gas/elec; 33,574 SF</t>
        </is>
      </c>
    </row>
    <row r="103">
      <c r="A103" s="2341" t="inlineStr">
        <is>
          <t>P100</t>
        </is>
      </c>
      <c r="B103" s="2338" t="n">
        <v>1332</v>
      </c>
      <c r="C103" s="2339" t="inlineStr">
        <is>
          <t>R0111965</t>
        </is>
      </c>
      <c r="D103" s="2341" t="inlineStr">
        <is>
          <t>12101 Grant St</t>
        </is>
      </c>
      <c r="E103" s="2341" t="inlineStr">
        <is>
          <t>Thornton</t>
        </is>
      </c>
      <c r="F103" s="2341" t="inlineStr">
        <is>
          <t>CO</t>
        </is>
      </c>
      <c r="G103" s="2341" t="inlineStr">
        <is>
          <t>Hospitality</t>
        </is>
      </c>
      <c r="H103" s="2341" t="inlineStr">
        <is>
          <t>Hotel Limited Service</t>
        </is>
      </c>
      <c r="I103" s="2341" t="n">
        <v>1998</v>
      </c>
      <c r="J103" s="2341" t="n"/>
      <c r="K103" s="2341" t="n"/>
      <c r="L103" s="2341" t="inlineStr">
        <is>
          <t>R0111965</t>
        </is>
      </c>
      <c r="M103" s="2341" t="n"/>
      <c r="N103" s="2341" t="inlineStr">
        <is>
          <t>AXG CBOE 2024 – appraiser Rushmore income approach</t>
        </is>
      </c>
      <c r="O103" s="2341" t="inlineStr">
        <is>
          <t>2026-06-03</t>
        </is>
      </c>
      <c r="P103" s="2341" t="inlineStr">
        <is>
          <t>100 rooms; 1998 YOC; 2024 CBOE; ADR $115/occ 70%</t>
        </is>
      </c>
    </row>
    <row r="104">
      <c r="A104" s="2342" t="inlineStr">
        <is>
          <t>P101</t>
        </is>
      </c>
      <c r="B104" s="2338" t="n">
        <v>332</v>
      </c>
      <c r="C104" s="2339" t="inlineStr">
        <is>
          <t>R0202410</t>
        </is>
      </c>
      <c r="D104" s="2342" t="inlineStr">
        <is>
          <t>2556 Oswego St</t>
        </is>
      </c>
      <c r="E104" s="2342" t="inlineStr">
        <is>
          <t>Aurora</t>
        </is>
      </c>
      <c r="F104" s="2342" t="inlineStr">
        <is>
          <t>CO</t>
        </is>
      </c>
      <c r="G104" s="2342" t="inlineStr">
        <is>
          <t>Hospitality</t>
        </is>
      </c>
      <c r="H104" s="2342" t="inlineStr">
        <is>
          <t>Hotel Full Service</t>
        </is>
      </c>
      <c r="I104" s="2342" t="n">
        <v>2023</v>
      </c>
      <c r="J104" s="2342" t="n"/>
      <c r="K104" s="2342" t="n"/>
      <c r="L104" s="2342" t="inlineStr">
        <is>
          <t>R0202410</t>
        </is>
      </c>
      <c r="M104" s="2342" t="n"/>
      <c r="N104" s="2342" t="inlineStr">
        <is>
          <t>AXG CBOE 2024 – appraiser Rushmore income approach</t>
        </is>
      </c>
      <c r="O104" s="2342" t="inlineStr">
        <is>
          <t>2026-06-03</t>
        </is>
      </c>
      <c r="P104" s="2342" t="inlineStr">
        <is>
          <t>227 rooms; built 2023; 2024 CBOE; ADR $140/occ 70%</t>
        </is>
      </c>
    </row>
    <row r="105">
      <c r="A105" s="2341" t="inlineStr">
        <is>
          <t>P102</t>
        </is>
      </c>
      <c r="B105" s="2338" t="n">
        <v>332</v>
      </c>
      <c r="C105" s="2339" t="inlineStr">
        <is>
          <t>R0024498</t>
        </is>
      </c>
      <c r="D105" s="2341" t="inlineStr">
        <is>
          <t>83 E 120th Ave</t>
        </is>
      </c>
      <c r="E105" s="2341" t="inlineStr">
        <is>
          <t>Thornton</t>
        </is>
      </c>
      <c r="F105" s="2341" t="inlineStr">
        <is>
          <t>CO</t>
        </is>
      </c>
      <c r="G105" s="2341" t="inlineStr">
        <is>
          <t>Hospitality</t>
        </is>
      </c>
      <c r="H105" s="2341" t="inlineStr">
        <is>
          <t>Hotel Full Service</t>
        </is>
      </c>
      <c r="I105" s="2341" t="n">
        <v>1984</v>
      </c>
      <c r="J105" s="2341" t="n">
        <v>114796</v>
      </c>
      <c r="K105" s="2341" t="n"/>
      <c r="L105" s="2341" t="inlineStr">
        <is>
          <t>R0024498</t>
        </is>
      </c>
      <c r="M105" s="2341" t="n"/>
      <c r="N105" s="2341" t="inlineStr">
        <is>
          <t>AXG CBOE 2024 – appraiser Rushmore income approach</t>
        </is>
      </c>
      <c r="O105" s="2341" t="inlineStr">
        <is>
          <t>2026-06-03</t>
        </is>
      </c>
      <c r="P105" s="2341" t="inlineStr">
        <is>
          <t>137 rooms; 114,796 SF GBA; 2 bldgs; 1984 YOC; ADR $142/occ 70%</t>
        </is>
      </c>
    </row>
    <row r="106">
      <c r="A106" s="2342" t="inlineStr">
        <is>
          <t>P103</t>
        </is>
      </c>
      <c r="B106" s="2338" t="n">
        <v>407</v>
      </c>
      <c r="C106" s="2339" t="inlineStr">
        <is>
          <t>R0075212</t>
        </is>
      </c>
      <c r="D106" s="2342" t="inlineStr">
        <is>
          <t>10500 Havana Ct</t>
        </is>
      </c>
      <c r="E106" s="2342" t="inlineStr">
        <is>
          <t>Commerce City</t>
        </is>
      </c>
      <c r="F106" s="2342" t="inlineStr">
        <is>
          <t>CO</t>
        </is>
      </c>
      <c r="G106" s="2342" t="inlineStr">
        <is>
          <t>Industrial</t>
        </is>
      </c>
      <c r="H106" s="2342" t="inlineStr">
        <is>
          <t>Industrial NNN</t>
        </is>
      </c>
      <c r="I106" s="2342" t="n"/>
      <c r="J106" s="2342" t="n">
        <v>30000</v>
      </c>
      <c r="K106" s="2342" t="n"/>
      <c r="L106" s="2342" t="inlineStr">
        <is>
          <t>R0075212</t>
        </is>
      </c>
      <c r="M106" s="2342" t="n"/>
      <c r="N106" s="2342" t="inlineStr">
        <is>
          <t>MT.xlsx I&amp;E Survey 2024</t>
        </is>
      </c>
      <c r="O106" s="2342" t="inlineStr">
        <is>
          <t>2026-06-03</t>
        </is>
      </c>
      <c r="P106" s="2342" t="inlineStr">
        <is>
          <t>NNN; full expense survey; 30,000 SF</t>
        </is>
      </c>
    </row>
    <row r="107">
      <c r="A107" t="inlineStr">
        <is>
          <t>P104</t>
        </is>
      </c>
      <c r="B107" s="2338" t="n">
        <v>210</v>
      </c>
      <c r="C107" t="inlineStr">
        <is>
          <t>R0226379</t>
        </is>
      </c>
      <c r="D107" t="inlineStr">
        <is>
          <t>26100 E 68th Ave</t>
        </is>
      </c>
      <c r="E107" t="inlineStr">
        <is>
          <t>Aurora</t>
        </is>
      </c>
      <c r="F107" t="inlineStr">
        <is>
          <t>CO</t>
        </is>
      </c>
      <c r="G107" t="inlineStr">
        <is>
          <t>Industrial</t>
        </is>
      </c>
      <c r="H107" t="inlineStr">
        <is>
          <t>Industrial Multi-Tenant</t>
        </is>
      </c>
      <c r="I107" t="n"/>
      <c r="J107" t="n">
        <v>187720</v>
      </c>
      <c r="K107" t="n"/>
      <c r="L107" t="inlineStr">
        <is>
          <t>R0226379</t>
        </is>
      </c>
      <c r="M107" t="inlineStr">
        <is>
          <t>Green Industrial Development Group (.ptg)</t>
        </is>
      </c>
      <c r="N107" t="inlineStr">
        <is>
          <t>Owner Income Statement 2023 &amp; 2024</t>
        </is>
      </c>
      <c r="O107" t="inlineStr">
        <is>
          <t>2026-06-03</t>
        </is>
      </c>
      <c r="P107" t="inlineStr">
        <is>
          <t>Building 1; Filing 3 Block 1 Lot 1; CAM reimb + TBB structure; SF unknown; 2023-2024 actuals</t>
        </is>
      </c>
    </row>
  </sheetData>
  <autoFilter ref="A3:P3"/>
  <mergeCells count="2">
    <mergeCell ref="A2:N2"/>
    <mergeCell ref="A1:N1"/>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M197"/>
  <sheetViews>
    <sheetView workbookViewId="0">
      <pane xSplit="11" ySplit="171" topLeftCell="L172" activePane="bottomRight" state="frozen"/>
      <selection pane="topRight" activeCell="A1" sqref="A1"/>
      <selection pane="bottomLeft" activeCell="A1" sqref="A1"/>
      <selection pane="bottomRight" activeCell="A1" sqref="A1"/>
    </sheetView>
  </sheetViews>
  <sheetFormatPr baseColWidth="8" defaultRowHeight="15"/>
  <cols>
    <col width="8" customWidth="1" style="1449" min="1" max="1"/>
    <col width="12" customWidth="1" style="1449" min="2" max="2"/>
    <col width="28" customWidth="1" style="1449" min="3" max="3"/>
    <col width="14" customWidth="1" style="1449" min="4" max="4"/>
    <col width="5" customWidth="1" style="1449" min="5" max="5"/>
    <col width="20" customWidth="1" style="1449" min="6" max="6"/>
    <col width="22" customWidth="1" style="1449" min="7" max="7"/>
    <col width="8" customWidth="1" style="1449" min="8" max="8"/>
    <col width="7" customWidth="1" style="1449" min="9" max="9"/>
    <col width="9" customWidth="1" style="1449" min="10" max="10"/>
    <col width="6" customWidth="1" style="1449" min="11" max="11"/>
    <col width="9" customWidth="1" style="1449" min="12" max="38"/>
    <col width="45" customWidth="1" style="1449" min="39" max="39"/>
  </cols>
  <sheetData>
    <row r="1" ht="24" customHeight="1" s="1449">
      <c r="A1" s="1711" t="inlineStr">
        <is>
          <t>COMMERCIAL PROPERTY EXPENSE DATABASE ? ANNUAL DETAIL</t>
        </is>
      </c>
    </row>
    <row r="2" ht="15.95" customHeight="1" s="1449">
      <c r="A2" s="1702" t="inlineStr">
        <is>
          <t>One row per property per year | All dollar figures from owner P&amp;L unless noted | $/SF = $ / Building SF</t>
        </is>
      </c>
    </row>
    <row r="3" ht="42" customHeight="1" s="1449">
      <c r="A3" s="2335" t="inlineStr">
        <is>
          <t>Prop ID</t>
        </is>
      </c>
      <c r="B3" s="2336" t="inlineStr">
        <is>
          <t>Occ Code</t>
        </is>
      </c>
      <c r="C3" s="2343" t="inlineStr">
        <is>
          <t>Account #</t>
        </is>
      </c>
      <c r="D3" s="2335" t="inlineStr">
        <is>
          <t>Address</t>
        </is>
      </c>
      <c r="E3" s="2335" t="inlineStr">
        <is>
          <t>City</t>
        </is>
      </c>
      <c r="F3" s="2335" t="inlineStr">
        <is>
          <t>State</t>
        </is>
      </c>
      <c r="G3" s="2335" t="inlineStr">
        <is>
          <t>Prop Type</t>
        </is>
      </c>
      <c r="H3" s="2335" t="inlineStr">
        <is>
          <t>Subtype</t>
        </is>
      </c>
      <c r="I3" s="2335" t="inlineStr">
        <is>
          <t>Year Built</t>
        </is>
      </c>
      <c r="J3" s="2335" t="inlineStr">
        <is>
          <t>Bldg SF</t>
        </is>
      </c>
      <c r="K3" s="2335" t="inlineStr">
        <is>
          <t>Year</t>
        </is>
      </c>
      <c r="L3" s="2335" t="inlineStr">
        <is>
          <t>Gross Rental Income</t>
        </is>
      </c>
      <c r="M3" s="2335" t="inlineStr">
        <is>
          <t>Other Income</t>
        </is>
      </c>
      <c r="N3" s="2335" t="inlineStr">
        <is>
          <t>EGI</t>
        </is>
      </c>
      <c r="O3" s="2335" t="inlineStr">
        <is>
          <t>Insurance</t>
        </is>
      </c>
      <c r="P3" s="2335" t="inlineStr">
        <is>
          <t>Mgmt/Admin</t>
        </is>
      </c>
      <c r="Q3" s="2335" t="inlineStr">
        <is>
          <t>Plumbing R&amp;M</t>
        </is>
      </c>
      <c r="R3" s="2335" t="inlineStr">
        <is>
          <t>Electrical R&amp;M</t>
        </is>
      </c>
      <c r="S3" s="2335" t="inlineStr">
        <is>
          <t>Exterior R&amp;M</t>
        </is>
      </c>
      <c r="T3" s="2335" t="inlineStr">
        <is>
          <t>Fire/Life Safety R&amp;M</t>
        </is>
      </c>
      <c r="U3" s="2335" t="inlineStr">
        <is>
          <t>HVAC R&amp;M</t>
        </is>
      </c>
      <c r="V3" s="2335" t="inlineStr">
        <is>
          <t>Interior Unit R&amp;M</t>
        </is>
      </c>
      <c r="W3" s="2335" t="inlineStr">
        <is>
          <t>Interior Common R&amp;M</t>
        </is>
      </c>
      <c r="X3" s="2335" t="inlineStr">
        <is>
          <t>General Maint &amp; Repairs</t>
        </is>
      </c>
      <c r="Y3" s="2335" t="inlineStr">
        <is>
          <t>Total R&amp;M</t>
        </is>
      </c>
      <c r="Z3" s="2335" t="inlineStr">
        <is>
          <t>Trash</t>
        </is>
      </c>
      <c r="AA3" s="2335" t="inlineStr">
        <is>
          <t>Landscape</t>
        </is>
      </c>
      <c r="AB3" s="2335" t="inlineStr">
        <is>
          <t>Snow Removal</t>
        </is>
      </c>
      <c r="AC3" s="2335" t="inlineStr">
        <is>
          <t>Total Contract Svcs</t>
        </is>
      </c>
      <c r="AD3" s="2335" t="inlineStr">
        <is>
          <t>Water &amp; Sewer</t>
        </is>
      </c>
      <c r="AE3" s="2335" t="inlineStr">
        <is>
          <t>Electric</t>
        </is>
      </c>
      <c r="AF3" s="2335" t="inlineStr">
        <is>
          <t>Total Utilities</t>
        </is>
      </c>
      <c r="AG3" s="2335" t="inlineStr">
        <is>
          <t>Other/Admin (Misc)</t>
        </is>
      </c>
      <c r="AH3" s="2335" t="inlineStr">
        <is>
          <t>Total OPX excl RE Taxes</t>
        </is>
      </c>
      <c r="AI3" s="2335" t="inlineStr">
        <is>
          <t>Real Estate Taxes</t>
        </is>
      </c>
      <c r="AJ3" s="2335" t="inlineStr">
        <is>
          <t>Total OPX incl RE Taxes</t>
        </is>
      </c>
      <c r="AK3" s="2335" t="inlineStr">
        <is>
          <t>NOI</t>
        </is>
      </c>
      <c r="AL3" s="2335" t="inlineStr">
        <is>
          <t>CapEx (non-op)</t>
        </is>
      </c>
      <c r="AM3" s="2335" t="inlineStr">
        <is>
          <t>Notes</t>
        </is>
      </c>
    </row>
    <row r="4" ht="18" customHeight="1" s="1449">
      <c r="A4" s="2344" t="inlineStr">
        <is>
          <t>P001</t>
        </is>
      </c>
      <c r="B4" s="2338" t="n">
        <v>407</v>
      </c>
      <c r="C4" s="2345" t="inlineStr">
        <is>
          <t>R0157664</t>
        </is>
      </c>
      <c r="D4" s="2344" t="inlineStr">
        <is>
          <t>6045 E. 76th Avenue</t>
        </is>
      </c>
      <c r="E4" s="2344" t="inlineStr">
        <is>
          <t>Commerce City</t>
        </is>
      </c>
      <c r="F4" s="2344" t="inlineStr">
        <is>
          <t>CO</t>
        </is>
      </c>
      <c r="G4" s="2344" t="inlineStr">
        <is>
          <t>Light Industrial</t>
        </is>
      </c>
      <c r="H4" s="2344" t="inlineStr">
        <is>
          <t>Distribution Warehouse</t>
        </is>
      </c>
      <c r="I4" s="2346" t="n">
        <v>1988</v>
      </c>
      <c r="J4" s="2346" t="n">
        <v>21000</v>
      </c>
      <c r="K4" s="2346" t="n">
        <v>2021</v>
      </c>
      <c r="L4" s="2347" t="n">
        <v>282764.52</v>
      </c>
      <c r="M4" s="2347" t="n">
        <v>6372</v>
      </c>
      <c r="N4" s="2348" t="n">
        <v>289136.52</v>
      </c>
      <c r="O4" s="2347" t="n">
        <v>4893</v>
      </c>
      <c r="P4" s="2347" t="n">
        <v>0</v>
      </c>
      <c r="Q4" s="2347" t="n">
        <v>1144</v>
      </c>
      <c r="R4" s="2347" t="n">
        <v>0</v>
      </c>
      <c r="S4" s="2347" t="n">
        <v>198.75</v>
      </c>
      <c r="T4" s="2347" t="n">
        <v>0</v>
      </c>
      <c r="U4" s="2347" t="n">
        <v>280</v>
      </c>
      <c r="V4" s="2347" t="n">
        <v>846</v>
      </c>
      <c r="W4" s="2347" t="n">
        <v>2923</v>
      </c>
      <c r="X4" s="2348" t="n">
        <v>0</v>
      </c>
      <c r="Y4" s="2347" t="n">
        <v>5391.75</v>
      </c>
      <c r="Z4" s="2347" t="n">
        <v>6710.19</v>
      </c>
      <c r="AA4" s="2347" t="n">
        <v>3875</v>
      </c>
      <c r="AB4" s="2347" t="n">
        <v>870</v>
      </c>
      <c r="AC4" s="2348" t="n">
        <v>11455.19</v>
      </c>
      <c r="AD4" s="2347" t="n">
        <v>3344.39</v>
      </c>
      <c r="AE4" s="2347" t="n">
        <v>648.33</v>
      </c>
      <c r="AF4" s="2348" t="n">
        <v>3992.72</v>
      </c>
      <c r="AG4" s="2347" t="n">
        <v>762.49</v>
      </c>
      <c r="AH4" s="2349" t="n">
        <v>26515.14999999999</v>
      </c>
      <c r="AI4" s="2349" t="n">
        <v>48263.72</v>
      </c>
      <c r="AJ4" s="2350" t="n">
        <v>74778.87</v>
      </c>
      <c r="AK4" s="2348" t="n">
        <v>214357.65</v>
      </c>
      <c r="AL4" s="2347" t="n">
        <v>2642.04</v>
      </c>
      <c r="AM4" s="2344" t="inlineStr">
        <is>
          <t>2021: other income = damages $2,392 + misc $3,863 + interest $117</t>
        </is>
      </c>
    </row>
    <row r="5" ht="18" customHeight="1" s="1449">
      <c r="A5" s="2344" t="inlineStr">
        <is>
          <t>P001</t>
        </is>
      </c>
      <c r="B5" s="2338" t="n">
        <v>407</v>
      </c>
      <c r="C5" s="2345" t="inlineStr">
        <is>
          <t>R0157664</t>
        </is>
      </c>
      <c r="D5" s="2344" t="inlineStr">
        <is>
          <t>6045 E. 76th Avenue</t>
        </is>
      </c>
      <c r="E5" s="2344" t="inlineStr">
        <is>
          <t>Commerce City</t>
        </is>
      </c>
      <c r="F5" s="2344" t="inlineStr">
        <is>
          <t>CO</t>
        </is>
      </c>
      <c r="G5" s="2344" t="inlineStr">
        <is>
          <t>Light Industrial</t>
        </is>
      </c>
      <c r="H5" s="2344" t="inlineStr">
        <is>
          <t>Distribution Warehouse</t>
        </is>
      </c>
      <c r="I5" s="2346" t="n">
        <v>1988</v>
      </c>
      <c r="J5" s="2346" t="n">
        <v>21000</v>
      </c>
      <c r="K5" s="2346" t="n">
        <v>2022</v>
      </c>
      <c r="L5" s="2347" t="n">
        <v>255992.67</v>
      </c>
      <c r="M5" s="2347" t="n">
        <v>3000</v>
      </c>
      <c r="N5" s="2348" t="n">
        <v>258992.67</v>
      </c>
      <c r="O5" s="2347" t="n">
        <v>5276</v>
      </c>
      <c r="P5" s="2347" t="n">
        <v>0</v>
      </c>
      <c r="Q5" s="2347" t="n">
        <v>4115</v>
      </c>
      <c r="R5" s="2347" t="n">
        <v>611</v>
      </c>
      <c r="S5" s="2347" t="n">
        <v>2333.33</v>
      </c>
      <c r="T5" s="2347" t="n">
        <v>0</v>
      </c>
      <c r="U5" s="2347" t="n">
        <v>0</v>
      </c>
      <c r="V5" s="2347" t="n">
        <v>0</v>
      </c>
      <c r="W5" s="2347" t="n">
        <v>780</v>
      </c>
      <c r="X5" s="2348" t="n">
        <v>0</v>
      </c>
      <c r="Y5" s="2347" t="n">
        <v>7839.33</v>
      </c>
      <c r="Z5" s="2347" t="n">
        <v>8303.969999999999</v>
      </c>
      <c r="AA5" s="2347" t="n">
        <v>4280</v>
      </c>
      <c r="AB5" s="2347" t="n">
        <v>0</v>
      </c>
      <c r="AC5" s="2348" t="n">
        <v>12583.97</v>
      </c>
      <c r="AD5" s="2347" t="n">
        <v>3043.11</v>
      </c>
      <c r="AE5" s="2347" t="n">
        <v>887.54</v>
      </c>
      <c r="AF5" s="2348" t="n">
        <v>3930.65</v>
      </c>
      <c r="AG5" s="2347" t="n">
        <v>658.98</v>
      </c>
      <c r="AH5" s="2349" t="n">
        <v>30288.93000000001</v>
      </c>
      <c r="AI5" s="2349" t="n">
        <v>66104.78</v>
      </c>
      <c r="AJ5" s="2350" t="n">
        <v>96393.71000000001</v>
      </c>
      <c r="AK5" s="2348" t="n">
        <v>162598.96</v>
      </c>
      <c r="AL5" s="2347" t="n">
        <v>5791.72</v>
      </c>
      <c r="AM5" s="2344" t="inlineStr">
        <is>
          <t>2022: other income = damages $500 + misc $2,500; CapEx unit interior</t>
        </is>
      </c>
    </row>
    <row r="6" ht="18" customHeight="1" s="1449">
      <c r="A6" s="2344" t="inlineStr">
        <is>
          <t>P001</t>
        </is>
      </c>
      <c r="B6" s="2338" t="n">
        <v>407</v>
      </c>
      <c r="C6" s="2345" t="inlineStr">
        <is>
          <t>R0157664</t>
        </is>
      </c>
      <c r="D6" s="2344" t="inlineStr">
        <is>
          <t>6045 E. 76th Avenue</t>
        </is>
      </c>
      <c r="E6" s="2344" t="inlineStr">
        <is>
          <t>Commerce City</t>
        </is>
      </c>
      <c r="F6" s="2344" t="inlineStr">
        <is>
          <t>CO</t>
        </is>
      </c>
      <c r="G6" s="2344" t="inlineStr">
        <is>
          <t>Light Industrial</t>
        </is>
      </c>
      <c r="H6" s="2344" t="inlineStr">
        <is>
          <t>Distribution Warehouse</t>
        </is>
      </c>
      <c r="I6" s="2346" t="n">
        <v>1988</v>
      </c>
      <c r="J6" s="2346" t="n">
        <v>21000</v>
      </c>
      <c r="K6" s="2346" t="n">
        <v>2023</v>
      </c>
      <c r="L6" s="2347" t="n">
        <v>256200</v>
      </c>
      <c r="M6" s="2347" t="n">
        <v>0</v>
      </c>
      <c r="N6" s="2348" t="n">
        <v>256200</v>
      </c>
      <c r="O6" s="2347" t="n">
        <v>5867.85</v>
      </c>
      <c r="P6" s="2347" t="n">
        <v>800</v>
      </c>
      <c r="Q6" s="2347" t="n">
        <v>1094.49</v>
      </c>
      <c r="R6" s="2347" t="n">
        <v>990</v>
      </c>
      <c r="S6" s="2347" t="n">
        <v>0</v>
      </c>
      <c r="T6" s="2347" t="n">
        <v>3870.75</v>
      </c>
      <c r="U6" s="2347" t="n">
        <v>480</v>
      </c>
      <c r="V6" s="2347" t="n">
        <v>618</v>
      </c>
      <c r="W6" s="2347" t="n">
        <v>0</v>
      </c>
      <c r="X6" s="2348" t="n">
        <v>480</v>
      </c>
      <c r="Y6" s="2347" t="n">
        <v>7533.24</v>
      </c>
      <c r="Z6" s="2347" t="n">
        <v>9561.9</v>
      </c>
      <c r="AA6" s="2347" t="n">
        <v>2200</v>
      </c>
      <c r="AB6" s="2347" t="n">
        <v>2800</v>
      </c>
      <c r="AC6" s="2348" t="n">
        <v>14561.9</v>
      </c>
      <c r="AD6" s="2347" t="n">
        <v>7111.97</v>
      </c>
      <c r="AE6" s="2347" t="n">
        <v>760.15</v>
      </c>
      <c r="AF6" s="2348" t="n">
        <v>7872.12</v>
      </c>
      <c r="AG6" s="2347" t="n">
        <v>597.59</v>
      </c>
      <c r="AH6" s="2349" t="n">
        <v>31952.69999999999</v>
      </c>
      <c r="AI6" s="2349" t="n">
        <v>59985.48</v>
      </c>
      <c r="AJ6" s="2350" t="n">
        <v>91938.17999999999</v>
      </c>
      <c r="AK6" s="2348" t="n">
        <v>164261.82</v>
      </c>
      <c r="AL6" s="2347" t="n">
        <v>0</v>
      </c>
      <c r="AM6" s="2344" t="n"/>
    </row>
    <row r="7" ht="18" customHeight="1" s="1449">
      <c r="A7" s="2344" t="inlineStr">
        <is>
          <t>P001</t>
        </is>
      </c>
      <c r="B7" s="2338" t="n">
        <v>407</v>
      </c>
      <c r="C7" s="2345" t="inlineStr">
        <is>
          <t>R0157664</t>
        </is>
      </c>
      <c r="D7" s="2344" t="inlineStr">
        <is>
          <t>6045 E. 76th Avenue</t>
        </is>
      </c>
      <c r="E7" s="2344" t="inlineStr">
        <is>
          <t>Commerce City</t>
        </is>
      </c>
      <c r="F7" s="2344" t="inlineStr">
        <is>
          <t>CO</t>
        </is>
      </c>
      <c r="G7" s="2344" t="inlineStr">
        <is>
          <t>Light Industrial</t>
        </is>
      </c>
      <c r="H7" s="2344" t="inlineStr">
        <is>
          <t>Distribution Warehouse</t>
        </is>
      </c>
      <c r="I7" s="2346" t="n">
        <v>1988</v>
      </c>
      <c r="J7" s="2346" t="n">
        <v>21000</v>
      </c>
      <c r="K7" s="2346" t="n">
        <v>2024</v>
      </c>
      <c r="L7" s="2347" t="n">
        <v>229531</v>
      </c>
      <c r="M7" s="2347" t="n">
        <v>0</v>
      </c>
      <c r="N7" s="2348" t="n">
        <v>229531</v>
      </c>
      <c r="O7" s="2347" t="n">
        <v>1834.57</v>
      </c>
      <c r="P7" s="2347" t="n">
        <v>1570</v>
      </c>
      <c r="Q7" s="2347" t="n">
        <v>0</v>
      </c>
      <c r="R7" s="2347" t="n">
        <v>0</v>
      </c>
      <c r="S7" s="2347" t="n">
        <v>8000</v>
      </c>
      <c r="T7" s="2347" t="n">
        <v>8299.799999999999</v>
      </c>
      <c r="U7" s="2347" t="n">
        <v>0</v>
      </c>
      <c r="V7" s="2347" t="n">
        <v>175</v>
      </c>
      <c r="W7" s="2347" t="n">
        <v>0</v>
      </c>
      <c r="X7" s="2348" t="n">
        <v>819.88</v>
      </c>
      <c r="Y7" s="2347" t="n">
        <v>17294.68</v>
      </c>
      <c r="Z7" s="2347" t="n">
        <v>8500.75</v>
      </c>
      <c r="AA7" s="2347" t="n">
        <v>3350</v>
      </c>
      <c r="AB7" s="2347" t="n">
        <v>1050</v>
      </c>
      <c r="AC7" s="2348" t="n">
        <v>12900.75</v>
      </c>
      <c r="AD7" s="2347" t="n">
        <v>3438.85</v>
      </c>
      <c r="AE7" s="2347" t="n">
        <v>712.77</v>
      </c>
      <c r="AF7" s="2348" t="n">
        <v>4151.62</v>
      </c>
      <c r="AG7" s="2347" t="n">
        <v>600.11</v>
      </c>
      <c r="AH7" s="2349" t="n">
        <v>38151.7</v>
      </c>
      <c r="AI7" s="2349" t="n">
        <v>69401.60000000001</v>
      </c>
      <c r="AJ7" s="2350" t="n">
        <v>107553.3</v>
      </c>
      <c r="AK7" s="2348" t="n">
        <v>121977.7</v>
      </c>
      <c r="AL7" s="2347" t="n">
        <v>0</v>
      </c>
      <c r="AM7" s="2344" t="n"/>
    </row>
    <row r="8" ht="18" customHeight="1" s="1449">
      <c r="A8" s="2344" t="inlineStr">
        <is>
          <t>P002</t>
        </is>
      </c>
      <c r="B8" s="2338" t="n">
        <v>344</v>
      </c>
      <c r="C8" s="2345" t="inlineStr">
        <is>
          <t>Unknown</t>
        </is>
      </c>
      <c r="D8" s="2344" t="inlineStr">
        <is>
          <t>13659 E. 104th Ave</t>
        </is>
      </c>
      <c r="E8" s="2344" t="inlineStr">
        <is>
          <t>Adams County</t>
        </is>
      </c>
      <c r="F8" s="2344" t="inlineStr">
        <is>
          <t>CO</t>
        </is>
      </c>
      <c r="G8" s="2344" t="inlineStr">
        <is>
          <t>Office/Commercial</t>
        </is>
      </c>
      <c r="H8" s="2344" t="inlineStr">
        <is>
          <t>Multi-tenant</t>
        </is>
      </c>
      <c r="I8" s="2346" t="n"/>
      <c r="J8" s="2346" t="n"/>
      <c r="K8" s="2346" t="n">
        <v>2023</v>
      </c>
      <c r="L8" s="2344" t="n"/>
      <c r="M8" s="2344" t="n"/>
      <c r="N8" s="2351" t="n">
        <v>258808</v>
      </c>
      <c r="O8" s="2347" t="n">
        <v>3292</v>
      </c>
      <c r="P8" s="2347" t="n">
        <v>18539</v>
      </c>
      <c r="Q8" s="2344" t="n"/>
      <c r="R8" s="2344" t="n"/>
      <c r="S8" s="2344" t="n"/>
      <c r="T8" s="2344" t="n"/>
      <c r="U8" s="2344" t="n"/>
      <c r="V8" s="2344" t="n"/>
      <c r="W8" s="2344" t="n"/>
      <c r="X8" s="2347" t="n">
        <v>24750</v>
      </c>
      <c r="Y8" s="2348" t="n">
        <v>24750</v>
      </c>
      <c r="Z8" s="2344" t="n"/>
      <c r="AA8" s="2347" t="n">
        <v>13331</v>
      </c>
      <c r="AB8" s="2344" t="n"/>
      <c r="AC8" s="2348" t="n">
        <v>13331</v>
      </c>
      <c r="AD8" s="2344" t="n"/>
      <c r="AE8" s="2344" t="n"/>
      <c r="AF8" s="2348" t="n">
        <v>3990</v>
      </c>
      <c r="AG8" s="2347" t="n">
        <v>11264</v>
      </c>
      <c r="AH8" s="2349" t="n">
        <v>75327</v>
      </c>
      <c r="AI8" s="2349" t="n">
        <v>51707</v>
      </c>
      <c r="AJ8" s="2349" t="n">
        <v>127034</v>
      </c>
      <c r="AK8" s="2349" t="n">
        <v>131774</v>
      </c>
      <c r="AL8" s="2344" t="n"/>
      <c r="AM8" s="2352" t="inlineStr">
        <is>
          <t>Insurance: $3,292; Mgmt fee $13,242 + asset mgmt $5,297; Professional svcs $11,264; actuals from BAA operating statement</t>
        </is>
      </c>
    </row>
    <row r="9" ht="18" customHeight="1" s="1449">
      <c r="A9" s="2344" t="inlineStr">
        <is>
          <t>P002</t>
        </is>
      </c>
      <c r="B9" s="2338" t="n">
        <v>344</v>
      </c>
      <c r="C9" s="2345" t="inlineStr">
        <is>
          <t>Unknown</t>
        </is>
      </c>
      <c r="D9" s="2344" t="inlineStr">
        <is>
          <t>13659 E. 104th Ave</t>
        </is>
      </c>
      <c r="E9" s="2344" t="inlineStr">
        <is>
          <t>Adams County</t>
        </is>
      </c>
      <c r="F9" s="2344" t="inlineStr">
        <is>
          <t>CO</t>
        </is>
      </c>
      <c r="G9" s="2344" t="inlineStr">
        <is>
          <t>Office/Commercial</t>
        </is>
      </c>
      <c r="H9" s="2344" t="inlineStr">
        <is>
          <t>Multi-tenant</t>
        </is>
      </c>
      <c r="I9" s="2346" t="n"/>
      <c r="J9" s="2346" t="n"/>
      <c r="K9" s="2346" t="n">
        <v>2024</v>
      </c>
      <c r="L9" s="2344" t="n"/>
      <c r="M9" s="2344" t="n"/>
      <c r="N9" s="2351" t="n">
        <v>264959</v>
      </c>
      <c r="O9" s="2347" t="n">
        <v>7442</v>
      </c>
      <c r="P9" s="2347" t="n">
        <v>18228</v>
      </c>
      <c r="Q9" s="2344" t="n"/>
      <c r="R9" s="2344" t="n"/>
      <c r="S9" s="2344" t="n"/>
      <c r="T9" s="2344" t="n"/>
      <c r="U9" s="2344" t="n"/>
      <c r="V9" s="2344" t="n"/>
      <c r="W9" s="2344" t="n"/>
      <c r="X9" s="2347" t="n">
        <v>37394</v>
      </c>
      <c r="Y9" s="2348" t="n">
        <v>37394</v>
      </c>
      <c r="Z9" s="2344" t="n"/>
      <c r="AA9" s="2347" t="n">
        <v>11888</v>
      </c>
      <c r="AB9" s="2344" t="n"/>
      <c r="AC9" s="2348" t="n">
        <v>11888</v>
      </c>
      <c r="AD9" s="2344" t="n"/>
      <c r="AE9" s="2344" t="n"/>
      <c r="AF9" s="2348" t="n">
        <v>5290</v>
      </c>
      <c r="AG9" s="2347" t="n">
        <v>13341</v>
      </c>
      <c r="AH9" s="2349" t="n">
        <v>93583</v>
      </c>
      <c r="AI9" s="2349" t="n">
        <v>44649</v>
      </c>
      <c r="AJ9" s="2349" t="n">
        <v>138232</v>
      </c>
      <c r="AK9" s="2349" t="n">
        <v>126727</v>
      </c>
      <c r="AL9" s="2344" t="n"/>
      <c r="AM9" s="2352" t="inlineStr">
        <is>
          <t>Insurance $7,442; Mgmt fee $13,020 + asset mgmt $5,208; Prof svcs $13,341; Utilities: gas/elec $1,091 + water/sewer $4,199</t>
        </is>
      </c>
    </row>
    <row r="10" ht="18" customHeight="1" s="1449">
      <c r="A10" s="2344" t="inlineStr">
        <is>
          <t>P003</t>
        </is>
      </c>
      <c r="B10" s="2338" t="n">
        <v>344</v>
      </c>
      <c r="C10" s="2345" t="inlineStr">
        <is>
          <t>R0024063</t>
        </is>
      </c>
      <c r="D10" s="2344" t="inlineStr">
        <is>
          <t>Park Centre - Wells Fargo Bldg</t>
        </is>
      </c>
      <c r="E10" s="2344" t="inlineStr">
        <is>
          <t>Westminster</t>
        </is>
      </c>
      <c r="F10" s="2344" t="inlineStr">
        <is>
          <t>CO</t>
        </is>
      </c>
      <c r="G10" s="2344" t="inlineStr">
        <is>
          <t>Office</t>
        </is>
      </c>
      <c r="H10" s="2344" t="inlineStr">
        <is>
          <t>Class B Multi-tenant</t>
        </is>
      </c>
      <c r="I10" s="2346" t="n"/>
      <c r="J10" s="2346" t="n">
        <v>49479</v>
      </c>
      <c r="K10" s="2346" t="n">
        <v>2023</v>
      </c>
      <c r="L10" s="2347" t="n">
        <v>1017928</v>
      </c>
      <c r="M10" s="2347" t="n">
        <v>93575</v>
      </c>
      <c r="N10" s="2351" t="n">
        <v>1111503</v>
      </c>
      <c r="O10" s="2344" t="n"/>
      <c r="P10" s="2344" t="n"/>
      <c r="Q10" s="2344" t="n"/>
      <c r="R10" s="2344" t="n"/>
      <c r="S10" s="2344" t="n"/>
      <c r="T10" s="2344" t="n"/>
      <c r="U10" s="2344" t="n"/>
      <c r="V10" s="2344" t="n"/>
      <c r="W10" s="2344" t="n"/>
      <c r="X10" s="2344" t="n"/>
      <c r="Y10" s="2353" t="n"/>
      <c r="Z10" s="2344" t="n"/>
      <c r="AA10" s="2344" t="n"/>
      <c r="AB10" s="2344" t="n"/>
      <c r="AC10" s="2353" t="n"/>
      <c r="AD10" s="2344" t="n"/>
      <c r="AE10" s="2344" t="n"/>
      <c r="AF10" s="2353" t="n"/>
      <c r="AG10" s="2344" t="n"/>
      <c r="AH10" s="2349" t="n">
        <v>453480</v>
      </c>
      <c r="AI10" s="2349" t="n">
        <v>184874</v>
      </c>
      <c r="AJ10" s="2349" t="n">
        <v>638354</v>
      </c>
      <c r="AK10" s="2349" t="n">
        <v>473149</v>
      </c>
      <c r="AL10" s="2344" t="n"/>
      <c r="AM10" s="2352" t="inlineStr">
        <is>
          <t>Westfield managed; recoveries $49,658 + other $43,917 = $93,575; OpEx BT per PROFORMA REVISED.xlsx</t>
        </is>
      </c>
    </row>
    <row r="11" ht="18" customHeight="1" s="1449">
      <c r="A11" s="2344" t="inlineStr">
        <is>
          <t>P003</t>
        </is>
      </c>
      <c r="B11" s="2338" t="n">
        <v>344</v>
      </c>
      <c r="C11" s="2345" t="inlineStr">
        <is>
          <t>R0024063</t>
        </is>
      </c>
      <c r="D11" s="2344" t="inlineStr">
        <is>
          <t>Park Centre - Wells Fargo Bldg</t>
        </is>
      </c>
      <c r="E11" s="2344" t="inlineStr">
        <is>
          <t>Westminster</t>
        </is>
      </c>
      <c r="F11" s="2344" t="inlineStr">
        <is>
          <t>CO</t>
        </is>
      </c>
      <c r="G11" s="2344" t="inlineStr">
        <is>
          <t>Office</t>
        </is>
      </c>
      <c r="H11" s="2344" t="inlineStr">
        <is>
          <t>Class B Multi-tenant</t>
        </is>
      </c>
      <c r="I11" s="2346" t="n"/>
      <c r="J11" s="2346" t="n">
        <v>49479</v>
      </c>
      <c r="K11" s="2346" t="n">
        <v>2024</v>
      </c>
      <c r="L11" s="2347" t="n">
        <v>944040</v>
      </c>
      <c r="M11" s="2347" t="n">
        <v>77962</v>
      </c>
      <c r="N11" s="2351" t="n">
        <v>1022002</v>
      </c>
      <c r="O11" s="2344" t="n"/>
      <c r="P11" s="2344" t="n"/>
      <c r="Q11" s="2344" t="n"/>
      <c r="R11" s="2344" t="n"/>
      <c r="S11" s="2344" t="n"/>
      <c r="T11" s="2344" t="n"/>
      <c r="U11" s="2344" t="n"/>
      <c r="V11" s="2344" t="n"/>
      <c r="W11" s="2344" t="n"/>
      <c r="X11" s="2344" t="n"/>
      <c r="Y11" s="2353" t="n"/>
      <c r="Z11" s="2344" t="n"/>
      <c r="AA11" s="2344" t="n"/>
      <c r="AB11" s="2344" t="n"/>
      <c r="AC11" s="2353" t="n"/>
      <c r="AD11" s="2344" t="n"/>
      <c r="AE11" s="2344" t="n"/>
      <c r="AF11" s="2353" t="n"/>
      <c r="AG11" s="2344" t="n"/>
      <c r="AH11" s="2349" t="n">
        <v>488239</v>
      </c>
      <c r="AI11" s="2349" t="n">
        <v>179568</v>
      </c>
      <c r="AJ11" s="2349" t="n">
        <v>667807</v>
      </c>
      <c r="AK11" s="2349" t="n">
        <v>354195</v>
      </c>
      <c r="AL11" s="2344" t="n"/>
      <c r="AM11" s="2352" t="inlineStr">
        <is>
          <t>Recoveries $21,696 + other $56,266; OpEx BT per PROFORMA REVISED.xlsx; NOI decline reflects higher vacancy</t>
        </is>
      </c>
    </row>
    <row r="12" ht="18" customHeight="1" s="1449">
      <c r="A12" s="2344" t="inlineStr">
        <is>
          <t>P004</t>
        </is>
      </c>
      <c r="B12" s="2338" t="n">
        <v>412</v>
      </c>
      <c r="C12" s="2345" t="inlineStr">
        <is>
          <t>R0050221</t>
        </is>
      </c>
      <c r="D12" s="2344" t="inlineStr">
        <is>
          <t>8860 Federal Blvd</t>
        </is>
      </c>
      <c r="E12" s="2344" t="inlineStr">
        <is>
          <t>Adams County</t>
        </is>
      </c>
      <c r="F12" s="2344" t="inlineStr">
        <is>
          <t>CO</t>
        </is>
      </c>
      <c r="G12" s="2344" t="inlineStr">
        <is>
          <t>Retail</t>
        </is>
      </c>
      <c r="H12" s="2344" t="inlineStr">
        <is>
          <t>Strip/Multi-tenant</t>
        </is>
      </c>
      <c r="I12" s="2346" t="n"/>
      <c r="J12" s="2346" t="n">
        <v>65850</v>
      </c>
      <c r="K12" s="2346" t="n">
        <v>2023</v>
      </c>
      <c r="L12" s="2344" t="n"/>
      <c r="M12" s="2344" t="n"/>
      <c r="N12" s="2351" t="n">
        <v>570777</v>
      </c>
      <c r="O12" s="2344" t="n"/>
      <c r="P12" s="2344" t="n"/>
      <c r="Q12" s="2344" t="n"/>
      <c r="R12" s="2344" t="n"/>
      <c r="S12" s="2344" t="n"/>
      <c r="T12" s="2344" t="n"/>
      <c r="U12" s="2344" t="n"/>
      <c r="V12" s="2344" t="n"/>
      <c r="W12" s="2344" t="n"/>
      <c r="X12" s="2344" t="n"/>
      <c r="Y12" s="2353" t="n"/>
      <c r="Z12" s="2344" t="n"/>
      <c r="AA12" s="2344" t="n"/>
      <c r="AB12" s="2344" t="n"/>
      <c r="AC12" s="2353" t="n"/>
      <c r="AD12" s="2344" t="n"/>
      <c r="AE12" s="2344" t="n"/>
      <c r="AF12" s="2353" t="n"/>
      <c r="AG12" s="2344" t="n"/>
      <c r="AH12" s="2354" t="n"/>
      <c r="AI12" s="2349" t="n">
        <v>74000</v>
      </c>
      <c r="AJ12" s="2349" t="n">
        <v>269935</v>
      </c>
      <c r="AK12" s="2349" t="n">
        <v>300842</v>
      </c>
      <c r="AL12" s="2344" t="n"/>
      <c r="AM12" s="2352" t="inlineStr">
        <is>
          <t>RE Tax estimated ~$74k (2023 not detailed); Total OpEx per actuals submission; NOI confirmed</t>
        </is>
      </c>
    </row>
    <row r="13" ht="18" customHeight="1" s="1449">
      <c r="A13" s="2344" t="inlineStr">
        <is>
          <t>P004</t>
        </is>
      </c>
      <c r="B13" s="2338" t="n">
        <v>412</v>
      </c>
      <c r="C13" s="2345" t="inlineStr">
        <is>
          <t>R0050221</t>
        </is>
      </c>
      <c r="D13" s="2344" t="inlineStr">
        <is>
          <t>8860 Federal Blvd</t>
        </is>
      </c>
      <c r="E13" s="2344" t="inlineStr">
        <is>
          <t>Adams County</t>
        </is>
      </c>
      <c r="F13" s="2344" t="inlineStr">
        <is>
          <t>CO</t>
        </is>
      </c>
      <c r="G13" s="2344" t="inlineStr">
        <is>
          <t>Retail</t>
        </is>
      </c>
      <c r="H13" s="2344" t="inlineStr">
        <is>
          <t>Strip/Multi-tenant</t>
        </is>
      </c>
      <c r="I13" s="2346" t="n"/>
      <c r="J13" s="2346" t="n">
        <v>65850</v>
      </c>
      <c r="K13" s="2346" t="n">
        <v>2024</v>
      </c>
      <c r="L13" s="2344" t="n"/>
      <c r="M13" s="2344" t="n"/>
      <c r="N13" s="2351" t="n">
        <v>587819</v>
      </c>
      <c r="O13" s="2347" t="n">
        <v>51223</v>
      </c>
      <c r="P13" s="2344" t="n"/>
      <c r="Q13" s="2344" t="n"/>
      <c r="R13" s="2344" t="n"/>
      <c r="S13" s="2344" t="n"/>
      <c r="T13" s="2344" t="n"/>
      <c r="U13" s="2344" t="n"/>
      <c r="V13" s="2344" t="n"/>
      <c r="W13" s="2344" t="n"/>
      <c r="X13" s="2347" t="n">
        <v>28919</v>
      </c>
      <c r="Y13" s="2348" t="n">
        <v>28919</v>
      </c>
      <c r="Z13" s="2347" t="n">
        <v>17561</v>
      </c>
      <c r="AA13" s="2347" t="n">
        <v>2002</v>
      </c>
      <c r="AB13" s="2347" t="n">
        <v>3485</v>
      </c>
      <c r="AC13" s="2348" t="n">
        <v>23048</v>
      </c>
      <c r="AD13" s="2347" t="n">
        <v>12892</v>
      </c>
      <c r="AE13" s="2347" t="n">
        <v>7120</v>
      </c>
      <c r="AF13" s="2348" t="n">
        <v>20012</v>
      </c>
      <c r="AG13" s="2347" t="n">
        <v>10978</v>
      </c>
      <c r="AH13" s="2349" t="n">
        <v>159331</v>
      </c>
      <c r="AI13" s="2349" t="n">
        <v>105466</v>
      </c>
      <c r="AJ13" s="2349" t="n">
        <v>264797</v>
      </c>
      <c r="AK13" s="2349" t="n">
        <v>323022</v>
      </c>
      <c r="AL13" s="2344" t="n"/>
      <c r="AM13" s="2352" t="inlineStr">
        <is>
          <t>Detailed 2024 actuals; R&amp;M includes CAM component $261; insurance unusually high at $51,223; drainage/lighting included in Other</t>
        </is>
      </c>
    </row>
    <row r="14" ht="18" customHeight="1" s="1449">
      <c r="A14" s="2344" t="inlineStr">
        <is>
          <t>P005</t>
        </is>
      </c>
      <c r="B14" s="2338" t="n">
        <v>344</v>
      </c>
      <c r="C14" s="2345" t="inlineStr">
        <is>
          <t>R0050977</t>
        </is>
      </c>
      <c r="D14" s="2344" t="inlineStr">
        <is>
          <t>9351 Grant St (Horizon Terrace)</t>
        </is>
      </c>
      <c r="E14" s="2344" t="inlineStr">
        <is>
          <t>Thornton</t>
        </is>
      </c>
      <c r="F14" s="2344" t="inlineStr">
        <is>
          <t>CO</t>
        </is>
      </c>
      <c r="G14" s="2344" t="inlineStr">
        <is>
          <t>Office</t>
        </is>
      </c>
      <c r="H14" s="2344" t="inlineStr">
        <is>
          <t>Class B Multi-story</t>
        </is>
      </c>
      <c r="I14" s="2346" t="n"/>
      <c r="J14" s="2346" t="n">
        <v>91646</v>
      </c>
      <c r="K14" s="2346" t="n">
        <v>2023</v>
      </c>
      <c r="L14" s="2347" t="n">
        <v>2011958</v>
      </c>
      <c r="M14" s="2347" t="n">
        <v>227276</v>
      </c>
      <c r="N14" s="2351" t="n">
        <v>2239234</v>
      </c>
      <c r="O14" s="2347" t="n">
        <v>24425</v>
      </c>
      <c r="P14" s="2347" t="n">
        <v>132014</v>
      </c>
      <c r="Q14" s="2344" t="n"/>
      <c r="R14" s="2344" t="n"/>
      <c r="S14" s="2344" t="n"/>
      <c r="T14" s="2344" t="n"/>
      <c r="U14" s="2344" t="n"/>
      <c r="V14" s="2344" t="n"/>
      <c r="W14" s="2344" t="n"/>
      <c r="X14" s="2347" t="n">
        <v>144543</v>
      </c>
      <c r="Y14" s="2348" t="n">
        <v>144543</v>
      </c>
      <c r="Z14" s="2344" t="n"/>
      <c r="AA14" s="2347" t="n">
        <v>108773</v>
      </c>
      <c r="AB14" s="2347" t="n">
        <v>65183</v>
      </c>
      <c r="AC14" s="2348" t="n">
        <v>273332</v>
      </c>
      <c r="AD14" s="2347" t="n">
        <v>14762</v>
      </c>
      <c r="AE14" s="2347" t="n">
        <v>225588</v>
      </c>
      <c r="AF14" s="2348" t="n">
        <v>240350</v>
      </c>
      <c r="AG14" s="2347" t="n">
        <v>32925</v>
      </c>
      <c r="AH14" s="2349" t="n">
        <v>845814</v>
      </c>
      <c r="AI14" s="2349" t="n">
        <v>372013</v>
      </c>
      <c r="AJ14" s="2349" t="n">
        <v>1217827</v>
      </c>
      <c r="AK14" s="2349" t="n">
        <v>1021407</v>
      </c>
      <c r="AL14" s="2344" t="n"/>
      <c r="AM14" s="2352" t="inlineStr">
        <is>
          <t>Full-service office: janitorial $164,559 in contract total; security/life safety $29,726 in Other; landscape incl snow $65,183; 2023 actuals confirmed</t>
        </is>
      </c>
    </row>
    <row r="15" ht="18" customHeight="1" s="1449">
      <c r="A15" s="2344" t="inlineStr">
        <is>
          <t>P005</t>
        </is>
      </c>
      <c r="B15" s="2338" t="n">
        <v>344</v>
      </c>
      <c r="C15" s="2345" t="inlineStr">
        <is>
          <t>R0050977</t>
        </is>
      </c>
      <c r="D15" s="2344" t="inlineStr">
        <is>
          <t>9351 Grant St (Horizon Terrace)</t>
        </is>
      </c>
      <c r="E15" s="2344" t="inlineStr">
        <is>
          <t>Thornton</t>
        </is>
      </c>
      <c r="F15" s="2344" t="inlineStr">
        <is>
          <t>CO</t>
        </is>
      </c>
      <c r="G15" s="2344" t="inlineStr">
        <is>
          <t>Office</t>
        </is>
      </c>
      <c r="H15" s="2344" t="inlineStr">
        <is>
          <t>Class B Multi-story</t>
        </is>
      </c>
      <c r="I15" s="2346" t="n"/>
      <c r="J15" s="2346" t="n">
        <v>91646</v>
      </c>
      <c r="K15" s="2346" t="n">
        <v>2024</v>
      </c>
      <c r="L15" s="2347" t="n">
        <v>2052556</v>
      </c>
      <c r="M15" s="2347" t="n">
        <v>269597</v>
      </c>
      <c r="N15" s="2351" t="n">
        <v>2322153</v>
      </c>
      <c r="O15" s="2347" t="n">
        <v>24269</v>
      </c>
      <c r="P15" s="2347" t="n">
        <v>149428</v>
      </c>
      <c r="Q15" s="2344" t="n"/>
      <c r="R15" s="2344" t="n"/>
      <c r="S15" s="2344" t="n"/>
      <c r="T15" s="2344" t="n"/>
      <c r="U15" s="2344" t="n"/>
      <c r="V15" s="2344" t="n"/>
      <c r="W15" s="2344" t="n"/>
      <c r="X15" s="2347" t="n">
        <v>150462</v>
      </c>
      <c r="Y15" s="2348" t="n">
        <v>150462</v>
      </c>
      <c r="Z15" s="2344" t="n"/>
      <c r="AA15" s="2347" t="n">
        <v>109178</v>
      </c>
      <c r="AB15" s="2344" t="n"/>
      <c r="AC15" s="2348" t="n">
        <v>262640</v>
      </c>
      <c r="AD15" s="2344" t="n"/>
      <c r="AE15" s="2344" t="n"/>
      <c r="AF15" s="2348" t="n">
        <v>232174</v>
      </c>
      <c r="AG15" s="2347" t="n">
        <v>37416</v>
      </c>
      <c r="AH15" s="2349" t="n">
        <v>856390</v>
      </c>
      <c r="AI15" s="2349" t="n">
        <v>413583</v>
      </c>
      <c r="AJ15" s="2349" t="n">
        <v>1269973</v>
      </c>
      <c r="AK15" s="2349" t="n">
        <v>1052180</v>
      </c>
      <c r="AL15" s="2344" t="n"/>
      <c r="AM15" s="2352" t="inlineStr">
        <is>
          <t>2024 actuals; janitorial $153,462 in contract total; security $32,603 in Other; sales/use tax $4,813 in Other</t>
        </is>
      </c>
    </row>
    <row r="16" ht="18" customHeight="1" s="1449">
      <c r="A16" s="2344" t="inlineStr">
        <is>
          <t>P006</t>
        </is>
      </c>
      <c r="B16" s="2338" t="n">
        <v>210</v>
      </c>
      <c r="C16" s="2345" t="inlineStr">
        <is>
          <t>R0062937</t>
        </is>
      </c>
      <c r="D16" s="2344" t="inlineStr">
        <is>
          <t>8670 Wolff Ct (Sheridan Park 8)</t>
        </is>
      </c>
      <c r="E16" s="2344" t="inlineStr">
        <is>
          <t>Westminster</t>
        </is>
      </c>
      <c r="F16" s="2344" t="inlineStr">
        <is>
          <t>CO</t>
        </is>
      </c>
      <c r="G16" s="2344" t="inlineStr">
        <is>
          <t>Office/Flex</t>
        </is>
      </c>
      <c r="H16" s="2344" t="inlineStr">
        <is>
          <t>Multi-tenant</t>
        </is>
      </c>
      <c r="I16" s="2346" t="n"/>
      <c r="J16" s="2346" t="n">
        <v>37078</v>
      </c>
      <c r="K16" s="2346" t="n">
        <v>2020</v>
      </c>
      <c r="L16" s="2344" t="n"/>
      <c r="M16" s="2344" t="n"/>
      <c r="N16" s="2355" t="n"/>
      <c r="O16" s="2347" t="n">
        <v>5777</v>
      </c>
      <c r="P16" s="2347" t="n">
        <v>19499</v>
      </c>
      <c r="Q16" s="2344" t="n"/>
      <c r="R16" s="2344" t="n"/>
      <c r="S16" s="2344" t="n"/>
      <c r="T16" s="2344" t="n"/>
      <c r="U16" s="2344" t="n"/>
      <c r="V16" s="2344" t="n"/>
      <c r="W16" s="2344" t="n"/>
      <c r="X16" s="2344" t="n"/>
      <c r="Y16" s="2353" t="n"/>
      <c r="Z16" s="2344" t="n"/>
      <c r="AA16" s="2344" t="n"/>
      <c r="AB16" s="2344" t="n"/>
      <c r="AC16" s="2348" t="n">
        <v>133689</v>
      </c>
      <c r="AD16" s="2344" t="n"/>
      <c r="AE16" s="2344" t="n"/>
      <c r="AF16" s="2348" t="n">
        <v>116321</v>
      </c>
      <c r="AG16" s="2344" t="n"/>
      <c r="AH16" s="2349" t="n">
        <v>275286</v>
      </c>
      <c r="AI16" s="2349" t="n">
        <v>88705</v>
      </c>
      <c r="AJ16" s="2349" t="n">
        <v>363991</v>
      </c>
      <c r="AK16" s="2354" t="n"/>
      <c r="AL16" s="2344" t="n"/>
      <c r="AM16" s="2352" t="inlineStr">
        <is>
          <t>Income not available; expense-only from DYCO CAM history; CAM in contract total</t>
        </is>
      </c>
    </row>
    <row r="17" ht="18" customHeight="1" s="1449">
      <c r="A17" s="2344" t="inlineStr">
        <is>
          <t>P006</t>
        </is>
      </c>
      <c r="B17" s="2338" t="n">
        <v>210</v>
      </c>
      <c r="C17" s="2345" t="inlineStr">
        <is>
          <t>R0062937</t>
        </is>
      </c>
      <c r="D17" s="2344" t="inlineStr">
        <is>
          <t>8670 Wolff Ct (Sheridan Park 8)</t>
        </is>
      </c>
      <c r="E17" s="2344" t="inlineStr">
        <is>
          <t>Westminster</t>
        </is>
      </c>
      <c r="F17" s="2344" t="inlineStr">
        <is>
          <t>CO</t>
        </is>
      </c>
      <c r="G17" s="2344" t="inlineStr">
        <is>
          <t>Office/Flex</t>
        </is>
      </c>
      <c r="H17" s="2344" t="inlineStr">
        <is>
          <t>Multi-tenant</t>
        </is>
      </c>
      <c r="I17" s="2346" t="n"/>
      <c r="J17" s="2346" t="n">
        <v>37078</v>
      </c>
      <c r="K17" s="2346" t="n">
        <v>2021</v>
      </c>
      <c r="L17" s="2344" t="n"/>
      <c r="M17" s="2344" t="n"/>
      <c r="N17" s="2355" t="n"/>
      <c r="O17" s="2347" t="n">
        <v>6826</v>
      </c>
      <c r="P17" s="2347" t="n">
        <v>18000</v>
      </c>
      <c r="Q17" s="2344" t="n"/>
      <c r="R17" s="2344" t="n"/>
      <c r="S17" s="2344" t="n"/>
      <c r="T17" s="2344" t="n"/>
      <c r="U17" s="2344" t="n"/>
      <c r="V17" s="2344" t="n"/>
      <c r="W17" s="2344" t="n"/>
      <c r="X17" s="2344" t="n"/>
      <c r="Y17" s="2353" t="n"/>
      <c r="Z17" s="2344" t="n"/>
      <c r="AA17" s="2344" t="n"/>
      <c r="AB17" s="2344" t="n"/>
      <c r="AC17" s="2348" t="n">
        <v>104519</v>
      </c>
      <c r="AD17" s="2344" t="n"/>
      <c r="AE17" s="2344" t="n"/>
      <c r="AF17" s="2348" t="n">
        <v>108857</v>
      </c>
      <c r="AG17" s="2344" t="n"/>
      <c r="AH17" s="2349" t="n">
        <v>238202</v>
      </c>
      <c r="AI17" s="2349" t="n">
        <v>84200</v>
      </c>
      <c r="AJ17" s="2349" t="n">
        <v>322402</v>
      </c>
      <c r="AK17" s="2354" t="n"/>
      <c r="AL17" s="2344" t="n"/>
      <c r="AM17" s="2352" t="inlineStr">
        <is>
          <t>Income not available; expense-only from DYCO CAM history</t>
        </is>
      </c>
    </row>
    <row r="18" ht="18" customHeight="1" s="1449">
      <c r="A18" s="2344" t="inlineStr">
        <is>
          <t>P006</t>
        </is>
      </c>
      <c r="B18" s="2338" t="n">
        <v>210</v>
      </c>
      <c r="C18" s="2345" t="inlineStr">
        <is>
          <t>R0062937</t>
        </is>
      </c>
      <c r="D18" s="2344" t="inlineStr">
        <is>
          <t>8670 Wolff Ct (Sheridan Park 8)</t>
        </is>
      </c>
      <c r="E18" s="2344" t="inlineStr">
        <is>
          <t>Westminster</t>
        </is>
      </c>
      <c r="F18" s="2344" t="inlineStr">
        <is>
          <t>CO</t>
        </is>
      </c>
      <c r="G18" s="2344" t="inlineStr">
        <is>
          <t>Office/Flex</t>
        </is>
      </c>
      <c r="H18" s="2344" t="inlineStr">
        <is>
          <t>Multi-tenant</t>
        </is>
      </c>
      <c r="I18" s="2346" t="n"/>
      <c r="J18" s="2346" t="n">
        <v>37078</v>
      </c>
      <c r="K18" s="2346" t="n">
        <v>2022</v>
      </c>
      <c r="L18" s="2344" t="n"/>
      <c r="M18" s="2344" t="n"/>
      <c r="N18" s="2355" t="n"/>
      <c r="O18" s="2347" t="n">
        <v>7867</v>
      </c>
      <c r="P18" s="2347" t="n">
        <v>20952</v>
      </c>
      <c r="Q18" s="2344" t="n"/>
      <c r="R18" s="2344" t="n"/>
      <c r="S18" s="2344" t="n"/>
      <c r="T18" s="2344" t="n"/>
      <c r="U18" s="2344" t="n"/>
      <c r="V18" s="2344" t="n"/>
      <c r="W18" s="2344" t="n"/>
      <c r="X18" s="2344" t="n"/>
      <c r="Y18" s="2353" t="n"/>
      <c r="Z18" s="2344" t="n"/>
      <c r="AA18" s="2344" t="n"/>
      <c r="AB18" s="2344" t="n"/>
      <c r="AC18" s="2348" t="n">
        <v>112201</v>
      </c>
      <c r="AD18" s="2344" t="n"/>
      <c r="AE18" s="2344" t="n"/>
      <c r="AF18" s="2348" t="n">
        <v>111968</v>
      </c>
      <c r="AG18" s="2344" t="n"/>
      <c r="AH18" s="2349" t="n">
        <v>252988</v>
      </c>
      <c r="AI18" s="2349" t="n">
        <v>137142</v>
      </c>
      <c r="AJ18" s="2349" t="n">
        <v>390130</v>
      </c>
      <c r="AK18" s="2354" t="n"/>
      <c r="AL18" s="2344" t="n"/>
      <c r="AM18" s="2352" t="inlineStr">
        <is>
          <t>Income not available; expense-only from DYCO CAM history; RE Tax jumped from $84k to $137k (reval year)</t>
        </is>
      </c>
    </row>
    <row r="19" ht="18" customHeight="1" s="1449">
      <c r="A19" s="2344" t="inlineStr">
        <is>
          <t>P006</t>
        </is>
      </c>
      <c r="B19" s="2338" t="n">
        <v>210</v>
      </c>
      <c r="C19" s="2345" t="inlineStr">
        <is>
          <t>R0062937</t>
        </is>
      </c>
      <c r="D19" s="2344" t="inlineStr">
        <is>
          <t>8670 Wolff Ct (Sheridan Park 8)</t>
        </is>
      </c>
      <c r="E19" s="2344" t="inlineStr">
        <is>
          <t>Westminster</t>
        </is>
      </c>
      <c r="F19" s="2344" t="inlineStr">
        <is>
          <t>CO</t>
        </is>
      </c>
      <c r="G19" s="2344" t="inlineStr">
        <is>
          <t>Office/Flex</t>
        </is>
      </c>
      <c r="H19" s="2344" t="inlineStr">
        <is>
          <t>Multi-tenant</t>
        </is>
      </c>
      <c r="I19" s="2346" t="n"/>
      <c r="J19" s="2346" t="n">
        <v>37078</v>
      </c>
      <c r="K19" s="2346" t="n">
        <v>2023</v>
      </c>
      <c r="L19" s="2344" t="n"/>
      <c r="M19" s="2344" t="n"/>
      <c r="N19" s="2355" t="n"/>
      <c r="O19" s="2347" t="n">
        <v>8654</v>
      </c>
      <c r="P19" s="2347" t="n">
        <v>18000</v>
      </c>
      <c r="Q19" s="2344" t="n"/>
      <c r="R19" s="2344" t="n"/>
      <c r="S19" s="2344" t="n"/>
      <c r="T19" s="2344" t="n"/>
      <c r="U19" s="2344" t="n"/>
      <c r="V19" s="2344" t="n"/>
      <c r="W19" s="2344" t="n"/>
      <c r="X19" s="2344" t="n"/>
      <c r="Y19" s="2353" t="n"/>
      <c r="Z19" s="2344" t="n"/>
      <c r="AA19" s="2344" t="n"/>
      <c r="AB19" s="2344" t="n"/>
      <c r="AC19" s="2348" t="n">
        <v>116495</v>
      </c>
      <c r="AD19" s="2344" t="n"/>
      <c r="AE19" s="2344" t="n"/>
      <c r="AF19" s="2348" t="n">
        <v>111903</v>
      </c>
      <c r="AG19" s="2344" t="n"/>
      <c r="AH19" s="2349" t="n">
        <v>255052</v>
      </c>
      <c r="AI19" s="2349" t="n">
        <v>131777</v>
      </c>
      <c r="AJ19" s="2349" t="n">
        <v>386829</v>
      </c>
      <c r="AK19" s="2354" t="n"/>
      <c r="AL19" s="2344" t="n"/>
      <c r="AM19" s="2352" t="inlineStr">
        <is>
          <t>Income not available; 2023 YTD annualized per DYCO</t>
        </is>
      </c>
    </row>
    <row r="20" ht="18" customHeight="1" s="1449">
      <c r="A20" s="2344" t="inlineStr">
        <is>
          <t>P006</t>
        </is>
      </c>
      <c r="B20" s="2338" t="n">
        <v>210</v>
      </c>
      <c r="C20" s="2345" t="inlineStr">
        <is>
          <t>R0062937</t>
        </is>
      </c>
      <c r="D20" s="2344" t="inlineStr">
        <is>
          <t>8670 Wolff Ct (Sheridan Park 8)</t>
        </is>
      </c>
      <c r="E20" s="2344" t="inlineStr">
        <is>
          <t>Westminster</t>
        </is>
      </c>
      <c r="F20" s="2344" t="inlineStr">
        <is>
          <t>CO</t>
        </is>
      </c>
      <c r="G20" s="2344" t="inlineStr">
        <is>
          <t>Office/Flex</t>
        </is>
      </c>
      <c r="H20" s="2344" t="inlineStr">
        <is>
          <t>Multi-tenant</t>
        </is>
      </c>
      <c r="I20" s="2346" t="n"/>
      <c r="J20" s="2346" t="n">
        <v>37078</v>
      </c>
      <c r="K20" s="2346" t="n">
        <v>2024</v>
      </c>
      <c r="L20" s="2344" t="n"/>
      <c r="M20" s="2344" t="n"/>
      <c r="N20" s="2355" t="n"/>
      <c r="O20" s="2347" t="n">
        <v>8654</v>
      </c>
      <c r="P20" s="2347" t="n">
        <v>21600</v>
      </c>
      <c r="Q20" s="2344" t="n"/>
      <c r="R20" s="2344" t="n"/>
      <c r="S20" s="2344" t="n"/>
      <c r="T20" s="2344" t="n"/>
      <c r="U20" s="2344" t="n"/>
      <c r="V20" s="2344" t="n"/>
      <c r="W20" s="2344" t="n"/>
      <c r="X20" s="2344" t="n"/>
      <c r="Y20" s="2353" t="n"/>
      <c r="Z20" s="2344" t="n"/>
      <c r="AA20" s="2344" t="n"/>
      <c r="AB20" s="2344" t="n"/>
      <c r="AC20" s="2348" t="n">
        <v>139794</v>
      </c>
      <c r="AD20" s="2344" t="n"/>
      <c r="AE20" s="2344" t="n"/>
      <c r="AF20" s="2348" t="n">
        <v>134284</v>
      </c>
      <c r="AG20" s="2344" t="n"/>
      <c r="AH20" s="2349" t="n">
        <v>304332</v>
      </c>
      <c r="AI20" s="2349" t="n">
        <v>131777</v>
      </c>
      <c r="AJ20" s="2349" t="n">
        <v>436109</v>
      </c>
      <c r="AK20" s="2354" t="n"/>
      <c r="AL20" s="2344" t="n"/>
      <c r="AM20" s="2352" t="inlineStr">
        <is>
          <t>Income not available; 2024 actuals per DYCO CAM history</t>
        </is>
      </c>
    </row>
    <row r="21" ht="18" customHeight="1" s="1449">
      <c r="A21" s="2344" t="inlineStr">
        <is>
          <t>P007</t>
        </is>
      </c>
      <c r="B21" s="2338" t="n">
        <v>341</v>
      </c>
      <c r="C21" s="2345" t="inlineStr">
        <is>
          <t>R0062944</t>
        </is>
      </c>
      <c r="D21" s="2344" t="inlineStr">
        <is>
          <t>8787 (medical office complex)</t>
        </is>
      </c>
      <c r="E21" s="2344" t="inlineStr">
        <is>
          <t>Adams County</t>
        </is>
      </c>
      <c r="F21" s="2344" t="inlineStr">
        <is>
          <t>CO</t>
        </is>
      </c>
      <c r="G21" s="2344" t="inlineStr">
        <is>
          <t>Medical Office</t>
        </is>
      </c>
      <c r="H21" s="2344" t="inlineStr">
        <is>
          <t>Multi-tenant</t>
        </is>
      </c>
      <c r="I21" s="2346" t="n"/>
      <c r="J21" s="2346" t="n">
        <v>19430</v>
      </c>
      <c r="K21" s="2346" t="n">
        <v>2023</v>
      </c>
      <c r="L21" s="2344" t="n"/>
      <c r="M21" s="2344" t="n"/>
      <c r="N21" s="2351" t="n">
        <v>393809</v>
      </c>
      <c r="O21" s="2347" t="n">
        <v>9485</v>
      </c>
      <c r="P21" s="2347" t="n">
        <v>10200</v>
      </c>
      <c r="Q21" s="2344" t="n"/>
      <c r="R21" s="2344" t="n"/>
      <c r="S21" s="2344" t="n"/>
      <c r="T21" s="2344" t="n"/>
      <c r="U21" s="2347" t="n">
        <v>21615</v>
      </c>
      <c r="V21" s="2344" t="n"/>
      <c r="W21" s="2344" t="n"/>
      <c r="X21" s="2347" t="n">
        <v>26521</v>
      </c>
      <c r="Y21" s="2348" t="n">
        <v>26521</v>
      </c>
      <c r="Z21" s="2347" t="n">
        <v>2032</v>
      </c>
      <c r="AA21" s="2347" t="n">
        <v>11685</v>
      </c>
      <c r="AB21" s="2347" t="n">
        <v>6338</v>
      </c>
      <c r="AC21" s="2348" t="n">
        <v>20055</v>
      </c>
      <c r="AD21" s="2347" t="n">
        <v>7660</v>
      </c>
      <c r="AE21" s="2347" t="n">
        <v>37676</v>
      </c>
      <c r="AF21" s="2348" t="n">
        <v>45336</v>
      </c>
      <c r="AG21" s="2347" t="n">
        <v>18144</v>
      </c>
      <c r="AH21" s="2349" t="n">
        <v>151355</v>
      </c>
      <c r="AI21" s="2349" t="n">
        <v>53397</v>
      </c>
      <c r="AJ21" s="2349" t="n">
        <v>204752</v>
      </c>
      <c r="AK21" s="2349" t="n">
        <v>189057</v>
      </c>
      <c r="AL21" s="2344" t="n"/>
      <c r="AM21" s="2352" t="inlineStr">
        <is>
          <t>HVAC maint $21,615 included in R&amp;M; janitorial $16,418 in Other; professional svcs $1,726 in Other; 2023 actuals</t>
        </is>
      </c>
    </row>
    <row r="22" ht="18" customHeight="1" s="1449">
      <c r="A22" s="2344" t="inlineStr">
        <is>
          <t>P007</t>
        </is>
      </c>
      <c r="B22" s="2338" t="n">
        <v>341</v>
      </c>
      <c r="C22" s="2345" t="inlineStr">
        <is>
          <t>R0062944</t>
        </is>
      </c>
      <c r="D22" s="2344" t="inlineStr">
        <is>
          <t>8787 (medical office complex)</t>
        </is>
      </c>
      <c r="E22" s="2344" t="inlineStr">
        <is>
          <t>Adams County</t>
        </is>
      </c>
      <c r="F22" s="2344" t="inlineStr">
        <is>
          <t>CO</t>
        </is>
      </c>
      <c r="G22" s="2344" t="inlineStr">
        <is>
          <t>Medical Office</t>
        </is>
      </c>
      <c r="H22" s="2344" t="inlineStr">
        <is>
          <t>Multi-tenant</t>
        </is>
      </c>
      <c r="I22" s="2346" t="n"/>
      <c r="J22" s="2346" t="n">
        <v>19430</v>
      </c>
      <c r="K22" s="2346" t="n">
        <v>2024</v>
      </c>
      <c r="L22" s="2344" t="n"/>
      <c r="M22" s="2344" t="n"/>
      <c r="N22" s="2351" t="n">
        <v>390497</v>
      </c>
      <c r="O22" s="2347" t="n">
        <v>13960</v>
      </c>
      <c r="P22" s="2347" t="n">
        <v>38622</v>
      </c>
      <c r="Q22" s="2344" t="n"/>
      <c r="R22" s="2344" t="n"/>
      <c r="S22" s="2344" t="n"/>
      <c r="T22" s="2344" t="n"/>
      <c r="U22" s="2347" t="n">
        <v>13067</v>
      </c>
      <c r="V22" s="2344" t="n"/>
      <c r="W22" s="2344" t="n"/>
      <c r="X22" s="2347" t="n">
        <v>25835</v>
      </c>
      <c r="Y22" s="2348" t="n">
        <v>25835</v>
      </c>
      <c r="Z22" s="2347" t="n">
        <v>1958</v>
      </c>
      <c r="AA22" s="2347" t="n">
        <v>15696</v>
      </c>
      <c r="AB22" s="2347" t="n">
        <v>5885</v>
      </c>
      <c r="AC22" s="2348" t="n">
        <v>23539</v>
      </c>
      <c r="AD22" s="2347" t="n">
        <v>6421</v>
      </c>
      <c r="AE22" s="2347" t="n">
        <v>33074</v>
      </c>
      <c r="AF22" s="2348" t="n">
        <v>39495</v>
      </c>
      <c r="AG22" s="2347" t="n">
        <v>16022</v>
      </c>
      <c r="AH22" s="2349" t="n">
        <v>170540</v>
      </c>
      <c r="AI22" s="2349" t="n">
        <v>63200</v>
      </c>
      <c r="AJ22" s="2349" t="n">
        <v>233740</v>
      </c>
      <c r="AK22" s="2349" t="n">
        <v>156757</v>
      </c>
      <c r="AL22" s="2344" t="n"/>
      <c r="AM22" s="2352" t="inlineStr">
        <is>
          <t>Mgmt = CAM portion $10,600 + non-CAM $28,022; janitorial $16,022 in Other; HVAC $13,067 in R&amp;M; 2024 actuals</t>
        </is>
      </c>
    </row>
    <row r="23" ht="18" customHeight="1" s="1449">
      <c r="A23" s="2344" t="inlineStr">
        <is>
          <t>P008</t>
        </is>
      </c>
      <c r="B23" s="2338" t="n">
        <v>210</v>
      </c>
      <c r="C23" s="2345" t="inlineStr">
        <is>
          <t>R0070622</t>
        </is>
      </c>
      <c r="D23" s="2344" t="inlineStr">
        <is>
          <t>460-550 E. 76th Ave (WPC Corporate)</t>
        </is>
      </c>
      <c r="E23" s="2344" t="inlineStr">
        <is>
          <t>Adams County</t>
        </is>
      </c>
      <c r="F23" s="2344" t="inlineStr">
        <is>
          <t>CO</t>
        </is>
      </c>
      <c r="G23" s="2344" t="inlineStr">
        <is>
          <t>Industrial</t>
        </is>
      </c>
      <c r="H23" s="2344" t="inlineStr">
        <is>
          <t>Distribution/Flex Multi-tenant</t>
        </is>
      </c>
      <c r="I23" s="2346" t="n"/>
      <c r="J23" s="2346" t="n">
        <v>330935</v>
      </c>
      <c r="K23" s="2346" t="n">
        <v>2024</v>
      </c>
      <c r="L23" s="2344" t="n"/>
      <c r="M23" s="2344" t="n"/>
      <c r="N23" s="2351" t="n">
        <v>2750538</v>
      </c>
      <c r="O23" s="2344" t="n"/>
      <c r="P23" s="2344" t="n"/>
      <c r="Q23" s="2344" t="n"/>
      <c r="R23" s="2344" t="n"/>
      <c r="S23" s="2344" t="n"/>
      <c r="T23" s="2344" t="n"/>
      <c r="U23" s="2344" t="n"/>
      <c r="V23" s="2344" t="n"/>
      <c r="W23" s="2344" t="n"/>
      <c r="X23" s="2344" t="n"/>
      <c r="Y23" s="2353" t="n"/>
      <c r="Z23" s="2344" t="n"/>
      <c r="AA23" s="2344" t="n"/>
      <c r="AB23" s="2344" t="n"/>
      <c r="AC23" s="2353" t="n"/>
      <c r="AD23" s="2344" t="n"/>
      <c r="AE23" s="2344" t="n"/>
      <c r="AF23" s="2353" t="n"/>
      <c r="AG23" s="2344" t="n"/>
      <c r="AH23" s="2354" t="n"/>
      <c r="AI23" s="2354" t="n"/>
      <c r="AJ23" s="2349" t="n">
        <v>1338440</v>
      </c>
      <c r="AK23" s="2349" t="n">
        <v>1412098</v>
      </c>
      <c r="AL23" s="2344" t="n"/>
      <c r="AM23" s="2352" t="inlineStr">
        <is>
          <t>2024 only; total OPX derived (EGI - NOI); limited line-item detail from scanned actuals; large multi-tenant industrial complex</t>
        </is>
      </c>
    </row>
    <row r="24" ht="18" customHeight="1" s="1449">
      <c r="A24" s="2344" t="inlineStr">
        <is>
          <t>P009</t>
        </is>
      </c>
      <c r="B24" s="2338" t="n">
        <v>407</v>
      </c>
      <c r="C24" s="2345" t="inlineStr">
        <is>
          <t>R0075212</t>
        </is>
      </c>
      <c r="D24" s="2344" t="inlineStr">
        <is>
          <t>10500 Havana Court</t>
        </is>
      </c>
      <c r="E24" s="2344" t="inlineStr">
        <is>
          <t>Adams County</t>
        </is>
      </c>
      <c r="F24" s="2344" t="inlineStr">
        <is>
          <t>CO</t>
        </is>
      </c>
      <c r="G24" s="2344" t="inlineStr">
        <is>
          <t>Industrial</t>
        </is>
      </c>
      <c r="H24" s="2344" t="inlineStr">
        <is>
          <t>NNN Single-tenant</t>
        </is>
      </c>
      <c r="I24" s="2346" t="n"/>
      <c r="J24" s="2346" t="n"/>
      <c r="K24" s="2346" t="n">
        <v>2023</v>
      </c>
      <c r="L24" s="2344" t="n"/>
      <c r="M24" s="2344" t="n"/>
      <c r="N24" s="2351" t="n">
        <v>332759</v>
      </c>
      <c r="O24" s="2347" t="n">
        <v>22784</v>
      </c>
      <c r="P24" s="2347" t="n">
        <v>4000</v>
      </c>
      <c r="Q24" s="2344" t="n"/>
      <c r="R24" s="2344" t="n"/>
      <c r="S24" s="2344" t="n"/>
      <c r="T24" s="2344" t="n"/>
      <c r="U24" s="2344" t="n"/>
      <c r="V24" s="2344" t="n"/>
      <c r="W24" s="2344" t="n"/>
      <c r="X24" s="2347" t="n">
        <v>12804</v>
      </c>
      <c r="Y24" s="2348" t="n">
        <v>12804</v>
      </c>
      <c r="Z24" s="2344" t="n"/>
      <c r="AA24" s="2347" t="n">
        <v>6910</v>
      </c>
      <c r="AB24" s="2347" t="n">
        <v>1800</v>
      </c>
      <c r="AC24" s="2348" t="n">
        <v>8710</v>
      </c>
      <c r="AD24" s="2347" t="n">
        <v>2209</v>
      </c>
      <c r="AE24" s="2347" t="n">
        <v>1956</v>
      </c>
      <c r="AF24" s="2348" t="n">
        <v>4165</v>
      </c>
      <c r="AG24" s="2347" t="n">
        <v>8397</v>
      </c>
      <c r="AH24" s="2349" t="n">
        <v>127005</v>
      </c>
      <c r="AI24" s="2349" t="n">
        <v>60552</v>
      </c>
      <c r="AJ24" s="2349" t="n">
        <v>187557</v>
      </c>
      <c r="AK24" s="2349" t="n">
        <v>265550</v>
      </c>
      <c r="AL24" s="2344" t="n"/>
      <c r="AM24" s="2352" t="inlineStr">
        <is>
          <t>NNN; P&amp;L excludes depreciation ($68,209) and mortgage interest ($60,714) from NOI calc; acctg/legal/bank/dues in Other; 2023 actuals</t>
        </is>
      </c>
    </row>
    <row r="25" ht="18" customHeight="1" s="1449">
      <c r="A25" s="2344" t="inlineStr">
        <is>
          <t>P009</t>
        </is>
      </c>
      <c r="B25" s="2338" t="n">
        <v>407</v>
      </c>
      <c r="C25" s="2345" t="inlineStr">
        <is>
          <t>R0075212</t>
        </is>
      </c>
      <c r="D25" s="2344" t="inlineStr">
        <is>
          <t>10500 Havana Court</t>
        </is>
      </c>
      <c r="E25" s="2344" t="inlineStr">
        <is>
          <t>Adams County</t>
        </is>
      </c>
      <c r="F25" s="2344" t="inlineStr">
        <is>
          <t>CO</t>
        </is>
      </c>
      <c r="G25" s="2344" t="inlineStr">
        <is>
          <t>Industrial</t>
        </is>
      </c>
      <c r="H25" s="2344" t="inlineStr">
        <is>
          <t>NNN Single-tenant</t>
        </is>
      </c>
      <c r="I25" s="2346" t="n"/>
      <c r="J25" s="2346" t="n"/>
      <c r="K25" s="2346" t="n">
        <v>2024</v>
      </c>
      <c r="L25" s="2344" t="n"/>
      <c r="M25" s="2344" t="n"/>
      <c r="N25" s="2351" t="n">
        <v>359583</v>
      </c>
      <c r="O25" s="2347" t="n">
        <v>27489</v>
      </c>
      <c r="P25" s="2347" t="n">
        <v>6000</v>
      </c>
      <c r="Q25" s="2344" t="n"/>
      <c r="R25" s="2344" t="n"/>
      <c r="S25" s="2344" t="n"/>
      <c r="T25" s="2344" t="n"/>
      <c r="U25" s="2344" t="n"/>
      <c r="V25" s="2344" t="n"/>
      <c r="W25" s="2344" t="n"/>
      <c r="X25" s="2347" t="n">
        <v>9601</v>
      </c>
      <c r="Y25" s="2348" t="n">
        <v>9601</v>
      </c>
      <c r="Z25" s="2344" t="n"/>
      <c r="AA25" s="2347" t="n">
        <v>3045</v>
      </c>
      <c r="AB25" s="2347" t="n">
        <v>1960</v>
      </c>
      <c r="AC25" s="2348" t="n">
        <v>5005</v>
      </c>
      <c r="AD25" s="2347" t="n">
        <v>3555</v>
      </c>
      <c r="AE25" s="2347" t="n">
        <v>1567</v>
      </c>
      <c r="AF25" s="2348" t="n">
        <v>5122</v>
      </c>
      <c r="AG25" s="2347" t="n">
        <v>10035</v>
      </c>
      <c r="AH25" s="2349" t="n">
        <v>69350</v>
      </c>
      <c r="AI25" s="2349" t="n">
        <v>101114</v>
      </c>
      <c r="AJ25" s="2349" t="n">
        <v>170464</v>
      </c>
      <c r="AK25" s="2349" t="n">
        <v>290993</v>
      </c>
      <c r="AL25" s="2344" t="n"/>
      <c r="AM25" s="2352" t="inlineStr">
        <is>
          <t>NNN; depreciation ($52,109) and mortgage interest ($58,574) excluded from NOI; Other includes acctg, dues, inspections; 2024 actuals</t>
        </is>
      </c>
    </row>
    <row r="26" ht="18" customHeight="1" s="1449">
      <c r="A26" s="2344" t="inlineStr">
        <is>
          <t>P010</t>
        </is>
      </c>
      <c r="B26" s="2338" t="n">
        <v>210</v>
      </c>
      <c r="C26" s="2345" t="inlineStr">
        <is>
          <t>R0098225</t>
        </is>
      </c>
      <c r="D26" s="2344" t="inlineStr">
        <is>
          <t>Broadway Business Center (7040B Broadway)</t>
        </is>
      </c>
      <c r="E26" s="2344" t="inlineStr">
        <is>
          <t>Denver</t>
        </is>
      </c>
      <c r="F26" s="2344" t="inlineStr">
        <is>
          <t>CO</t>
        </is>
      </c>
      <c r="G26" s="2344" t="inlineStr">
        <is>
          <t>Flex/Industrial</t>
        </is>
      </c>
      <c r="H26" s="2344" t="inlineStr">
        <is>
          <t>Multi-tenant CAM</t>
        </is>
      </c>
      <c r="I26" s="2346" t="n"/>
      <c r="J26" s="2346" t="n">
        <v>105000</v>
      </c>
      <c r="K26" s="2346" t="n">
        <v>2023</v>
      </c>
      <c r="L26" s="2347" t="n">
        <v>737984</v>
      </c>
      <c r="M26" s="2347" t="n">
        <v>508740</v>
      </c>
      <c r="N26" s="2351" t="n">
        <v>1246724</v>
      </c>
      <c r="O26" s="2347" t="n">
        <v>48903</v>
      </c>
      <c r="P26" s="2347" t="n">
        <v>104311</v>
      </c>
      <c r="Q26" s="2344" t="n"/>
      <c r="R26" s="2344" t="n"/>
      <c r="S26" s="2344" t="n"/>
      <c r="T26" s="2344" t="n"/>
      <c r="U26" s="2344" t="n"/>
      <c r="V26" s="2344" t="n"/>
      <c r="W26" s="2344" t="n"/>
      <c r="X26" s="2347" t="n">
        <v>66445</v>
      </c>
      <c r="Y26" s="2348" t="n">
        <v>66445</v>
      </c>
      <c r="Z26" s="2347" t="n">
        <v>49021</v>
      </c>
      <c r="AA26" s="2347" t="n">
        <v>22802</v>
      </c>
      <c r="AB26" s="2347" t="n">
        <v>58641</v>
      </c>
      <c r="AC26" s="2348" t="n">
        <v>130464</v>
      </c>
      <c r="AD26" s="2347" t="n">
        <v>53517</v>
      </c>
      <c r="AE26" s="2344" t="n"/>
      <c r="AF26" s="2348" t="n">
        <v>75845</v>
      </c>
      <c r="AG26" s="2344" t="n"/>
      <c r="AH26" s="2349" t="n">
        <v>484485</v>
      </c>
      <c r="AI26" s="2349" t="n">
        <v>229515</v>
      </c>
      <c r="AJ26" s="2349" t="n">
        <v>714000</v>
      </c>
      <c r="AK26" s="2349" t="n">
        <v>533000</v>
      </c>
      <c r="AL26" s="2344" t="n"/>
      <c r="AM26" s="2352" t="inlineStr">
        <is>
          <t>CAM recovery structure; mgmt = prop mgmt fee $50,590 + recoverable mgmt $53,721; snow in contract; 2023 actuals; NOI estimated</t>
        </is>
      </c>
    </row>
    <row r="27" ht="18" customHeight="1" s="1449">
      <c r="A27" s="2344" t="inlineStr">
        <is>
          <t>P010</t>
        </is>
      </c>
      <c r="B27" s="2338" t="n">
        <v>210</v>
      </c>
      <c r="C27" s="2345" t="inlineStr">
        <is>
          <t>R0098225</t>
        </is>
      </c>
      <c r="D27" s="2344" t="inlineStr">
        <is>
          <t>Broadway Business Center (7040B Broadway)</t>
        </is>
      </c>
      <c r="E27" s="2344" t="inlineStr">
        <is>
          <t>Denver</t>
        </is>
      </c>
      <c r="F27" s="2344" t="inlineStr">
        <is>
          <t>CO</t>
        </is>
      </c>
      <c r="G27" s="2344" t="inlineStr">
        <is>
          <t>Flex/Industrial</t>
        </is>
      </c>
      <c r="H27" s="2344" t="inlineStr">
        <is>
          <t>Multi-tenant CAM</t>
        </is>
      </c>
      <c r="I27" s="2346" t="n"/>
      <c r="J27" s="2346" t="n">
        <v>105000</v>
      </c>
      <c r="K27" s="2346" t="n">
        <v>2024</v>
      </c>
      <c r="L27" s="2347" t="n">
        <v>902782</v>
      </c>
      <c r="M27" s="2347" t="n">
        <v>784277</v>
      </c>
      <c r="N27" s="2351" t="n">
        <v>1687059</v>
      </c>
      <c r="O27" s="2347" t="n">
        <v>50508</v>
      </c>
      <c r="P27" s="2347" t="n">
        <v>123399</v>
      </c>
      <c r="Q27" s="2344" t="n"/>
      <c r="R27" s="2344" t="n"/>
      <c r="S27" s="2344" t="n"/>
      <c r="T27" s="2344" t="n"/>
      <c r="U27" s="2344" t="n"/>
      <c r="V27" s="2344" t="n"/>
      <c r="W27" s="2344" t="n"/>
      <c r="X27" s="2347" t="n">
        <v>75128</v>
      </c>
      <c r="Y27" s="2348" t="n">
        <v>75128</v>
      </c>
      <c r="Z27" s="2347" t="n">
        <v>58998</v>
      </c>
      <c r="AA27" s="2347" t="n">
        <v>18144</v>
      </c>
      <c r="AB27" s="2347" t="n">
        <v>52328</v>
      </c>
      <c r="AC27" s="2348" t="n">
        <v>129470</v>
      </c>
      <c r="AD27" s="2347" t="n">
        <v>87196</v>
      </c>
      <c r="AE27" s="2344" t="n"/>
      <c r="AF27" s="2348" t="n">
        <v>100191</v>
      </c>
      <c r="AG27" s="2344" t="n"/>
      <c r="AH27" s="2349" t="n">
        <v>502686</v>
      </c>
      <c r="AI27" s="2349" t="n">
        <v>544314</v>
      </c>
      <c r="AJ27" s="2349" t="n">
        <v>1047000</v>
      </c>
      <c r="AK27" s="2349" t="n">
        <v>640000</v>
      </c>
      <c r="AL27" s="2344" t="n"/>
      <c r="AM27" s="2352" t="inlineStr">
        <is>
          <t>2024 RE Tax inflated by $111,314 prior-yr catchup; normalized tax ~$425k; parking lot $52,328 in snow/contract; NOI estimated</t>
        </is>
      </c>
    </row>
    <row r="28" ht="18" customHeight="1" s="1449">
      <c r="A28" s="2344" t="inlineStr">
        <is>
          <t>P011</t>
        </is>
      </c>
      <c r="B28" s="2338" t="n">
        <v>210</v>
      </c>
      <c r="C28" s="2345" t="inlineStr">
        <is>
          <t>R0103767</t>
        </is>
      </c>
      <c r="D28" s="2344" t="inlineStr">
        <is>
          <t>5650 Washington St (Washington Business Park)</t>
        </is>
      </c>
      <c r="E28" s="2344" t="inlineStr">
        <is>
          <t>Adams County</t>
        </is>
      </c>
      <c r="F28" s="2344" t="inlineStr">
        <is>
          <t>CO</t>
        </is>
      </c>
      <c r="G28" s="2344" t="inlineStr">
        <is>
          <t>Industrial/Flex</t>
        </is>
      </c>
      <c r="H28" s="2344" t="inlineStr">
        <is>
          <t>Multi-tenant</t>
        </is>
      </c>
      <c r="I28" s="2346" t="n"/>
      <c r="J28" s="2346" t="n"/>
      <c r="K28" s="2346" t="n">
        <v>2022</v>
      </c>
      <c r="L28" s="2344" t="n"/>
      <c r="M28" s="2344" t="n"/>
      <c r="N28" s="2351" t="n">
        <v>502006</v>
      </c>
      <c r="O28" s="2347" t="n">
        <v>16872</v>
      </c>
      <c r="P28" s="2347" t="n">
        <v>54025</v>
      </c>
      <c r="Q28" s="2344" t="n"/>
      <c r="R28" s="2344" t="n"/>
      <c r="S28" s="2344" t="n"/>
      <c r="T28" s="2344" t="n"/>
      <c r="U28" s="2344" t="n"/>
      <c r="V28" s="2344" t="n"/>
      <c r="W28" s="2344" t="n"/>
      <c r="X28" s="2347" t="n">
        <v>71762</v>
      </c>
      <c r="Y28" s="2348" t="n">
        <v>71762</v>
      </c>
      <c r="Z28" s="2344" t="n"/>
      <c r="AA28" s="2347" t="n">
        <v>6528</v>
      </c>
      <c r="AB28" s="2344" t="n"/>
      <c r="AC28" s="2348" t="n">
        <v>6528</v>
      </c>
      <c r="AD28" s="2347" t="n">
        <v>4858</v>
      </c>
      <c r="AE28" s="2347" t="n">
        <v>525</v>
      </c>
      <c r="AF28" s="2348" t="n">
        <v>5383</v>
      </c>
      <c r="AG28" s="2344" t="n"/>
      <c r="AH28" s="2349" t="n">
        <v>209625</v>
      </c>
      <c r="AI28" s="2349" t="n">
        <v>64792</v>
      </c>
      <c r="AJ28" s="2349" t="n">
        <v>274417</v>
      </c>
      <c r="AK28" s="2349" t="n">
        <v>227649</v>
      </c>
      <c r="AL28" s="2344" t="n"/>
      <c r="AM28" s="2352" t="inlineStr">
        <is>
          <t>Mgmt fee $54,025 (2022 only ? not in later years); R&amp;M = bldg maint + repairs + HVAC + plumbing; water/gas from operating stmt</t>
        </is>
      </c>
    </row>
    <row r="29" ht="18" customHeight="1" s="1449">
      <c r="A29" s="2344" t="inlineStr">
        <is>
          <t>P011</t>
        </is>
      </c>
      <c r="B29" s="2338" t="n">
        <v>210</v>
      </c>
      <c r="C29" s="2345" t="inlineStr">
        <is>
          <t>R0103767</t>
        </is>
      </c>
      <c r="D29" s="2344" t="inlineStr">
        <is>
          <t>5650 Washington St (Washington Business Park)</t>
        </is>
      </c>
      <c r="E29" s="2344" t="inlineStr">
        <is>
          <t>Adams County</t>
        </is>
      </c>
      <c r="F29" s="2344" t="inlineStr">
        <is>
          <t>CO</t>
        </is>
      </c>
      <c r="G29" s="2344" t="inlineStr">
        <is>
          <t>Industrial/Flex</t>
        </is>
      </c>
      <c r="H29" s="2344" t="inlineStr">
        <is>
          <t>Multi-tenant</t>
        </is>
      </c>
      <c r="I29" s="2346" t="n"/>
      <c r="J29" s="2346" t="n"/>
      <c r="K29" s="2346" t="n">
        <v>2023</v>
      </c>
      <c r="L29" s="2344" t="n"/>
      <c r="M29" s="2344" t="n"/>
      <c r="N29" s="2351" t="n">
        <v>532468</v>
      </c>
      <c r="O29" s="2347" t="n">
        <v>15442</v>
      </c>
      <c r="P29" s="2344" t="n"/>
      <c r="Q29" s="2344" t="n"/>
      <c r="R29" s="2344" t="n"/>
      <c r="S29" s="2344" t="n"/>
      <c r="T29" s="2344" t="n"/>
      <c r="U29" s="2344" t="n"/>
      <c r="V29" s="2344" t="n"/>
      <c r="W29" s="2344" t="n"/>
      <c r="X29" s="2347" t="n">
        <v>83293</v>
      </c>
      <c r="Y29" s="2348" t="n">
        <v>83293</v>
      </c>
      <c r="Z29" s="2344" t="n"/>
      <c r="AA29" s="2347" t="n">
        <v>6029</v>
      </c>
      <c r="AB29" s="2344" t="n"/>
      <c r="AC29" s="2348" t="n">
        <v>6029</v>
      </c>
      <c r="AD29" s="2347" t="n">
        <v>6487</v>
      </c>
      <c r="AE29" s="2344" t="n"/>
      <c r="AF29" s="2348" t="n">
        <v>6487</v>
      </c>
      <c r="AG29" s="2344" t="n"/>
      <c r="AH29" s="2349" t="n">
        <v>141304</v>
      </c>
      <c r="AI29" s="2349" t="n">
        <v>63133</v>
      </c>
      <c r="AJ29" s="2349" t="n">
        <v>204437</v>
      </c>
      <c r="AK29" s="2349" t="n">
        <v>328030</v>
      </c>
      <c r="AL29" s="2344" t="n"/>
      <c r="AM29" s="2352" t="inlineStr">
        <is>
          <t>No mgmt fee in 2023; R&amp;M higher due to building repairs; gas negligible per statement; 2023 actuals</t>
        </is>
      </c>
    </row>
    <row r="30" ht="18" customHeight="1" s="1449">
      <c r="A30" s="2344" t="inlineStr">
        <is>
          <t>P011</t>
        </is>
      </c>
      <c r="B30" s="2338" t="n">
        <v>210</v>
      </c>
      <c r="C30" s="2345" t="inlineStr">
        <is>
          <t>R0103767</t>
        </is>
      </c>
      <c r="D30" s="2344" t="inlineStr">
        <is>
          <t>5650 Washington St (Washington Business Park)</t>
        </is>
      </c>
      <c r="E30" s="2344" t="inlineStr">
        <is>
          <t>Adams County</t>
        </is>
      </c>
      <c r="F30" s="2344" t="inlineStr">
        <is>
          <t>CO</t>
        </is>
      </c>
      <c r="G30" s="2344" t="inlineStr">
        <is>
          <t>Industrial/Flex</t>
        </is>
      </c>
      <c r="H30" s="2344" t="inlineStr">
        <is>
          <t>Multi-tenant</t>
        </is>
      </c>
      <c r="I30" s="2346" t="n"/>
      <c r="J30" s="2346" t="n"/>
      <c r="K30" s="2346" t="n">
        <v>2024</v>
      </c>
      <c r="L30" s="2344" t="n"/>
      <c r="M30" s="2344" t="n"/>
      <c r="N30" s="2351" t="n">
        <v>517234</v>
      </c>
      <c r="O30" s="2347" t="n">
        <v>20795</v>
      </c>
      <c r="P30" s="2344" t="n"/>
      <c r="Q30" s="2344" t="n"/>
      <c r="R30" s="2344" t="n"/>
      <c r="S30" s="2344" t="n"/>
      <c r="T30" s="2344" t="n"/>
      <c r="U30" s="2344" t="n"/>
      <c r="V30" s="2344" t="n"/>
      <c r="W30" s="2344" t="n"/>
      <c r="X30" s="2347" t="n">
        <v>32385</v>
      </c>
      <c r="Y30" s="2348" t="n">
        <v>32385</v>
      </c>
      <c r="Z30" s="2344" t="n"/>
      <c r="AA30" s="2347" t="n">
        <v>4814</v>
      </c>
      <c r="AB30" s="2344" t="n"/>
      <c r="AC30" s="2348" t="n">
        <v>4814</v>
      </c>
      <c r="AD30" s="2347" t="n">
        <v>5690</v>
      </c>
      <c r="AE30" s="2344" t="n"/>
      <c r="AF30" s="2348" t="n">
        <v>5690</v>
      </c>
      <c r="AG30" s="2344" t="n"/>
      <c r="AH30" s="2354" t="n"/>
      <c r="AI30" s="2354" t="n"/>
      <c r="AJ30" s="2349" t="n">
        <v>331645</v>
      </c>
      <c r="AK30" s="2349" t="n">
        <v>185389</v>
      </c>
      <c r="AL30" s="2344" t="n"/>
      <c r="AM30" s="2352" t="inlineStr">
        <is>
          <t>RE Tax not separately identified in 2024 column of operating stmt; total OPX from actuals; NOI confirmed</t>
        </is>
      </c>
    </row>
    <row r="31" ht="18" customHeight="1" s="1449">
      <c r="A31" s="2344" t="inlineStr">
        <is>
          <t>P012</t>
        </is>
      </c>
      <c r="B31" s="2338" t="n">
        <v>344</v>
      </c>
      <c r="C31" s="2345" t="inlineStr">
        <is>
          <t>R0124385</t>
        </is>
      </c>
      <c r="D31" s="2344" t="inlineStr">
        <is>
          <t>Unknown (Tax District 555)</t>
        </is>
      </c>
      <c r="E31" s="2344" t="inlineStr">
        <is>
          <t>Adams County</t>
        </is>
      </c>
      <c r="F31" s="2344" t="inlineStr">
        <is>
          <t>CO</t>
        </is>
      </c>
      <c r="G31" s="2344" t="inlineStr">
        <is>
          <t>Office</t>
        </is>
      </c>
      <c r="H31" s="2344" t="inlineStr">
        <is>
          <t>Multi-tenant</t>
        </is>
      </c>
      <c r="I31" s="2346" t="n"/>
      <c r="J31" s="2346" t="n">
        <v>20170</v>
      </c>
      <c r="K31" s="2346" t="n">
        <v>2023</v>
      </c>
      <c r="L31" s="2344" t="n"/>
      <c r="M31" s="2344" t="n"/>
      <c r="N31" s="2351" t="n">
        <v>275740</v>
      </c>
      <c r="O31" s="2344" t="n"/>
      <c r="P31" s="2344" t="n"/>
      <c r="Q31" s="2344" t="n"/>
      <c r="R31" s="2344" t="n"/>
      <c r="S31" s="2344" t="n"/>
      <c r="T31" s="2344" t="n"/>
      <c r="U31" s="2344" t="n"/>
      <c r="V31" s="2344" t="n"/>
      <c r="W31" s="2344" t="n"/>
      <c r="X31" s="2344" t="n"/>
      <c r="Y31" s="2353" t="n"/>
      <c r="Z31" s="2344" t="n"/>
      <c r="AA31" s="2344" t="n"/>
      <c r="AB31" s="2344" t="n"/>
      <c r="AC31" s="2353" t="n"/>
      <c r="AD31" s="2344" t="n"/>
      <c r="AE31" s="2344" t="n"/>
      <c r="AF31" s="2353" t="n"/>
      <c r="AG31" s="2344" t="n"/>
      <c r="AH31" s="2349" t="n">
        <v>108096</v>
      </c>
      <c r="AI31" s="2349" t="n">
        <v>45179</v>
      </c>
      <c r="AJ31" s="2349" t="n">
        <v>153275</v>
      </c>
      <c r="AK31" s="2349" t="n">
        <v>167644</v>
      </c>
      <c r="AL31" s="2344" t="n"/>
      <c r="AM31" s="2352" t="inlineStr">
        <is>
          <t>Limited line-item detail; totals from PROFORMA BASIS FOR OFFER.xlsx actuals section</t>
        </is>
      </c>
    </row>
    <row r="32" ht="18" customHeight="1" s="1449">
      <c r="A32" s="2344" t="inlineStr">
        <is>
          <t>P012</t>
        </is>
      </c>
      <c r="B32" s="2338" t="n">
        <v>344</v>
      </c>
      <c r="C32" s="2345" t="inlineStr">
        <is>
          <t>R0124385</t>
        </is>
      </c>
      <c r="D32" s="2344" t="inlineStr">
        <is>
          <t>Unknown (Tax District 555)</t>
        </is>
      </c>
      <c r="E32" s="2344" t="inlineStr">
        <is>
          <t>Adams County</t>
        </is>
      </c>
      <c r="F32" s="2344" t="inlineStr">
        <is>
          <t>CO</t>
        </is>
      </c>
      <c r="G32" s="2344" t="inlineStr">
        <is>
          <t>Office</t>
        </is>
      </c>
      <c r="H32" s="2344" t="inlineStr">
        <is>
          <t>Multi-tenant</t>
        </is>
      </c>
      <c r="I32" s="2346" t="n"/>
      <c r="J32" s="2346" t="n">
        <v>20170</v>
      </c>
      <c r="K32" s="2346" t="n">
        <v>2024</v>
      </c>
      <c r="L32" s="2344" t="n"/>
      <c r="M32" s="2344" t="n"/>
      <c r="N32" s="2351" t="n">
        <v>298556</v>
      </c>
      <c r="O32" s="2344" t="n"/>
      <c r="P32" s="2344" t="n"/>
      <c r="Q32" s="2344" t="n"/>
      <c r="R32" s="2344" t="n"/>
      <c r="S32" s="2344" t="n"/>
      <c r="T32" s="2344" t="n"/>
      <c r="U32" s="2344" t="n"/>
      <c r="V32" s="2344" t="n"/>
      <c r="W32" s="2344" t="n"/>
      <c r="X32" s="2344" t="n"/>
      <c r="Y32" s="2353" t="n"/>
      <c r="Z32" s="2344" t="n"/>
      <c r="AA32" s="2344" t="n"/>
      <c r="AB32" s="2344" t="n"/>
      <c r="AC32" s="2353" t="n"/>
      <c r="AD32" s="2344" t="n"/>
      <c r="AE32" s="2344" t="n"/>
      <c r="AF32" s="2353" t="n"/>
      <c r="AG32" s="2344" t="n"/>
      <c r="AH32" s="2349" t="n">
        <v>127491</v>
      </c>
      <c r="AI32" s="2349" t="n">
        <v>43698</v>
      </c>
      <c r="AJ32" s="2349" t="n">
        <v>185189</v>
      </c>
      <c r="AK32" s="2349" t="n">
        <v>171065</v>
      </c>
      <c r="AL32" s="2344" t="n"/>
      <c r="AM32" s="2352" t="inlineStr">
        <is>
          <t>CapEx $14,000 non-recurring excluded from OPX; limited line-item detail</t>
        </is>
      </c>
    </row>
    <row r="33" ht="18" customHeight="1" s="1449">
      <c r="A33" s="2344" t="inlineStr">
        <is>
          <t>P013</t>
        </is>
      </c>
      <c r="B33" s="2338" t="n">
        <v>353</v>
      </c>
      <c r="C33" s="2345" t="inlineStr">
        <is>
          <t>R0169176</t>
        </is>
      </c>
      <c r="D33" s="2344" t="inlineStr">
        <is>
          <t>Unknown (new const., opened Oct 2023)</t>
        </is>
      </c>
      <c r="E33" s="2344" t="inlineStr">
        <is>
          <t>Adams County</t>
        </is>
      </c>
      <c r="F33" s="2344" t="inlineStr">
        <is>
          <t>CO</t>
        </is>
      </c>
      <c r="G33" s="2344" t="inlineStr">
        <is>
          <t>Retail/Office</t>
        </is>
      </c>
      <c r="H33" s="2344" t="inlineStr">
        <is>
          <t>Multi-tenant</t>
        </is>
      </c>
      <c r="I33" s="2346" t="n">
        <v>2023</v>
      </c>
      <c r="J33" s="2346" t="n"/>
      <c r="K33" s="2346" t="n">
        <v>2023</v>
      </c>
      <c r="L33" s="2347" t="n">
        <v>270793</v>
      </c>
      <c r="M33" s="2347" t="n">
        <v>258323</v>
      </c>
      <c r="N33" s="2351" t="n">
        <v>524533</v>
      </c>
      <c r="O33" s="2347" t="n">
        <v>16865</v>
      </c>
      <c r="P33" s="2347" t="n">
        <v>26496</v>
      </c>
      <c r="Q33" s="2344" t="n"/>
      <c r="R33" s="2344" t="n"/>
      <c r="S33" s="2344" t="n"/>
      <c r="T33" s="2344" t="n"/>
      <c r="U33" s="2344" t="n"/>
      <c r="V33" s="2344" t="n"/>
      <c r="W33" s="2344" t="n"/>
      <c r="X33" s="2347" t="n">
        <v>50972</v>
      </c>
      <c r="Y33" s="2348" t="n">
        <v>50972</v>
      </c>
      <c r="Z33" s="2344" t="n"/>
      <c r="AA33" s="2347" t="n">
        <v>7543</v>
      </c>
      <c r="AB33" s="2344" t="n"/>
      <c r="AC33" s="2348" t="n">
        <v>7543</v>
      </c>
      <c r="AD33" s="2347" t="n">
        <v>4602</v>
      </c>
      <c r="AE33" s="2347" t="n">
        <v>51467</v>
      </c>
      <c r="AF33" s="2348" t="n">
        <v>56069</v>
      </c>
      <c r="AG33" s="2344" t="n"/>
      <c r="AH33" s="2349" t="n">
        <v>157946</v>
      </c>
      <c r="AI33" s="2349" t="n">
        <v>125577</v>
      </c>
      <c r="AJ33" s="2349" t="n">
        <v>283523</v>
      </c>
      <c r="AK33" s="2349" t="n">
        <v>241009</v>
      </c>
      <c r="AL33" s="2344" t="n"/>
      <c r="AM33" s="2352" t="inlineStr">
        <is>
          <t>2023 partial year (opened Oct 2023); RE Tax high for new construction; gas $3,877 + elec $47,590 in utilities</t>
        </is>
      </c>
    </row>
    <row r="34" ht="18" customHeight="1" s="1449">
      <c r="A34" s="2344" t="inlineStr">
        <is>
          <t>P013</t>
        </is>
      </c>
      <c r="B34" s="2338" t="n">
        <v>353</v>
      </c>
      <c r="C34" s="2345" t="inlineStr">
        <is>
          <t>R0169176</t>
        </is>
      </c>
      <c r="D34" s="2344" t="inlineStr">
        <is>
          <t>Unknown (new const., opened Oct 2023)</t>
        </is>
      </c>
      <c r="E34" s="2344" t="inlineStr">
        <is>
          <t>Adams County</t>
        </is>
      </c>
      <c r="F34" s="2344" t="inlineStr">
        <is>
          <t>CO</t>
        </is>
      </c>
      <c r="G34" s="2344" t="inlineStr">
        <is>
          <t>Retail/Office</t>
        </is>
      </c>
      <c r="H34" s="2344" t="inlineStr">
        <is>
          <t>Multi-tenant</t>
        </is>
      </c>
      <c r="I34" s="2346" t="n">
        <v>2023</v>
      </c>
      <c r="J34" s="2346" t="n"/>
      <c r="K34" s="2346" t="n">
        <v>2024</v>
      </c>
      <c r="L34" s="2347" t="n">
        <v>260040</v>
      </c>
      <c r="M34" s="2347" t="n">
        <v>337015</v>
      </c>
      <c r="N34" s="2351" t="n">
        <v>597056</v>
      </c>
      <c r="O34" s="2347" t="n">
        <v>12437</v>
      </c>
      <c r="P34" s="2347" t="n">
        <v>26717</v>
      </c>
      <c r="Q34" s="2344" t="n"/>
      <c r="R34" s="2344" t="n"/>
      <c r="S34" s="2344" t="n"/>
      <c r="T34" s="2344" t="n"/>
      <c r="U34" s="2344" t="n"/>
      <c r="V34" s="2344" t="n"/>
      <c r="W34" s="2344" t="n"/>
      <c r="X34" s="2347" t="n">
        <v>36931</v>
      </c>
      <c r="Y34" s="2348" t="n">
        <v>36931</v>
      </c>
      <c r="Z34" s="2344" t="n"/>
      <c r="AA34" s="2347" t="n">
        <v>27159</v>
      </c>
      <c r="AB34" s="2344" t="n"/>
      <c r="AC34" s="2348" t="n">
        <v>27159</v>
      </c>
      <c r="AD34" s="2347" t="n">
        <v>5043</v>
      </c>
      <c r="AE34" s="2347" t="n">
        <v>54230</v>
      </c>
      <c r="AF34" s="2348" t="n">
        <v>59273</v>
      </c>
      <c r="AG34" s="2344" t="n"/>
      <c r="AH34" s="2349" t="n">
        <v>162518</v>
      </c>
      <c r="AI34" s="2349" t="n">
        <v>156074</v>
      </c>
      <c r="AJ34" s="2349" t="n">
        <v>318592</v>
      </c>
      <c r="AK34" s="2349" t="n">
        <v>278464</v>
      </c>
      <c r="AL34" s="2344" t="n"/>
      <c r="AM34" s="2352" t="inlineStr">
        <is>
          <t>Tax consultant $11,515 added to RE Tax line; HOA/exterior maint $27,159 in landscape; recoveries $336,319 + other $696</t>
        </is>
      </c>
    </row>
    <row r="35" ht="18" customHeight="1" s="1449">
      <c r="A35" s="2344" t="inlineStr">
        <is>
          <t>P014</t>
        </is>
      </c>
      <c r="B35" s="2338" t="n">
        <v>407</v>
      </c>
      <c r="C35" s="2345" t="inlineStr">
        <is>
          <t>R0198530</t>
        </is>
      </c>
      <c r="D35" s="2344" t="inlineStr">
        <is>
          <t>Amazon DEN7 Distribution Center</t>
        </is>
      </c>
      <c r="E35" s="2344" t="inlineStr">
        <is>
          <t>Aurora</t>
        </is>
      </c>
      <c r="F35" s="2344" t="inlineStr">
        <is>
          <t>CO</t>
        </is>
      </c>
      <c r="G35" s="2344" t="inlineStr">
        <is>
          <t>Industrial/Distribution</t>
        </is>
      </c>
      <c r="H35" s="2344" t="inlineStr">
        <is>
          <t>Single-tenant NNN</t>
        </is>
      </c>
      <c r="I35" s="2346" t="n"/>
      <c r="J35" s="2346" t="n">
        <v>555840</v>
      </c>
      <c r="K35" s="2346" t="n">
        <v>2023</v>
      </c>
      <c r="L35" s="2347" t="n">
        <v>3123377</v>
      </c>
      <c r="M35" s="2344" t="n"/>
      <c r="N35" s="2351" t="n">
        <v>3123377</v>
      </c>
      <c r="O35" s="2347" t="n">
        <v>86084</v>
      </c>
      <c r="P35" s="2347" t="n">
        <v>62468</v>
      </c>
      <c r="Q35" s="2344" t="n"/>
      <c r="R35" s="2344" t="n"/>
      <c r="S35" s="2344" t="n"/>
      <c r="T35" s="2344" t="n"/>
      <c r="U35" s="2344" t="n"/>
      <c r="V35" s="2344" t="n"/>
      <c r="W35" s="2344" t="n"/>
      <c r="X35" s="2344" t="n"/>
      <c r="Y35" s="2353" t="n"/>
      <c r="Z35" s="2344" t="n"/>
      <c r="AA35" s="2344" t="n"/>
      <c r="AB35" s="2344" t="n"/>
      <c r="AC35" s="2348" t="n">
        <v>22360</v>
      </c>
      <c r="AD35" s="2344" t="n"/>
      <c r="AE35" s="2344" t="n"/>
      <c r="AF35" s="2348" t="n">
        <v>1107</v>
      </c>
      <c r="AG35" s="2344" t="n"/>
      <c r="AH35" s="2349" t="n">
        <v>197351</v>
      </c>
      <c r="AI35" s="2349" t="n">
        <v>1617282</v>
      </c>
      <c r="AJ35" s="2349" t="n">
        <v>1814633</v>
      </c>
      <c r="AK35" s="2354" t="n"/>
      <c r="AL35" s="2344" t="n"/>
      <c r="AM35" s="2352" t="inlineStr">
        <is>
          <t>NNN ? expenses = LL CAM billed to Amazon tenant; RE Tax $1.617M dominates; base rent $3.12M; 2023 CAM reconciliation</t>
        </is>
      </c>
    </row>
    <row r="36" ht="18" customHeight="1" s="1449">
      <c r="A36" s="2344" t="inlineStr">
        <is>
          <t>P014</t>
        </is>
      </c>
      <c r="B36" s="2338" t="n">
        <v>407</v>
      </c>
      <c r="C36" s="2345" t="inlineStr">
        <is>
          <t>R0198530</t>
        </is>
      </c>
      <c r="D36" s="2344" t="inlineStr">
        <is>
          <t>Amazon DEN7 Distribution Center</t>
        </is>
      </c>
      <c r="E36" s="2344" t="inlineStr">
        <is>
          <t>Aurora</t>
        </is>
      </c>
      <c r="F36" s="2344" t="inlineStr">
        <is>
          <t>CO</t>
        </is>
      </c>
      <c r="G36" s="2344" t="inlineStr">
        <is>
          <t>Industrial/Distribution</t>
        </is>
      </c>
      <c r="H36" s="2344" t="inlineStr">
        <is>
          <t>Single-tenant NNN</t>
        </is>
      </c>
      <c r="I36" s="2346" t="n"/>
      <c r="J36" s="2346" t="n">
        <v>555840</v>
      </c>
      <c r="K36" s="2346" t="n">
        <v>2024</v>
      </c>
      <c r="L36" s="2347" t="n">
        <v>3201462</v>
      </c>
      <c r="M36" s="2344" t="n"/>
      <c r="N36" s="2351" t="n">
        <v>3201462</v>
      </c>
      <c r="O36" s="2347" t="n">
        <v>89809</v>
      </c>
      <c r="P36" s="2347" t="n">
        <v>64029</v>
      </c>
      <c r="Q36" s="2344" t="n"/>
      <c r="R36" s="2344" t="n"/>
      <c r="S36" s="2344" t="n"/>
      <c r="T36" s="2344" t="n"/>
      <c r="U36" s="2344" t="n"/>
      <c r="V36" s="2344" t="n"/>
      <c r="W36" s="2344" t="n"/>
      <c r="X36" s="2344" t="n"/>
      <c r="Y36" s="2353" t="n"/>
      <c r="Z36" s="2344" t="n"/>
      <c r="AA36" s="2344" t="n"/>
      <c r="AB36" s="2347" t="n">
        <v>2110</v>
      </c>
      <c r="AC36" s="2348" t="n">
        <v>17455</v>
      </c>
      <c r="AD36" s="2344" t="n"/>
      <c r="AE36" s="2344" t="n"/>
      <c r="AF36" s="2348" t="n">
        <v>2024</v>
      </c>
      <c r="AG36" s="2344" t="n"/>
      <c r="AH36" s="2349" t="n">
        <v>154693</v>
      </c>
      <c r="AI36" s="2349" t="n">
        <v>2161856</v>
      </c>
      <c r="AJ36" s="2349" t="n">
        <v>2316549</v>
      </c>
      <c r="AK36" s="2354" t="n"/>
      <c r="AL36" s="2344" t="n"/>
      <c r="AM36" s="2352" t="inlineStr">
        <is>
          <t>NNN; RE Tax $2.162M = $3.89/SF reflecting Adams County assessment increase (+34% YOY); 2024 CAM reconciliation</t>
        </is>
      </c>
    </row>
    <row r="37">
      <c r="A37" s="2345" t="inlineStr">
        <is>
          <t>P015</t>
        </is>
      </c>
      <c r="B37" s="2338" t="n">
        <v>407</v>
      </c>
      <c r="C37" s="2345" t="inlineStr">
        <is>
          <t>R0180894</t>
        </is>
      </c>
      <c r="D37" s="2345" t="inlineStr">
        <is>
          <t>1910 N Gun Club Rd</t>
        </is>
      </c>
      <c r="E37" s="2345" t="inlineStr">
        <is>
          <t>Aurora</t>
        </is>
      </c>
      <c r="F37" s="2345" t="inlineStr">
        <is>
          <t>CO</t>
        </is>
      </c>
      <c r="G37" s="2345" t="inlineStr">
        <is>
          <t>Industrial</t>
        </is>
      </c>
      <c r="H37" s="2345" t="inlineStr">
        <is>
          <t>Distribution Warehouse Multi-Tenant NNN</t>
        </is>
      </c>
      <c r="I37" s="2345" t="n">
        <v>2019</v>
      </c>
      <c r="J37" s="2345" t="n">
        <v>163386</v>
      </c>
      <c r="K37" s="2345" t="n">
        <v>2023</v>
      </c>
      <c r="L37" s="2356" t="n">
        <v>2096086</v>
      </c>
      <c r="M37" s="2345" t="n"/>
      <c r="N37" s="2356" t="n">
        <v>2096086</v>
      </c>
      <c r="O37" s="2356" t="n">
        <v>40706</v>
      </c>
      <c r="P37" s="2356" t="n">
        <v>55071</v>
      </c>
      <c r="Q37" s="2345" t="n"/>
      <c r="R37" s="2345" t="n"/>
      <c r="S37" s="2345" t="n"/>
      <c r="T37" s="2345" t="n"/>
      <c r="U37" s="2345" t="n"/>
      <c r="V37" s="2345" t="n"/>
      <c r="W37" s="2345" t="n"/>
      <c r="X37" s="2345" t="n"/>
      <c r="Y37" s="2356" t="n">
        <v>6447</v>
      </c>
      <c r="Z37" s="2345" t="n"/>
      <c r="AA37" s="2356" t="n">
        <v>14502</v>
      </c>
      <c r="AB37" s="2356" t="n">
        <v>55450</v>
      </c>
      <c r="AC37" s="2345" t="n"/>
      <c r="AD37" s="2345" t="n"/>
      <c r="AE37" s="2345" t="n"/>
      <c r="AF37" s="2356" t="n">
        <v>43911</v>
      </c>
      <c r="AG37" s="2356" t="n">
        <v>159500</v>
      </c>
      <c r="AH37" s="2356" t="n">
        <v>379886</v>
      </c>
      <c r="AI37" s="2356" t="n">
        <v>923586</v>
      </c>
      <c r="AJ37" s="2356" t="n">
        <v>1303472</v>
      </c>
      <c r="AK37" s="2356" t="n">
        <v>792614</v>
      </c>
      <c r="AL37" s="2345" t="n"/>
      <c r="AM37" s="2345" t="inlineStr">
        <is>
          <t>Actual accrual; security $159,500 in Other</t>
        </is>
      </c>
    </row>
    <row r="38">
      <c r="A38" s="2345" t="inlineStr">
        <is>
          <t>P015</t>
        </is>
      </c>
      <c r="B38" s="2338" t="n">
        <v>407</v>
      </c>
      <c r="C38" s="2345" t="inlineStr">
        <is>
          <t>R0180894</t>
        </is>
      </c>
      <c r="D38" s="2345" t="inlineStr">
        <is>
          <t>1910 N Gun Club Rd</t>
        </is>
      </c>
      <c r="E38" s="2345" t="inlineStr">
        <is>
          <t>Aurora</t>
        </is>
      </c>
      <c r="F38" s="2345" t="inlineStr">
        <is>
          <t>CO</t>
        </is>
      </c>
      <c r="G38" s="2345" t="inlineStr">
        <is>
          <t>Industrial</t>
        </is>
      </c>
      <c r="H38" s="2345" t="inlineStr">
        <is>
          <t>Distribution Warehouse Multi-Tenant NNN</t>
        </is>
      </c>
      <c r="I38" s="2345" t="n">
        <v>2019</v>
      </c>
      <c r="J38" s="2345" t="n">
        <v>163386</v>
      </c>
      <c r="K38" s="2345" t="n">
        <v>2024</v>
      </c>
      <c r="L38" s="2356" t="n">
        <v>2154019</v>
      </c>
      <c r="M38" s="2345" t="n"/>
      <c r="N38" s="2356" t="n">
        <v>2154019</v>
      </c>
      <c r="O38" s="2356" t="n">
        <v>48091</v>
      </c>
      <c r="P38" s="2356" t="n">
        <v>74844</v>
      </c>
      <c r="Q38" s="2345" t="n"/>
      <c r="R38" s="2345" t="n"/>
      <c r="S38" s="2345" t="n"/>
      <c r="T38" s="2345" t="n"/>
      <c r="U38" s="2345" t="n"/>
      <c r="V38" s="2345" t="n"/>
      <c r="W38" s="2345" t="n"/>
      <c r="X38" s="2345" t="n"/>
      <c r="Y38" s="2356" t="n">
        <v>5257</v>
      </c>
      <c r="Z38" s="2345" t="n"/>
      <c r="AA38" s="2356" t="n">
        <v>13438</v>
      </c>
      <c r="AB38" s="2356" t="n">
        <v>46667</v>
      </c>
      <c r="AC38" s="2345" t="n"/>
      <c r="AD38" s="2345" t="n"/>
      <c r="AE38" s="2345" t="n"/>
      <c r="AF38" s="2356" t="n">
        <v>53895</v>
      </c>
      <c r="AG38" s="2356" t="n">
        <v>132552</v>
      </c>
      <c r="AH38" s="2356" t="n">
        <v>394495</v>
      </c>
      <c r="AI38" s="2356" t="n">
        <v>912402</v>
      </c>
      <c r="AJ38" s="2356" t="n">
        <v>1306897</v>
      </c>
      <c r="AK38" s="2356" t="n">
        <v>847122</v>
      </c>
      <c r="AL38" s="2345" t="n"/>
      <c r="AM38" s="2345" t="inlineStr">
        <is>
          <t>Actual accrual; security $132,552 in Other</t>
        </is>
      </c>
    </row>
    <row r="39">
      <c r="A39" s="2345" t="inlineStr">
        <is>
          <t>P016</t>
        </is>
      </c>
      <c r="B39" s="2338" t="n">
        <v>584</v>
      </c>
      <c r="C39" s="2345" t="inlineStr">
        <is>
          <t>R0212546/R0212547</t>
        </is>
      </c>
      <c r="D39" s="2345" t="inlineStr">
        <is>
          <t>2780 N Tower Rd</t>
        </is>
      </c>
      <c r="E39" s="2345" t="inlineStr">
        <is>
          <t>Aurora</t>
        </is>
      </c>
      <c r="F39" s="2345" t="inlineStr">
        <is>
          <t>CO</t>
        </is>
      </c>
      <c r="G39" s="2345" t="inlineStr">
        <is>
          <t>Industrial</t>
        </is>
      </c>
      <c r="H39" s="2345" t="inlineStr">
        <is>
          <t>Mega Warehouse NNN</t>
        </is>
      </c>
      <c r="I39" s="2345" t="n">
        <v>1983</v>
      </c>
      <c r="J39" s="2345" t="n">
        <v>384953</v>
      </c>
      <c r="K39" s="2345" t="n">
        <v>2024</v>
      </c>
      <c r="L39" s="2345" t="n"/>
      <c r="M39" s="2345" t="n"/>
      <c r="N39" s="2345" t="n"/>
      <c r="O39" s="2345" t="n"/>
      <c r="P39" s="2345" t="n"/>
      <c r="Q39" s="2345" t="n"/>
      <c r="R39" s="2345" t="n"/>
      <c r="S39" s="2345" t="n"/>
      <c r="T39" s="2345" t="n"/>
      <c r="U39" s="2345" t="n"/>
      <c r="V39" s="2345" t="n"/>
      <c r="W39" s="2345" t="n"/>
      <c r="X39" s="2345" t="n"/>
      <c r="Y39" s="2345" t="n"/>
      <c r="Z39" s="2345" t="n"/>
      <c r="AA39" s="2345" t="n"/>
      <c r="AB39" s="2345" t="n"/>
      <c r="AC39" s="2345" t="n"/>
      <c r="AD39" s="2345" t="n"/>
      <c r="AE39" s="2345" t="n"/>
      <c r="AF39" s="2345" t="n"/>
      <c r="AG39" s="2345" t="n"/>
      <c r="AH39" s="2345" t="n"/>
      <c r="AI39" s="2345" t="n"/>
      <c r="AJ39" s="2345" t="n"/>
      <c r="AK39" s="2345" t="n"/>
      <c r="AL39" s="2345" t="n"/>
      <c r="AM39" s="2345" t="inlineStr">
        <is>
          <t>County proforma only; limited line-item detail available</t>
        </is>
      </c>
    </row>
    <row r="40">
      <c r="A40" s="2345" t="inlineStr">
        <is>
          <t>P017</t>
        </is>
      </c>
      <c r="B40" s="2338" t="n">
        <v>210</v>
      </c>
      <c r="C40" s="2345" t="inlineStr">
        <is>
          <t>R0098098</t>
        </is>
      </c>
      <c r="D40" s="2345" t="inlineStr">
        <is>
          <t>1445 E 68th Ave</t>
        </is>
      </c>
      <c r="E40" s="2345" t="inlineStr">
        <is>
          <t>Denver</t>
        </is>
      </c>
      <c r="F40" s="2345" t="inlineStr">
        <is>
          <t>CO</t>
        </is>
      </c>
      <c r="G40" s="2345" t="inlineStr">
        <is>
          <t>Industrial</t>
        </is>
      </c>
      <c r="H40" s="2345" t="inlineStr">
        <is>
          <t>Industrial Office Mix</t>
        </is>
      </c>
      <c r="I40" s="2345" t="n">
        <v>1972</v>
      </c>
      <c r="J40" s="2345" t="n">
        <v>63348</v>
      </c>
      <c r="K40" s="2345" t="n">
        <v>2024</v>
      </c>
      <c r="L40" s="2345" t="n"/>
      <c r="M40" s="2345" t="n"/>
      <c r="N40" s="2345" t="n"/>
      <c r="O40" s="2345" t="n"/>
      <c r="P40" s="2345" t="n"/>
      <c r="Q40" s="2345" t="n"/>
      <c r="R40" s="2345" t="n"/>
      <c r="S40" s="2345" t="n"/>
      <c r="T40" s="2345" t="n"/>
      <c r="U40" s="2345" t="n"/>
      <c r="V40" s="2345" t="n"/>
      <c r="W40" s="2345" t="n"/>
      <c r="X40" s="2345" t="n"/>
      <c r="Y40" s="2345" t="n"/>
      <c r="Z40" s="2345" t="n"/>
      <c r="AA40" s="2345" t="n"/>
      <c r="AB40" s="2345" t="n"/>
      <c r="AC40" s="2345" t="n"/>
      <c r="AD40" s="2345" t="n"/>
      <c r="AE40" s="2345" t="n"/>
      <c r="AF40" s="2345" t="n"/>
      <c r="AG40" s="2345" t="n"/>
      <c r="AH40" s="2345" t="n"/>
      <c r="AI40" s="2345" t="n"/>
      <c r="AJ40" s="2345" t="n"/>
      <c r="AK40" s="2345" t="n"/>
      <c r="AL40" s="2345" t="n"/>
      <c r="AM40" s="2345" t="inlineStr">
        <is>
          <t>County proforma 2024; YOC 1972/2006/2023 additions</t>
        </is>
      </c>
    </row>
    <row r="41">
      <c r="A41" s="2345" t="inlineStr">
        <is>
          <t>P018</t>
        </is>
      </c>
      <c r="B41" s="2338" t="n">
        <v>406</v>
      </c>
      <c r="C41" s="2345" t="inlineStr">
        <is>
          <t>R0103783</t>
        </is>
      </c>
      <c r="D41" s="2345" t="inlineStr">
        <is>
          <t>2031 E 58th Ave</t>
        </is>
      </c>
      <c r="E41" s="2345" t="inlineStr">
        <is>
          <t>Denver</t>
        </is>
      </c>
      <c r="F41" s="2345" t="inlineStr">
        <is>
          <t>CO</t>
        </is>
      </c>
      <c r="G41" s="2345" t="inlineStr">
        <is>
          <t>Industrial</t>
        </is>
      </c>
      <c r="H41" s="2345" t="inlineStr">
        <is>
          <t>Storage Warehouse / Mod Office NNN</t>
        </is>
      </c>
      <c r="I41" s="2345" t="n">
        <v>2004</v>
      </c>
      <c r="J41" s="2345" t="n">
        <v>18720</v>
      </c>
      <c r="K41" s="2345" t="n">
        <v>2024</v>
      </c>
      <c r="L41" s="2356" t="n">
        <v>248796</v>
      </c>
      <c r="M41" s="2345" t="n"/>
      <c r="N41" s="2356" t="n">
        <v>299942</v>
      </c>
      <c r="O41" s="2356" t="n">
        <v>3858</v>
      </c>
      <c r="P41" s="2345" t="n"/>
      <c r="Q41" s="2345" t="n"/>
      <c r="R41" s="2345" t="n"/>
      <c r="S41" s="2345" t="n"/>
      <c r="T41" s="2345" t="n"/>
      <c r="U41" s="2345" t="n"/>
      <c r="V41" s="2345" t="n"/>
      <c r="W41" s="2345" t="n"/>
      <c r="X41" s="2345" t="n"/>
      <c r="Y41" s="2345" t="n"/>
      <c r="Z41" s="2345" t="n"/>
      <c r="AA41" s="2345" t="n"/>
      <c r="AB41" s="2345" t="n"/>
      <c r="AC41" s="2356" t="n">
        <v>2427</v>
      </c>
      <c r="AD41" s="2345" t="n"/>
      <c r="AE41" s="2345" t="n"/>
      <c r="AF41" s="2345" t="n"/>
      <c r="AG41" s="2345" t="n"/>
      <c r="AH41" s="2356" t="n">
        <v>6285</v>
      </c>
      <c r="AI41" s="2356" t="n">
        <v>44860</v>
      </c>
      <c r="AJ41" s="2356" t="n">
        <v>51145</v>
      </c>
      <c r="AK41" s="2356" t="n">
        <v>248797</v>
      </c>
      <c r="AL41" s="2345" t="n"/>
      <c r="AM41" s="2345" t="inlineStr">
        <is>
          <t>NNN billed charges; EGI = base rent + NNN pass-throughs</t>
        </is>
      </c>
    </row>
    <row r="42">
      <c r="A42" s="2345" t="inlineStr">
        <is>
          <t>P018</t>
        </is>
      </c>
      <c r="B42" s="2338" t="n">
        <v>406</v>
      </c>
      <c r="C42" s="2345" t="inlineStr">
        <is>
          <t>R0103783</t>
        </is>
      </c>
      <c r="D42" s="2345" t="inlineStr">
        <is>
          <t>2031 E 58th Ave</t>
        </is>
      </c>
      <c r="E42" s="2345" t="inlineStr">
        <is>
          <t>Denver</t>
        </is>
      </c>
      <c r="F42" s="2345" t="inlineStr">
        <is>
          <t>CO</t>
        </is>
      </c>
      <c r="G42" s="2345" t="inlineStr">
        <is>
          <t>Industrial</t>
        </is>
      </c>
      <c r="H42" s="2345" t="inlineStr">
        <is>
          <t>Storage Warehouse / Mod Office NNN</t>
        </is>
      </c>
      <c r="I42" s="2345" t="n">
        <v>2004</v>
      </c>
      <c r="J42" s="2345" t="n">
        <v>18720</v>
      </c>
      <c r="K42" s="2345" t="n">
        <v>2023</v>
      </c>
      <c r="L42" s="2356" t="n">
        <v>243918</v>
      </c>
      <c r="M42" s="2345" t="n"/>
      <c r="N42" s="2356" t="n">
        <v>295063</v>
      </c>
      <c r="O42" s="2356" t="n">
        <v>3858</v>
      </c>
      <c r="P42" s="2345" t="n"/>
      <c r="Q42" s="2345" t="n"/>
      <c r="R42" s="2345" t="n"/>
      <c r="S42" s="2345" t="n"/>
      <c r="T42" s="2345" t="n"/>
      <c r="U42" s="2345" t="n"/>
      <c r="V42" s="2345" t="n"/>
      <c r="W42" s="2345" t="n"/>
      <c r="X42" s="2345" t="n"/>
      <c r="Y42" s="2345" t="n"/>
      <c r="Z42" s="2345" t="n"/>
      <c r="AA42" s="2345" t="n"/>
      <c r="AB42" s="2345" t="n"/>
      <c r="AC42" s="2356" t="n">
        <v>2427</v>
      </c>
      <c r="AD42" s="2345" t="n"/>
      <c r="AE42" s="2345" t="n"/>
      <c r="AF42" s="2345" t="n"/>
      <c r="AG42" s="2345" t="n"/>
      <c r="AH42" s="2356" t="n">
        <v>6285</v>
      </c>
      <c r="AI42" s="2356" t="n">
        <v>44860</v>
      </c>
      <c r="AJ42" s="2356" t="n">
        <v>51145</v>
      </c>
      <c r="AK42" s="2356" t="n">
        <v>243918</v>
      </c>
      <c r="AL42" s="2345" t="n"/>
      <c r="AM42" s="2345" t="inlineStr">
        <is>
          <t>NNN billed charges; EGI = base rent + NNN pass-throughs</t>
        </is>
      </c>
    </row>
    <row r="43">
      <c r="A43" s="2345" t="inlineStr">
        <is>
          <t>P019</t>
        </is>
      </c>
      <c r="B43" s="2338" t="n">
        <v>407</v>
      </c>
      <c r="C43" s="2345" t="inlineStr">
        <is>
          <t>R0210402/R0210403</t>
        </is>
      </c>
      <c r="D43" s="2345" t="inlineStr">
        <is>
          <t>17190 E 85th Ave</t>
        </is>
      </c>
      <c r="E43" s="2345" t="inlineStr">
        <is>
          <t>Commerce City</t>
        </is>
      </c>
      <c r="F43" s="2345" t="inlineStr">
        <is>
          <t>CO</t>
        </is>
      </c>
      <c r="G43" s="2345" t="inlineStr">
        <is>
          <t>Industrial</t>
        </is>
      </c>
      <c r="H43" s="2345" t="inlineStr">
        <is>
          <t>Industrial Warehouse NNN</t>
        </is>
      </c>
      <c r="I43" s="2345" t="n">
        <v>2021</v>
      </c>
      <c r="J43" s="2345" t="n">
        <v>329940</v>
      </c>
      <c r="K43" s="2345" t="n">
        <v>2024</v>
      </c>
      <c r="L43" s="2345" t="n"/>
      <c r="M43" s="2345" t="n"/>
      <c r="N43" s="2345" t="n"/>
      <c r="O43" s="2345" t="n"/>
      <c r="P43" s="2345" t="n"/>
      <c r="Q43" s="2345" t="n"/>
      <c r="R43" s="2345" t="n"/>
      <c r="S43" s="2345" t="n"/>
      <c r="T43" s="2345" t="n"/>
      <c r="U43" s="2345" t="n"/>
      <c r="V43" s="2345" t="n"/>
      <c r="W43" s="2345" t="n"/>
      <c r="X43" s="2345" t="n"/>
      <c r="Y43" s="2345" t="n"/>
      <c r="Z43" s="2345" t="n"/>
      <c r="AA43" s="2345" t="n"/>
      <c r="AB43" s="2345" t="n"/>
      <c r="AC43" s="2345" t="n"/>
      <c r="AD43" s="2345" t="n"/>
      <c r="AE43" s="2345" t="n"/>
      <c r="AF43" s="2345" t="n"/>
      <c r="AG43" s="2345" t="n"/>
      <c r="AH43" s="2345" t="n"/>
      <c r="AI43" s="2345" t="n"/>
      <c r="AJ43" s="2345" t="n"/>
      <c r="AK43" s="2345" t="n"/>
      <c r="AL43" s="2345" t="n"/>
      <c r="AM43" s="2345" t="inlineStr">
        <is>
          <t>Petitioner proforma 2024/25; limited line-item detail</t>
        </is>
      </c>
    </row>
    <row r="44">
      <c r="A44" s="2345" t="inlineStr">
        <is>
          <t>P020</t>
        </is>
      </c>
      <c r="B44" s="2338" t="n">
        <v>584</v>
      </c>
      <c r="C44" s="2345" t="inlineStr">
        <is>
          <t>R0209679</t>
        </is>
      </c>
      <c r="D44" s="2345" t="inlineStr">
        <is>
          <t>17501 E 84th Ave</t>
        </is>
      </c>
      <c r="E44" s="2345" t="inlineStr">
        <is>
          <t>Commerce City</t>
        </is>
      </c>
      <c r="F44" s="2345" t="inlineStr">
        <is>
          <t>CO</t>
        </is>
      </c>
      <c r="G44" s="2345" t="inlineStr">
        <is>
          <t>Industrial</t>
        </is>
      </c>
      <c r="H44" s="2345" t="inlineStr">
        <is>
          <t>Mega Warehouse / Distribution Center NNN (Lowe's)</t>
        </is>
      </c>
      <c r="I44" s="2345" t="n">
        <v>2021</v>
      </c>
      <c r="J44" s="2345" t="n">
        <v>999780</v>
      </c>
      <c r="K44" s="2345" t="n">
        <v>2023</v>
      </c>
      <c r="L44" s="2356" t="n">
        <v>12396458</v>
      </c>
      <c r="M44" s="2345" t="n"/>
      <c r="N44" s="2356" t="n">
        <v>12396458</v>
      </c>
      <c r="O44" s="2356" t="n">
        <v>150453</v>
      </c>
      <c r="P44" s="2356" t="n">
        <v>100437</v>
      </c>
      <c r="Q44" s="2345" t="n"/>
      <c r="R44" s="2345" t="n"/>
      <c r="S44" s="2345" t="n"/>
      <c r="T44" s="2345" t="n"/>
      <c r="U44" s="2345" t="n"/>
      <c r="V44" s="2345" t="n"/>
      <c r="W44" s="2345" t="n"/>
      <c r="X44" s="2345" t="n"/>
      <c r="Y44" s="2356" t="n">
        <v>53276</v>
      </c>
      <c r="Z44" s="2345" t="n"/>
      <c r="AA44" s="2356" t="n">
        <v>50764</v>
      </c>
      <c r="AB44" s="2356" t="n">
        <v>117765</v>
      </c>
      <c r="AC44" s="2345" t="n"/>
      <c r="AD44" s="2345" t="n"/>
      <c r="AE44" s="2345" t="n"/>
      <c r="AF44" s="2345" t="n"/>
      <c r="AG44" s="2356" t="n">
        <v>8384</v>
      </c>
      <c r="AH44" s="2356" t="n">
        <v>1354674</v>
      </c>
      <c r="AI44" s="2356" t="n">
        <v>4922300</v>
      </c>
      <c r="AJ44" s="2356" t="n">
        <v>8277752</v>
      </c>
      <c r="AK44" s="2356" t="n">
        <v>4118706</v>
      </c>
      <c r="AL44" s="2345" t="n"/>
      <c r="AM44" s="2345" t="inlineStr">
        <is>
          <t>Actual accrual; 2023 NOI inflated ~$2.8M by prior-yr RE tax adj; security in Other</t>
        </is>
      </c>
    </row>
    <row r="45">
      <c r="A45" s="2345" t="inlineStr">
        <is>
          <t>P020</t>
        </is>
      </c>
      <c r="B45" s="2338" t="n">
        <v>584</v>
      </c>
      <c r="C45" s="2345" t="inlineStr">
        <is>
          <t>R0209679</t>
        </is>
      </c>
      <c r="D45" s="2345" t="inlineStr">
        <is>
          <t>17501 E 84th Ave</t>
        </is>
      </c>
      <c r="E45" s="2345" t="inlineStr">
        <is>
          <t>Commerce City</t>
        </is>
      </c>
      <c r="F45" s="2345" t="inlineStr">
        <is>
          <t>CO</t>
        </is>
      </c>
      <c r="G45" s="2345" t="inlineStr">
        <is>
          <t>Industrial</t>
        </is>
      </c>
      <c r="H45" s="2345" t="inlineStr">
        <is>
          <t>Mega Warehouse / Distribution Center NNN (Lowe's)</t>
        </is>
      </c>
      <c r="I45" s="2345" t="n">
        <v>2021</v>
      </c>
      <c r="J45" s="2345" t="n">
        <v>999780</v>
      </c>
      <c r="K45" s="2345" t="n">
        <v>2024</v>
      </c>
      <c r="L45" s="2356" t="n">
        <v>10000751</v>
      </c>
      <c r="M45" s="2345" t="n"/>
      <c r="N45" s="2356" t="n">
        <v>10000751</v>
      </c>
      <c r="O45" s="2356" t="n">
        <v>171963</v>
      </c>
      <c r="P45" s="2356" t="n">
        <v>101559</v>
      </c>
      <c r="Q45" s="2345" t="n"/>
      <c r="R45" s="2345" t="n"/>
      <c r="S45" s="2345" t="n"/>
      <c r="T45" s="2345" t="n"/>
      <c r="U45" s="2345" t="n"/>
      <c r="V45" s="2345" t="n"/>
      <c r="W45" s="2345" t="n"/>
      <c r="X45" s="2345" t="n"/>
      <c r="Y45" s="2356" t="n">
        <v>120481</v>
      </c>
      <c r="Z45" s="2345" t="n"/>
      <c r="AA45" s="2356" t="n">
        <v>37766</v>
      </c>
      <c r="AB45" s="2356" t="n">
        <v>131877</v>
      </c>
      <c r="AC45" s="2345" t="n"/>
      <c r="AD45" s="2345" t="n"/>
      <c r="AE45" s="2345" t="n"/>
      <c r="AF45" s="2345" t="n"/>
      <c r="AG45" s="2356" t="n">
        <v>30799</v>
      </c>
      <c r="AH45" s="2356" t="n">
        <v>797409</v>
      </c>
      <c r="AI45" s="2356" t="n">
        <v>4996600</v>
      </c>
      <c r="AJ45" s="2356" t="n">
        <v>5794009</v>
      </c>
      <c r="AK45" s="2356" t="n">
        <v>4206742</v>
      </c>
      <c r="AL45" s="2345" t="n"/>
      <c r="AM45" s="2345" t="inlineStr">
        <is>
          <t>Actual accrual; security $30,799 in Other</t>
        </is>
      </c>
    </row>
    <row r="46">
      <c r="A46" s="2345" t="inlineStr">
        <is>
          <t>P021</t>
        </is>
      </c>
      <c r="B46" s="2338" t="n">
        <v>210</v>
      </c>
      <c r="C46" s="2345" t="inlineStr">
        <is>
          <t>R0091931</t>
        </is>
      </c>
      <c r="D46" s="2345" t="inlineStr">
        <is>
          <t>6300 E. 58th Ave</t>
        </is>
      </c>
      <c r="E46" s="2345" t="inlineStr">
        <is>
          <t>Commerce City</t>
        </is>
      </c>
      <c r="F46" s="2345" t="inlineStr">
        <is>
          <t>CO</t>
        </is>
      </c>
      <c r="G46" s="2345" t="inlineStr">
        <is>
          <t>Industrial</t>
        </is>
      </c>
      <c r="H46" s="2345" t="inlineStr">
        <is>
          <t>Multi-Tenant Industrial/Flex</t>
        </is>
      </c>
      <c r="I46" s="2345" t="n">
        <v>1999</v>
      </c>
      <c r="J46" s="2345" t="n">
        <v>90000</v>
      </c>
      <c r="K46" s="2345" t="n">
        <v>2023</v>
      </c>
      <c r="L46" s="2356" t="n">
        <v>949132</v>
      </c>
      <c r="M46" s="2345" t="n"/>
      <c r="N46" s="2356" t="n">
        <v>1238350</v>
      </c>
      <c r="O46" s="2356" t="n">
        <v>15839</v>
      </c>
      <c r="P46" s="2356" t="n">
        <v>46438</v>
      </c>
      <c r="Q46" s="2356" t="n">
        <v>3968</v>
      </c>
      <c r="R46" s="2345" t="n"/>
      <c r="S46" s="2356" t="n">
        <v>27292</v>
      </c>
      <c r="T46" s="2356" t="n">
        <v>6577</v>
      </c>
      <c r="U46" s="2345" t="n"/>
      <c r="V46" s="2345" t="n"/>
      <c r="W46" s="2345" t="n"/>
      <c r="X46" s="2356" t="n">
        <v>23213</v>
      </c>
      <c r="Y46" s="2356" t="n">
        <v>61050</v>
      </c>
      <c r="Z46" s="2356" t="n">
        <v>930</v>
      </c>
      <c r="AA46" s="2356" t="n">
        <v>4777</v>
      </c>
      <c r="AB46" s="2356" t="n">
        <v>11271</v>
      </c>
      <c r="AC46" s="2356" t="n">
        <v>16978</v>
      </c>
      <c r="AD46" s="2356" t="n">
        <v>14167</v>
      </c>
      <c r="AE46" s="2356" t="n">
        <v>5593</v>
      </c>
      <c r="AF46" s="2356" t="n">
        <v>19760</v>
      </c>
      <c r="AG46" s="2345" t="n"/>
      <c r="AH46" s="2356" t="n">
        <v>162482</v>
      </c>
      <c r="AI46" s="2356" t="n">
        <v>283603</v>
      </c>
      <c r="AJ46" s="2356" t="n">
        <v>446085</v>
      </c>
      <c r="AK46" s="2356" t="n">
        <v>792265</v>
      </c>
      <c r="AL46" s="2345" t="n"/>
      <c r="AM46" s="2345" t="inlineStr">
        <is>
          <t>Actual accrual; parking sweep in Trash; admin fees in Mgmt</t>
        </is>
      </c>
    </row>
    <row r="47">
      <c r="A47" s="2345" t="inlineStr">
        <is>
          <t>P021</t>
        </is>
      </c>
      <c r="B47" s="2338" t="n">
        <v>210</v>
      </c>
      <c r="C47" s="2345" t="inlineStr">
        <is>
          <t>R0091931</t>
        </is>
      </c>
      <c r="D47" s="2345" t="inlineStr">
        <is>
          <t>6300 E. 58th Ave</t>
        </is>
      </c>
      <c r="E47" s="2345" t="inlineStr">
        <is>
          <t>Commerce City</t>
        </is>
      </c>
      <c r="F47" s="2345" t="inlineStr">
        <is>
          <t>CO</t>
        </is>
      </c>
      <c r="G47" s="2345" t="inlineStr">
        <is>
          <t>Industrial</t>
        </is>
      </c>
      <c r="H47" s="2345" t="inlineStr">
        <is>
          <t>Multi-Tenant Industrial/Flex</t>
        </is>
      </c>
      <c r="I47" s="2345" t="n">
        <v>1999</v>
      </c>
      <c r="J47" s="2345" t="n">
        <v>90000</v>
      </c>
      <c r="K47" s="2345" t="n">
        <v>2024</v>
      </c>
      <c r="L47" s="2356" t="n">
        <v>911911</v>
      </c>
      <c r="M47" s="2345" t="n"/>
      <c r="N47" s="2356" t="n">
        <v>1307178</v>
      </c>
      <c r="O47" s="2356" t="n">
        <v>15815</v>
      </c>
      <c r="P47" s="2356" t="n">
        <v>65253</v>
      </c>
      <c r="Q47" s="2356" t="n">
        <v>620</v>
      </c>
      <c r="R47" s="2345" t="n"/>
      <c r="S47" s="2356" t="n">
        <v>35961</v>
      </c>
      <c r="T47" s="2356" t="n">
        <v>7833</v>
      </c>
      <c r="U47" s="2345" t="n"/>
      <c r="V47" s="2345" t="n"/>
      <c r="W47" s="2345" t="n"/>
      <c r="X47" s="2356" t="n">
        <v>22008</v>
      </c>
      <c r="Y47" s="2356" t="n">
        <v>66422</v>
      </c>
      <c r="Z47" s="2356" t="n">
        <v>1176</v>
      </c>
      <c r="AA47" s="2356" t="n">
        <v>4463</v>
      </c>
      <c r="AB47" s="2356" t="n">
        <v>14953</v>
      </c>
      <c r="AC47" s="2356" t="n">
        <v>20592</v>
      </c>
      <c r="AD47" s="2356" t="n">
        <v>15736</v>
      </c>
      <c r="AE47" s="2356" t="n">
        <v>5731</v>
      </c>
      <c r="AF47" s="2356" t="n">
        <v>21467</v>
      </c>
      <c r="AG47" s="2345" t="n"/>
      <c r="AH47" s="2356" t="n">
        <v>158481</v>
      </c>
      <c r="AI47" s="2356" t="n">
        <v>290988</v>
      </c>
      <c r="AJ47" s="2356" t="n">
        <v>449469</v>
      </c>
      <c r="AK47" s="2356" t="n">
        <v>842728</v>
      </c>
      <c r="AL47" s="2345" t="n"/>
      <c r="AM47" s="2345" t="inlineStr">
        <is>
          <t>Actual accrual; snow $14,953 also listed under ext R&amp;M; security/admin in ext maint</t>
        </is>
      </c>
    </row>
    <row r="48">
      <c r="A48" s="2345" t="inlineStr">
        <is>
          <t>P022</t>
        </is>
      </c>
      <c r="B48" s="2338" t="n">
        <v>210</v>
      </c>
      <c r="C48" s="2345" t="inlineStr">
        <is>
          <t>R0111559</t>
        </is>
      </c>
      <c r="D48" s="2345" t="inlineStr">
        <is>
          <t>3590 N. Himalaya Rd (Bldg 6)</t>
        </is>
      </c>
      <c r="E48" s="2345" t="inlineStr">
        <is>
          <t>Aurora</t>
        </is>
      </c>
      <c r="F48" s="2345" t="inlineStr">
        <is>
          <t>CO</t>
        </is>
      </c>
      <c r="G48" s="2345" t="inlineStr">
        <is>
          <t>Industrial</t>
        </is>
      </c>
      <c r="H48" s="2345" t="inlineStr">
        <is>
          <t>Multi-Tenant Industrial/Flex NNN</t>
        </is>
      </c>
      <c r="I48" s="2345" t="n"/>
      <c r="J48" s="2345" t="n"/>
      <c r="K48" s="2345" t="n">
        <v>2024</v>
      </c>
      <c r="L48" s="2356" t="n">
        <v>548918</v>
      </c>
      <c r="M48" s="2345" t="n"/>
      <c r="N48" s="2356" t="n">
        <v>766859</v>
      </c>
      <c r="O48" s="2356" t="n">
        <v>23025</v>
      </c>
      <c r="P48" s="2345" t="n"/>
      <c r="Q48" s="2345" t="n"/>
      <c r="R48" s="2345" t="n"/>
      <c r="S48" s="2345" t="n"/>
      <c r="T48" s="2345" t="n"/>
      <c r="U48" s="2345" t="n"/>
      <c r="V48" s="2345" t="n"/>
      <c r="W48" s="2345" t="n"/>
      <c r="X48" s="2345" t="n"/>
      <c r="Y48" s="2345" t="n"/>
      <c r="Z48" s="2345" t="n"/>
      <c r="AA48" s="2345" t="n"/>
      <c r="AB48" s="2345" t="n"/>
      <c r="AC48" s="2345" t="n"/>
      <c r="AD48" s="2356" t="n">
        <v>7986</v>
      </c>
      <c r="AE48" s="2356" t="n">
        <v>33669</v>
      </c>
      <c r="AF48" s="2356" t="n">
        <v>41655</v>
      </c>
      <c r="AG48" s="2345" t="n"/>
      <c r="AH48" s="2345" t="n"/>
      <c r="AI48" s="2356" t="n">
        <v>129107</v>
      </c>
      <c r="AJ48" s="2356" t="n">
        <v>250157</v>
      </c>
      <c r="AK48" s="2356" t="n">
        <v>374789</v>
      </c>
      <c r="AL48" s="2345" t="n"/>
      <c r="AM48" s="2345" t="inlineStr">
        <is>
          <t>2024 only – 2023 was transitional vacancy year; SF not confirmed; approx figures</t>
        </is>
      </c>
    </row>
    <row r="49">
      <c r="A49" s="2345" t="inlineStr">
        <is>
          <t>P023</t>
        </is>
      </c>
      <c r="B49" s="2338" t="n">
        <v>407</v>
      </c>
      <c r="C49" s="2345" t="inlineStr">
        <is>
          <t>R0191098</t>
        </is>
      </c>
      <c r="D49" s="2345" t="inlineStr">
        <is>
          <t>19754 E. 35th Dr (Bldg 4)</t>
        </is>
      </c>
      <c r="E49" s="2345" t="inlineStr">
        <is>
          <t>Aurora</t>
        </is>
      </c>
      <c r="F49" s="2345" t="inlineStr">
        <is>
          <t>CO</t>
        </is>
      </c>
      <c r="G49" s="2345" t="inlineStr">
        <is>
          <t>Industrial</t>
        </is>
      </c>
      <c r="H49" s="2345" t="inlineStr">
        <is>
          <t>Single-Tenant Industrial NNN</t>
        </is>
      </c>
      <c r="I49" s="2345" t="n"/>
      <c r="J49" s="2345" t="n">
        <v>155033</v>
      </c>
      <c r="K49" s="2345" t="n">
        <v>2023</v>
      </c>
      <c r="L49" s="2356" t="n">
        <v>969912</v>
      </c>
      <c r="M49" s="2345" t="n"/>
      <c r="N49" s="2356" t="n">
        <v>968340</v>
      </c>
      <c r="O49" s="2356" t="n">
        <v>20444</v>
      </c>
      <c r="P49" s="2356" t="n">
        <v>29946</v>
      </c>
      <c r="Q49" s="2345" t="n"/>
      <c r="R49" s="2345" t="n"/>
      <c r="S49" s="2345" t="n"/>
      <c r="T49" s="2345" t="n"/>
      <c r="U49" s="2345" t="n"/>
      <c r="V49" s="2345" t="n"/>
      <c r="W49" s="2345" t="n"/>
      <c r="X49" s="2345" t="n"/>
      <c r="Y49" s="2345" t="n"/>
      <c r="Z49" s="2345" t="n"/>
      <c r="AA49" s="2356" t="n">
        <v>3990</v>
      </c>
      <c r="AB49" s="2345" t="n"/>
      <c r="AC49" s="2345" t="n"/>
      <c r="AD49" s="2356" t="n">
        <v>37966</v>
      </c>
      <c r="AE49" s="2356" t="n">
        <v>13715</v>
      </c>
      <c r="AF49" s="2356" t="n">
        <v>51681</v>
      </c>
      <c r="AG49" s="2345" t="n"/>
      <c r="AH49" s="2356" t="n">
        <v>295391</v>
      </c>
      <c r="AI49" s="2356" t="n">
        <v>92518</v>
      </c>
      <c r="AJ49" s="2356" t="n">
        <v>387909</v>
      </c>
      <c r="AK49" s="2356" t="n">
        <v>580431</v>
      </c>
      <c r="AL49" s="2345" t="n"/>
      <c r="AM49" s="2345" t="inlineStr">
        <is>
          <t>NNN; tenant pays most R&amp;M directly; Quality Custom Distribution lease thru 12/31/2029</t>
        </is>
      </c>
    </row>
    <row r="50">
      <c r="A50" s="2345" t="inlineStr">
        <is>
          <t>P023</t>
        </is>
      </c>
      <c r="B50" s="2338" t="n">
        <v>407</v>
      </c>
      <c r="C50" s="2345" t="inlineStr">
        <is>
          <t>R0191098</t>
        </is>
      </c>
      <c r="D50" s="2345" t="inlineStr">
        <is>
          <t>19754 E. 35th Dr (Bldg 4)</t>
        </is>
      </c>
      <c r="E50" s="2345" t="inlineStr">
        <is>
          <t>Aurora</t>
        </is>
      </c>
      <c r="F50" s="2345" t="inlineStr">
        <is>
          <t>CO</t>
        </is>
      </c>
      <c r="G50" s="2345" t="inlineStr">
        <is>
          <t>Industrial</t>
        </is>
      </c>
      <c r="H50" s="2345" t="inlineStr">
        <is>
          <t>Single-Tenant Industrial NNN</t>
        </is>
      </c>
      <c r="I50" s="2345" t="n"/>
      <c r="J50" s="2345" t="n">
        <v>155033</v>
      </c>
      <c r="K50" s="2345" t="n">
        <v>2024</v>
      </c>
      <c r="L50" s="2356" t="n">
        <v>1011167</v>
      </c>
      <c r="M50" s="2345" t="n"/>
      <c r="N50" s="2356" t="n">
        <v>1011168</v>
      </c>
      <c r="O50" s="2356" t="n">
        <v>28366</v>
      </c>
      <c r="P50" s="2356" t="n">
        <v>29365</v>
      </c>
      <c r="Q50" s="2345" t="n"/>
      <c r="R50" s="2345" t="n"/>
      <c r="S50" s="2345" t="n"/>
      <c r="T50" s="2345" t="n"/>
      <c r="U50" s="2345" t="n"/>
      <c r="V50" s="2345" t="n"/>
      <c r="W50" s="2345" t="n"/>
      <c r="X50" s="2345" t="n"/>
      <c r="Y50" s="2345" t="n"/>
      <c r="Z50" s="2345" t="n"/>
      <c r="AA50" s="2345" t="n"/>
      <c r="AB50" s="2345" t="n"/>
      <c r="AC50" s="2345" t="n"/>
      <c r="AD50" s="2356" t="n">
        <v>36662</v>
      </c>
      <c r="AE50" s="2356" t="n">
        <v>27344</v>
      </c>
      <c r="AF50" s="2356" t="n">
        <v>64006</v>
      </c>
      <c r="AG50" s="2345" t="n"/>
      <c r="AH50" s="2356" t="n">
        <v>264833</v>
      </c>
      <c r="AI50" s="2356" t="n">
        <v>120903</v>
      </c>
      <c r="AJ50" s="2356" t="n">
        <v>385736</v>
      </c>
      <c r="AK50" s="2356" t="n">
        <v>625432</v>
      </c>
      <c r="AL50" s="2345" t="n"/>
      <c r="AM50" s="2345" t="inlineStr">
        <is>
          <t>NNN; tenant pays most R&amp;M directly</t>
        </is>
      </c>
    </row>
    <row r="51">
      <c r="A51" s="2345" t="inlineStr">
        <is>
          <t>P024</t>
        </is>
      </c>
      <c r="B51" s="2338" t="n">
        <v>407</v>
      </c>
      <c r="C51" s="2345" t="inlineStr">
        <is>
          <t>R0111560</t>
        </is>
      </c>
      <c r="D51" s="2345" t="inlineStr">
        <is>
          <t>20320 E. 36th Dr (Bldg 7)</t>
        </is>
      </c>
      <c r="E51" s="2345" t="inlineStr">
        <is>
          <t>Aurora</t>
        </is>
      </c>
      <c r="F51" s="2345" t="inlineStr">
        <is>
          <t>CO</t>
        </is>
      </c>
      <c r="G51" s="2345" t="inlineStr">
        <is>
          <t>Industrial</t>
        </is>
      </c>
      <c r="H51" s="2345" t="inlineStr">
        <is>
          <t>Single-Tenant Industrial NNN</t>
        </is>
      </c>
      <c r="I51" s="2345" t="n"/>
      <c r="J51" s="2345" t="n">
        <v>200000</v>
      </c>
      <c r="K51" s="2345" t="n">
        <v>2023</v>
      </c>
      <c r="L51" s="2356" t="n">
        <v>1391167</v>
      </c>
      <c r="M51" s="2345" t="n"/>
      <c r="N51" s="2356" t="n">
        <v>1357167</v>
      </c>
      <c r="O51" s="2356" t="n">
        <v>4008</v>
      </c>
      <c r="P51" s="2345" t="n"/>
      <c r="Q51" s="2345" t="n"/>
      <c r="R51" s="2345" t="n"/>
      <c r="S51" s="2345" t="n"/>
      <c r="T51" s="2345" t="n"/>
      <c r="U51" s="2345" t="n"/>
      <c r="V51" s="2345" t="n"/>
      <c r="W51" s="2345" t="n"/>
      <c r="X51" s="2345" t="n"/>
      <c r="Y51" s="2345" t="n"/>
      <c r="Z51" s="2345" t="n"/>
      <c r="AA51" s="2345" t="n"/>
      <c r="AB51" s="2345" t="n"/>
      <c r="AC51" s="2345" t="n"/>
      <c r="AD51" s="2345" t="n"/>
      <c r="AE51" s="2356" t="n">
        <v>2419</v>
      </c>
      <c r="AF51" s="2356" t="n">
        <v>2419</v>
      </c>
      <c r="AG51" s="2345" t="n"/>
      <c r="AH51" s="2356" t="n">
        <v>235792</v>
      </c>
      <c r="AI51" s="2356" t="n">
        <v>3481</v>
      </c>
      <c r="AJ51" s="2356" t="n">
        <v>239273</v>
      </c>
      <c r="AK51" s="2356" t="n">
        <v>1117893</v>
      </c>
      <c r="AL51" s="2345" t="n"/>
      <c r="AM51" s="2345" t="inlineStr">
        <is>
          <t>FedEx NNN thru 4/30/2024; tenant pays nearly all expenses; 2024 excluded (lease expiry vacancy)</t>
        </is>
      </c>
    </row>
    <row r="52">
      <c r="A52" s="2345" t="inlineStr">
        <is>
          <t>P025</t>
        </is>
      </c>
      <c r="B52" s="2338" t="n">
        <v>210</v>
      </c>
      <c r="C52" s="2345" t="inlineStr">
        <is>
          <t>R0191099</t>
        </is>
      </c>
      <c r="D52" s="2345" t="inlineStr">
        <is>
          <t>3559 N. Himalaya Rd (Bldg 5)</t>
        </is>
      </c>
      <c r="E52" s="2345" t="inlineStr">
        <is>
          <t>Aurora</t>
        </is>
      </c>
      <c r="F52" s="2345" t="inlineStr">
        <is>
          <t>CO</t>
        </is>
      </c>
      <c r="G52" s="2345" t="inlineStr">
        <is>
          <t>Industrial</t>
        </is>
      </c>
      <c r="H52" s="2345" t="inlineStr">
        <is>
          <t>Multi-Tenant Industrial NNN</t>
        </is>
      </c>
      <c r="I52" s="2345" t="n"/>
      <c r="J52" s="2345" t="n">
        <v>159047</v>
      </c>
      <c r="K52" s="2345" t="n">
        <v>2023</v>
      </c>
      <c r="L52" s="2345" t="n"/>
      <c r="M52" s="2345" t="n"/>
      <c r="N52" s="2356" t="n">
        <v>2146251</v>
      </c>
      <c r="O52" s="2345" t="n"/>
      <c r="P52" s="2356" t="n">
        <v>5837</v>
      </c>
      <c r="Q52" s="2345" t="n"/>
      <c r="R52" s="2345" t="n"/>
      <c r="S52" s="2345" t="n"/>
      <c r="T52" s="2345" t="n"/>
      <c r="U52" s="2345" t="n"/>
      <c r="V52" s="2345" t="n"/>
      <c r="W52" s="2345" t="n"/>
      <c r="X52" s="2345" t="n"/>
      <c r="Y52" s="2345" t="n"/>
      <c r="Z52" s="2345" t="n"/>
      <c r="AA52" s="2345" t="n"/>
      <c r="AB52" s="2356" t="n">
        <v>2813</v>
      </c>
      <c r="AC52" s="2345" t="n"/>
      <c r="AD52" s="2345" t="n"/>
      <c r="AE52" s="2345" t="n"/>
      <c r="AF52" s="2345" t="n"/>
      <c r="AG52" s="2345" t="n"/>
      <c r="AH52" s="2345" t="n"/>
      <c r="AI52" s="2345" t="n"/>
      <c r="AJ52" s="2356" t="n">
        <v>1015103</v>
      </c>
      <c r="AK52" s="2356" t="n">
        <v>1131148</v>
      </c>
      <c r="AL52" s="2345" t="n"/>
      <c r="AM52" s="2345" t="inlineStr">
        <is>
          <t>Multi-tenant NNN; limited expense detail available; approx figures</t>
        </is>
      </c>
    </row>
    <row r="53">
      <c r="A53" s="2345" t="inlineStr">
        <is>
          <t>P025</t>
        </is>
      </c>
      <c r="B53" s="2338" t="n">
        <v>210</v>
      </c>
      <c r="C53" s="2345" t="inlineStr">
        <is>
          <t>R0191099</t>
        </is>
      </c>
      <c r="D53" s="2345" t="inlineStr">
        <is>
          <t>3559 N. Himalaya Rd (Bldg 5)</t>
        </is>
      </c>
      <c r="E53" s="2345" t="inlineStr">
        <is>
          <t>Aurora</t>
        </is>
      </c>
      <c r="F53" s="2345" t="inlineStr">
        <is>
          <t>CO</t>
        </is>
      </c>
      <c r="G53" s="2345" t="inlineStr">
        <is>
          <t>Industrial</t>
        </is>
      </c>
      <c r="H53" s="2345" t="inlineStr">
        <is>
          <t>Multi-Tenant Industrial NNN</t>
        </is>
      </c>
      <c r="I53" s="2345" t="n"/>
      <c r="J53" s="2345" t="n">
        <v>159047</v>
      </c>
      <c r="K53" s="2345" t="n">
        <v>2024</v>
      </c>
      <c r="L53" s="2345" t="n"/>
      <c r="M53" s="2345" t="n"/>
      <c r="N53" s="2356" t="n">
        <v>2148251</v>
      </c>
      <c r="O53" s="2345" t="n"/>
      <c r="P53" s="2345" t="n"/>
      <c r="Q53" s="2345" t="n"/>
      <c r="R53" s="2345" t="n"/>
      <c r="S53" s="2345" t="n"/>
      <c r="T53" s="2345" t="n"/>
      <c r="U53" s="2345" t="n"/>
      <c r="V53" s="2345" t="n"/>
      <c r="W53" s="2345" t="n"/>
      <c r="X53" s="2345" t="n"/>
      <c r="Y53" s="2345" t="n"/>
      <c r="Z53" s="2345" t="n"/>
      <c r="AA53" s="2345" t="n"/>
      <c r="AB53" s="2356" t="n">
        <v>2813</v>
      </c>
      <c r="AC53" s="2345" t="n"/>
      <c r="AD53" s="2345" t="n"/>
      <c r="AE53" s="2345" t="n"/>
      <c r="AF53" s="2345" t="n"/>
      <c r="AG53" s="2345" t="n"/>
      <c r="AH53" s="2345" t="n"/>
      <c r="AI53" s="2345" t="n"/>
      <c r="AJ53" s="2356" t="n">
        <v>1176766</v>
      </c>
      <c r="AK53" s="2356" t="n">
        <v>971485</v>
      </c>
      <c r="AL53" s="2345" t="n"/>
      <c r="AM53" s="2345" t="inlineStr">
        <is>
          <t>Multi-tenant NNN; limited expense detail available; approx figures</t>
        </is>
      </c>
    </row>
    <row r="54">
      <c r="A54" s="2345" t="inlineStr">
        <is>
          <t>P026</t>
        </is>
      </c>
      <c r="B54" s="2338" t="n">
        <v>406</v>
      </c>
      <c r="C54" s="2345" t="inlineStr">
        <is>
          <t>R0092667</t>
        </is>
      </c>
      <c r="D54" s="2345" t="inlineStr">
        <is>
          <t>4901 Locust St</t>
        </is>
      </c>
      <c r="E54" s="2345" t="inlineStr">
        <is>
          <t>Commerce City</t>
        </is>
      </c>
      <c r="F54" s="2345" t="inlineStr">
        <is>
          <t>CO</t>
        </is>
      </c>
      <c r="G54" s="2345" t="inlineStr">
        <is>
          <t>Industrial</t>
        </is>
      </c>
      <c r="H54" s="2345" t="inlineStr">
        <is>
          <t>Industrial Warehouse</t>
        </is>
      </c>
      <c r="I54" s="2345" t="n"/>
      <c r="J54" s="2345" t="n">
        <v>29512</v>
      </c>
      <c r="K54" s="2345" t="n">
        <v>2024</v>
      </c>
      <c r="L54" s="2345" t="n"/>
      <c r="M54" s="2345" t="n"/>
      <c r="N54" s="2356" t="n">
        <v>419456</v>
      </c>
      <c r="O54" s="2356" t="n">
        <v>4427</v>
      </c>
      <c r="P54" s="2356" t="n">
        <v>10486</v>
      </c>
      <c r="Q54" s="2345" t="n"/>
      <c r="R54" s="2345" t="n"/>
      <c r="S54" s="2345" t="n"/>
      <c r="T54" s="2345" t="n"/>
      <c r="U54" s="2345" t="n"/>
      <c r="V54" s="2345" t="n"/>
      <c r="W54" s="2345" t="n"/>
      <c r="X54" s="2356" t="n">
        <v>16232</v>
      </c>
      <c r="Y54" s="2356" t="n">
        <v>16232</v>
      </c>
      <c r="Z54" s="2345" t="n"/>
      <c r="AA54" s="2345" t="n"/>
      <c r="AB54" s="2345" t="n"/>
      <c r="AC54" s="2345" t="n"/>
      <c r="AD54" s="2345" t="n"/>
      <c r="AE54" s="2345" t="n"/>
      <c r="AF54" s="2356" t="n">
        <v>7378</v>
      </c>
      <c r="AG54" s="2356" t="n">
        <v>14756</v>
      </c>
      <c r="AH54" s="2356" t="n">
        <v>59181</v>
      </c>
      <c r="AI54" s="2356" t="n">
        <v>97831</v>
      </c>
      <c r="AJ54" s="2356" t="n">
        <v>157012</v>
      </c>
      <c r="AK54" s="2356" t="n">
        <v>262444</v>
      </c>
      <c r="AL54" s="2356" t="n">
        <v>5902</v>
      </c>
      <c r="AM54" s="2345" t="inlineStr">
        <is>
          <t>Newmark stabilized proforma 6/30/2024; cap rate 7.00%; not actual historical</t>
        </is>
      </c>
    </row>
    <row r="55">
      <c r="A55" s="2345" t="inlineStr">
        <is>
          <t>P022</t>
        </is>
      </c>
      <c r="B55" s="2338" t="n">
        <v>210</v>
      </c>
      <c r="C55" s="2345" t="inlineStr">
        <is>
          <t>R0111559</t>
        </is>
      </c>
      <c r="D55" s="2345" t="inlineStr">
        <is>
          <t>3590 N. Himalaya Rd (Bldg 6)</t>
        </is>
      </c>
      <c r="E55" s="2345" t="inlineStr">
        <is>
          <t>Aurora</t>
        </is>
      </c>
      <c r="F55" s="2345" t="inlineStr">
        <is>
          <t>CO</t>
        </is>
      </c>
      <c r="G55" s="2345" t="inlineStr">
        <is>
          <t>Industrial</t>
        </is>
      </c>
      <c r="H55" s="2345" t="inlineStr">
        <is>
          <t>Multi-Tenant Industrial/Flex NNN</t>
        </is>
      </c>
      <c r="I55" s="2345" t="n">
        <v>1998</v>
      </c>
      <c r="J55" s="2345" t="n">
        <v>123603</v>
      </c>
      <c r="K55" s="2345" t="n">
        <v>2021</v>
      </c>
      <c r="L55" s="2345" t="n"/>
      <c r="M55" s="2345" t="n"/>
      <c r="N55" s="2345" t="n"/>
      <c r="O55" s="2356" t="n">
        <v>10376</v>
      </c>
      <c r="P55" s="2356" t="n">
        <v>43384</v>
      </c>
      <c r="Q55" s="2345" t="n"/>
      <c r="R55" s="2345" t="n"/>
      <c r="S55" s="2345" t="n"/>
      <c r="T55" s="2345" t="n"/>
      <c r="U55" s="2345" t="n"/>
      <c r="V55" s="2345" t="n"/>
      <c r="W55" s="2345" t="n"/>
      <c r="X55" s="2345" t="n"/>
      <c r="Y55" s="2345" t="n"/>
      <c r="Z55" s="2345" t="n"/>
      <c r="AA55" s="2345" t="n"/>
      <c r="AB55" s="2345" t="n"/>
      <c r="AC55" s="2356" t="n">
        <v>88626</v>
      </c>
      <c r="AD55" s="2345" t="n"/>
      <c r="AE55" s="2345" t="n"/>
      <c r="AF55" s="2356" t="n">
        <v>37062</v>
      </c>
      <c r="AG55" s="2345" t="n"/>
      <c r="AH55" s="2356" t="n">
        <v>179448</v>
      </c>
      <c r="AI55" s="2356" t="n">
        <v>289126</v>
      </c>
      <c r="AJ55" s="2356" t="n">
        <v>468574</v>
      </c>
      <c r="AK55" s="2345" t="n"/>
      <c r="AL55" s="2345" t="n"/>
      <c r="AM55" s="2345" t="inlineStr">
        <is>
          <t>NNN landlord expenses only; from AXG Whse Expenses PSF.xlsx</t>
        </is>
      </c>
    </row>
    <row r="56">
      <c r="A56" s="2345" t="inlineStr">
        <is>
          <t>P022</t>
        </is>
      </c>
      <c r="B56" s="2338" t="n">
        <v>210</v>
      </c>
      <c r="C56" s="2345" t="inlineStr">
        <is>
          <t>R0111559</t>
        </is>
      </c>
      <c r="D56" s="2345" t="inlineStr">
        <is>
          <t>3590 N. Himalaya Rd (Bldg 6)</t>
        </is>
      </c>
      <c r="E56" s="2345" t="inlineStr">
        <is>
          <t>Aurora</t>
        </is>
      </c>
      <c r="F56" s="2345" t="inlineStr">
        <is>
          <t>CO</t>
        </is>
      </c>
      <c r="G56" s="2345" t="inlineStr">
        <is>
          <t>Industrial</t>
        </is>
      </c>
      <c r="H56" s="2345" t="inlineStr">
        <is>
          <t>Multi-Tenant Industrial/Flex NNN</t>
        </is>
      </c>
      <c r="I56" s="2345" t="n">
        <v>1998</v>
      </c>
      <c r="J56" s="2345" t="n">
        <v>123603</v>
      </c>
      <c r="K56" s="2345" t="n">
        <v>2022</v>
      </c>
      <c r="L56" s="2345" t="n"/>
      <c r="M56" s="2345" t="n"/>
      <c r="N56" s="2345" t="n"/>
      <c r="O56" s="2356" t="n">
        <v>11039</v>
      </c>
      <c r="P56" s="2356" t="n">
        <v>39811</v>
      </c>
      <c r="Q56" s="2345" t="n"/>
      <c r="R56" s="2345" t="n"/>
      <c r="S56" s="2345" t="n"/>
      <c r="T56" s="2345" t="n"/>
      <c r="U56" s="2345" t="n"/>
      <c r="V56" s="2345" t="n"/>
      <c r="W56" s="2345" t="n"/>
      <c r="X56" s="2345" t="n"/>
      <c r="Y56" s="2345" t="n"/>
      <c r="Z56" s="2345" t="n"/>
      <c r="AA56" s="2345" t="n"/>
      <c r="AB56" s="2345" t="n"/>
      <c r="AC56" s="2356" t="n">
        <v>91945</v>
      </c>
      <c r="AD56" s="2345" t="n"/>
      <c r="AE56" s="2345" t="n"/>
      <c r="AF56" s="2356" t="n">
        <v>38461</v>
      </c>
      <c r="AG56" s="2345" t="n"/>
      <c r="AH56" s="2356" t="n">
        <v>181256</v>
      </c>
      <c r="AI56" s="2356" t="n">
        <v>318845</v>
      </c>
      <c r="AJ56" s="2356" t="n">
        <v>500101</v>
      </c>
      <c r="AK56" s="2345" t="n"/>
      <c r="AL56" s="2345" t="n"/>
      <c r="AM56" s="2345" t="inlineStr">
        <is>
          <t>NNN landlord expenses only; from AXG Whse Expenses PSF.xlsx</t>
        </is>
      </c>
    </row>
    <row r="57">
      <c r="A57" s="2345" t="inlineStr">
        <is>
          <t>P024</t>
        </is>
      </c>
      <c r="B57" s="2338" t="n">
        <v>407</v>
      </c>
      <c r="C57" s="2345" t="inlineStr">
        <is>
          <t>R0111560</t>
        </is>
      </c>
      <c r="D57" s="2345" t="inlineStr">
        <is>
          <t>20320 E. 36th Dr (Bldg 7)</t>
        </is>
      </c>
      <c r="E57" s="2345" t="inlineStr">
        <is>
          <t>Aurora</t>
        </is>
      </c>
      <c r="F57" s="2345" t="inlineStr">
        <is>
          <t>CO</t>
        </is>
      </c>
      <c r="G57" s="2345" t="inlineStr">
        <is>
          <t>Industrial</t>
        </is>
      </c>
      <c r="H57" s="2345" t="inlineStr">
        <is>
          <t>Single-Tenant Industrial NNN</t>
        </is>
      </c>
      <c r="I57" s="2345" t="n">
        <v>1998</v>
      </c>
      <c r="J57" s="2345" t="n">
        <v>199962</v>
      </c>
      <c r="K57" s="2345" t="n">
        <v>2019</v>
      </c>
      <c r="L57" s="2345" t="n"/>
      <c r="M57" s="2345" t="n"/>
      <c r="N57" s="2345" t="n"/>
      <c r="O57" s="2356" t="n">
        <v>8457</v>
      </c>
      <c r="P57" s="2356" t="n">
        <v>26194</v>
      </c>
      <c r="Q57" s="2345" t="n"/>
      <c r="R57" s="2345" t="n"/>
      <c r="S57" s="2345" t="n"/>
      <c r="T57" s="2345" t="n"/>
      <c r="U57" s="2345" t="n"/>
      <c r="V57" s="2345" t="n"/>
      <c r="W57" s="2345" t="n"/>
      <c r="X57" s="2345" t="n"/>
      <c r="Y57" s="2345" t="n"/>
      <c r="Z57" s="2345" t="n"/>
      <c r="AA57" s="2345" t="n"/>
      <c r="AB57" s="2345" t="n"/>
      <c r="AC57" s="2356" t="n">
        <v>261694</v>
      </c>
      <c r="AD57" s="2345" t="n"/>
      <c r="AE57" s="2345" t="n"/>
      <c r="AF57" s="2345" t="n"/>
      <c r="AG57" s="2345" t="n"/>
      <c r="AH57" s="2356" t="n">
        <v>296345</v>
      </c>
      <c r="AI57" s="2356" t="n">
        <v>494719</v>
      </c>
      <c r="AJ57" s="2356" t="n">
        <v>791064</v>
      </c>
      <c r="AK57" s="2345" t="n"/>
      <c r="AL57" s="2345" t="n"/>
      <c r="AM57" s="2345" t="inlineStr">
        <is>
          <t>NNN landlord expenses only; from AXG Whse Expenses PSF.xlsx</t>
        </is>
      </c>
    </row>
    <row r="58">
      <c r="A58" s="2345" t="inlineStr">
        <is>
          <t>P024</t>
        </is>
      </c>
      <c r="B58" s="2338" t="n">
        <v>407</v>
      </c>
      <c r="C58" s="2345" t="inlineStr">
        <is>
          <t>R0111560</t>
        </is>
      </c>
      <c r="D58" s="2345" t="inlineStr">
        <is>
          <t>20320 E. 36th Dr (Bldg 7)</t>
        </is>
      </c>
      <c r="E58" s="2345" t="inlineStr">
        <is>
          <t>Aurora</t>
        </is>
      </c>
      <c r="F58" s="2345" t="inlineStr">
        <is>
          <t>CO</t>
        </is>
      </c>
      <c r="G58" s="2345" t="inlineStr">
        <is>
          <t>Industrial</t>
        </is>
      </c>
      <c r="H58" s="2345" t="inlineStr">
        <is>
          <t>Single-Tenant Industrial NNN</t>
        </is>
      </c>
      <c r="I58" s="2345" t="n">
        <v>1998</v>
      </c>
      <c r="J58" s="2345" t="n">
        <v>199962</v>
      </c>
      <c r="K58" s="2345" t="n">
        <v>2020</v>
      </c>
      <c r="L58" s="2345" t="n"/>
      <c r="M58" s="2345" t="n"/>
      <c r="N58" s="2345" t="n"/>
      <c r="O58" s="2356" t="n">
        <v>9678</v>
      </c>
      <c r="P58" s="2356" t="n">
        <v>26625</v>
      </c>
      <c r="Q58" s="2345" t="n"/>
      <c r="R58" s="2345" t="n"/>
      <c r="S58" s="2345" t="n"/>
      <c r="T58" s="2345" t="n"/>
      <c r="U58" s="2345" t="n"/>
      <c r="V58" s="2345" t="n"/>
      <c r="W58" s="2345" t="n"/>
      <c r="X58" s="2345" t="n"/>
      <c r="Y58" s="2345" t="n"/>
      <c r="Z58" s="2345" t="n"/>
      <c r="AA58" s="2345" t="n"/>
      <c r="AB58" s="2345" t="n"/>
      <c r="AC58" s="2356" t="n">
        <v>144817</v>
      </c>
      <c r="AD58" s="2345" t="n"/>
      <c r="AE58" s="2345" t="n"/>
      <c r="AF58" s="2345" t="n"/>
      <c r="AG58" s="2345" t="n"/>
      <c r="AH58" s="2356" t="n">
        <v>181120</v>
      </c>
      <c r="AI58" s="2356" t="n">
        <v>415592</v>
      </c>
      <c r="AJ58" s="2356" t="n">
        <v>596712</v>
      </c>
      <c r="AK58" s="2345" t="n"/>
      <c r="AL58" s="2345" t="n"/>
      <c r="AM58" s="2345" t="inlineStr">
        <is>
          <t>NNN landlord expenses only; from AXG Whse Expenses PSF.xlsx</t>
        </is>
      </c>
    </row>
    <row r="59">
      <c r="A59" s="2345" t="inlineStr">
        <is>
          <t>P025</t>
        </is>
      </c>
      <c r="B59" s="2338" t="n">
        <v>210</v>
      </c>
      <c r="C59" s="2345" t="inlineStr">
        <is>
          <t>R0191099</t>
        </is>
      </c>
      <c r="D59" s="2345" t="inlineStr">
        <is>
          <t>3559 N. Himalaya Rd (Bldg 5)</t>
        </is>
      </c>
      <c r="E59" s="2345" t="inlineStr">
        <is>
          <t>Aurora</t>
        </is>
      </c>
      <c r="F59" s="2345" t="inlineStr">
        <is>
          <t>CO</t>
        </is>
      </c>
      <c r="G59" s="2345" t="inlineStr">
        <is>
          <t>Industrial</t>
        </is>
      </c>
      <c r="H59" s="2345" t="inlineStr">
        <is>
          <t>Multi-Tenant Industrial NNN</t>
        </is>
      </c>
      <c r="I59" s="2345" t="n">
        <v>2017</v>
      </c>
      <c r="J59" s="2345" t="n">
        <v>159047</v>
      </c>
      <c r="K59" s="2345" t="n">
        <v>2021</v>
      </c>
      <c r="L59" s="2345" t="n"/>
      <c r="M59" s="2345" t="n"/>
      <c r="N59" s="2345" t="n"/>
      <c r="O59" s="2356" t="n">
        <v>15209</v>
      </c>
      <c r="P59" s="2356" t="n">
        <v>53747</v>
      </c>
      <c r="Q59" s="2345" t="n"/>
      <c r="R59" s="2345" t="n"/>
      <c r="S59" s="2345" t="n"/>
      <c r="T59" s="2345" t="n"/>
      <c r="U59" s="2345" t="n"/>
      <c r="V59" s="2345" t="n"/>
      <c r="W59" s="2345" t="n"/>
      <c r="X59" s="2345" t="n"/>
      <c r="Y59" s="2345" t="n"/>
      <c r="Z59" s="2345" t="n"/>
      <c r="AA59" s="2345" t="n"/>
      <c r="AB59" s="2345" t="n"/>
      <c r="AC59" s="2356" t="n">
        <v>59915</v>
      </c>
      <c r="AD59" s="2345" t="n"/>
      <c r="AE59" s="2345" t="n"/>
      <c r="AF59" s="2356" t="n">
        <v>46324</v>
      </c>
      <c r="AG59" s="2345" t="n"/>
      <c r="AH59" s="2356" t="n">
        <v>175195</v>
      </c>
      <c r="AI59" s="2356" t="n">
        <v>554960</v>
      </c>
      <c r="AJ59" s="2356" t="n">
        <v>730155</v>
      </c>
      <c r="AK59" s="2345" t="n"/>
      <c r="AL59" s="2345" t="n"/>
      <c r="AM59" s="2345" t="inlineStr">
        <is>
          <t>NNN landlord expenses only; from AXG Whse Expenses PSF.xlsx</t>
        </is>
      </c>
    </row>
    <row r="60">
      <c r="A60" s="2345" t="inlineStr">
        <is>
          <t>P025</t>
        </is>
      </c>
      <c r="B60" s="2338" t="n">
        <v>210</v>
      </c>
      <c r="C60" s="2345" t="inlineStr">
        <is>
          <t>R0191099</t>
        </is>
      </c>
      <c r="D60" s="2345" t="inlineStr">
        <is>
          <t>3559 N. Himalaya Rd (Bldg 5)</t>
        </is>
      </c>
      <c r="E60" s="2345" t="inlineStr">
        <is>
          <t>Aurora</t>
        </is>
      </c>
      <c r="F60" s="2345" t="inlineStr">
        <is>
          <t>CO</t>
        </is>
      </c>
      <c r="G60" s="2345" t="inlineStr">
        <is>
          <t>Industrial</t>
        </is>
      </c>
      <c r="H60" s="2345" t="inlineStr">
        <is>
          <t>Multi-Tenant Industrial NNN</t>
        </is>
      </c>
      <c r="I60" s="2345" t="n">
        <v>2017</v>
      </c>
      <c r="J60" s="2345" t="n">
        <v>159047</v>
      </c>
      <c r="K60" s="2345" t="n">
        <v>2022</v>
      </c>
      <c r="L60" s="2345" t="n"/>
      <c r="M60" s="2345" t="n"/>
      <c r="N60" s="2345" t="n"/>
      <c r="O60" s="2356" t="n">
        <v>16181</v>
      </c>
      <c r="P60" s="2356" t="n">
        <v>49338</v>
      </c>
      <c r="Q60" s="2345" t="n"/>
      <c r="R60" s="2345" t="n"/>
      <c r="S60" s="2345" t="n"/>
      <c r="T60" s="2345" t="n"/>
      <c r="U60" s="2345" t="n"/>
      <c r="V60" s="2345" t="n"/>
      <c r="W60" s="2345" t="n"/>
      <c r="X60" s="2345" t="n"/>
      <c r="Y60" s="2345" t="n"/>
      <c r="Z60" s="2345" t="n"/>
      <c r="AA60" s="2345" t="n"/>
      <c r="AB60" s="2345" t="n"/>
      <c r="AC60" s="2356" t="n">
        <v>53323</v>
      </c>
      <c r="AD60" s="2345" t="n"/>
      <c r="AE60" s="2345" t="n"/>
      <c r="AF60" s="2356" t="n">
        <v>51404</v>
      </c>
      <c r="AG60" s="2345" t="n"/>
      <c r="AH60" s="2356" t="n">
        <v>170246</v>
      </c>
      <c r="AI60" s="2356" t="n">
        <v>468848</v>
      </c>
      <c r="AJ60" s="2356" t="n">
        <v>639094</v>
      </c>
      <c r="AK60" s="2345" t="n"/>
      <c r="AL60" s="2345" t="n"/>
      <c r="AM60" s="2345" t="inlineStr">
        <is>
          <t>NNN landlord expenses only; from AXG Whse Expenses PSF.xlsx</t>
        </is>
      </c>
    </row>
    <row r="61">
      <c r="A61" s="2345" t="inlineStr">
        <is>
          <t>P027</t>
        </is>
      </c>
      <c r="B61" s="2338" t="n">
        <v>407</v>
      </c>
      <c r="C61" s="2345" t="inlineStr">
        <is>
          <t>R0132030</t>
        </is>
      </c>
      <c r="D61" s="2345" t="inlineStr">
        <is>
          <t>Majestic Commercenter (R0132030)</t>
        </is>
      </c>
      <c r="E61" s="2345" t="inlineStr">
        <is>
          <t>Commerce City</t>
        </is>
      </c>
      <c r="F61" s="2345" t="inlineStr">
        <is>
          <t>CO</t>
        </is>
      </c>
      <c r="G61" s="2345" t="inlineStr">
        <is>
          <t>Industrial</t>
        </is>
      </c>
      <c r="H61" s="2345" t="inlineStr">
        <is>
          <t>Warehouse NNN</t>
        </is>
      </c>
      <c r="I61" s="2345" t="n">
        <v>2001</v>
      </c>
      <c r="J61" s="2345" t="n">
        <v>200094</v>
      </c>
      <c r="K61" s="2345" t="n">
        <v>2021</v>
      </c>
      <c r="L61" s="2345" t="n"/>
      <c r="M61" s="2345" t="n"/>
      <c r="N61" s="2345" t="n"/>
      <c r="O61" s="2356" t="n">
        <v>14313</v>
      </c>
      <c r="P61" s="2356" t="n">
        <v>53036</v>
      </c>
      <c r="Q61" s="2345" t="n"/>
      <c r="R61" s="2345" t="n"/>
      <c r="S61" s="2345" t="n"/>
      <c r="T61" s="2345" t="n"/>
      <c r="U61" s="2345" t="n"/>
      <c r="V61" s="2345" t="n"/>
      <c r="W61" s="2345" t="n"/>
      <c r="X61" s="2345" t="n"/>
      <c r="Y61" s="2345" t="n"/>
      <c r="Z61" s="2345" t="n"/>
      <c r="AA61" s="2345" t="n"/>
      <c r="AB61" s="2345" t="n"/>
      <c r="AC61" s="2356" t="n">
        <v>98037</v>
      </c>
      <c r="AD61" s="2345" t="n"/>
      <c r="AE61" s="2345" t="n"/>
      <c r="AF61" s="2356" t="n">
        <v>70815</v>
      </c>
      <c r="AG61" s="2345" t="n"/>
      <c r="AH61" s="2356" t="n">
        <v>236201</v>
      </c>
      <c r="AI61" s="2356" t="n">
        <v>570651</v>
      </c>
      <c r="AJ61" s="2356" t="n">
        <v>806852</v>
      </c>
      <c r="AK61" s="2345" t="n"/>
      <c r="AL61" s="2345" t="n"/>
      <c r="AM61" s="2345" t="inlineStr">
        <is>
          <t>NNN landlord expenses only; from AXG Whse Expenses PSF.xlsx (R0132030)</t>
        </is>
      </c>
    </row>
    <row r="62">
      <c r="A62" s="2345" t="inlineStr">
        <is>
          <t>P027</t>
        </is>
      </c>
      <c r="B62" s="2338" t="n">
        <v>407</v>
      </c>
      <c r="C62" s="2345" t="inlineStr">
        <is>
          <t>R0132030</t>
        </is>
      </c>
      <c r="D62" s="2345" t="inlineStr">
        <is>
          <t>Majestic Commercenter (R0132030)</t>
        </is>
      </c>
      <c r="E62" s="2345" t="inlineStr">
        <is>
          <t>Commerce City</t>
        </is>
      </c>
      <c r="F62" s="2345" t="inlineStr">
        <is>
          <t>CO</t>
        </is>
      </c>
      <c r="G62" s="2345" t="inlineStr">
        <is>
          <t>Industrial</t>
        </is>
      </c>
      <c r="H62" s="2345" t="inlineStr">
        <is>
          <t>Warehouse NNN</t>
        </is>
      </c>
      <c r="I62" s="2345" t="n">
        <v>2001</v>
      </c>
      <c r="J62" s="2345" t="n">
        <v>200094</v>
      </c>
      <c r="K62" s="2345" t="n">
        <v>2022</v>
      </c>
      <c r="L62" s="2345" t="n"/>
      <c r="M62" s="2345" t="n"/>
      <c r="N62" s="2345" t="n"/>
      <c r="O62" s="2356" t="n">
        <v>15228</v>
      </c>
      <c r="P62" s="2356" t="n">
        <v>49506</v>
      </c>
      <c r="Q62" s="2345" t="n"/>
      <c r="R62" s="2345" t="n"/>
      <c r="S62" s="2345" t="n"/>
      <c r="T62" s="2345" t="n"/>
      <c r="U62" s="2345" t="n"/>
      <c r="V62" s="2345" t="n"/>
      <c r="W62" s="2345" t="n"/>
      <c r="X62" s="2345" t="n"/>
      <c r="Y62" s="2345" t="n"/>
      <c r="Z62" s="2345" t="n"/>
      <c r="AA62" s="2345" t="n"/>
      <c r="AB62" s="2345" t="n"/>
      <c r="AC62" s="2356" t="n">
        <v>98037</v>
      </c>
      <c r="AD62" s="2345" t="n"/>
      <c r="AE62" s="2345" t="n"/>
      <c r="AF62" s="2356" t="n">
        <v>70815</v>
      </c>
      <c r="AG62" s="2345" t="n"/>
      <c r="AH62" s="2356" t="n">
        <v>233586</v>
      </c>
      <c r="AI62" s="2356" t="n">
        <v>451706</v>
      </c>
      <c r="AJ62" s="2356" t="n">
        <v>685292</v>
      </c>
      <c r="AK62" s="2345" t="n"/>
      <c r="AL62" s="2345" t="n"/>
      <c r="AM62" s="2345" t="inlineStr">
        <is>
          <t>NNN landlord expenses only; from AXG Whse Expenses PSF.xlsx (R0132030)</t>
        </is>
      </c>
    </row>
    <row r="63">
      <c r="A63" s="2345" t="inlineStr">
        <is>
          <t>P028</t>
        </is>
      </c>
      <c r="B63" s="2338" t="n">
        <v>407</v>
      </c>
      <c r="C63" s="2345" t="inlineStr">
        <is>
          <t>R0084040</t>
        </is>
      </c>
      <c r="D63" s="2345" t="inlineStr">
        <is>
          <t>Majestic Commercenter (R0084040)</t>
        </is>
      </c>
      <c r="E63" s="2345" t="inlineStr">
        <is>
          <t>Commerce City</t>
        </is>
      </c>
      <c r="F63" s="2345" t="inlineStr">
        <is>
          <t>CO</t>
        </is>
      </c>
      <c r="G63" s="2345" t="inlineStr">
        <is>
          <t>Industrial</t>
        </is>
      </c>
      <c r="H63" s="2345" t="inlineStr">
        <is>
          <t>Warehouse NNN</t>
        </is>
      </c>
      <c r="I63" s="2345" t="n">
        <v>1997</v>
      </c>
      <c r="J63" s="2345" t="n">
        <v>177736</v>
      </c>
      <c r="K63" s="2345" t="n">
        <v>2021</v>
      </c>
      <c r="L63" s="2345" t="n"/>
      <c r="M63" s="2345" t="n"/>
      <c r="N63" s="2345" t="n"/>
      <c r="O63" s="2356" t="n">
        <v>13073</v>
      </c>
      <c r="P63" s="2356" t="n">
        <v>55346</v>
      </c>
      <c r="Q63" s="2345" t="n"/>
      <c r="R63" s="2345" t="n"/>
      <c r="S63" s="2345" t="n"/>
      <c r="T63" s="2345" t="n"/>
      <c r="U63" s="2345" t="n"/>
      <c r="V63" s="2345" t="n"/>
      <c r="W63" s="2345" t="n"/>
      <c r="X63" s="2345" t="n"/>
      <c r="Y63" s="2345" t="n"/>
      <c r="Z63" s="2345" t="n"/>
      <c r="AA63" s="2345" t="n"/>
      <c r="AB63" s="2345" t="n"/>
      <c r="AC63" s="2356" t="n">
        <v>98118</v>
      </c>
      <c r="AD63" s="2345" t="n"/>
      <c r="AE63" s="2345" t="n"/>
      <c r="AF63" s="2356" t="n">
        <v>51405</v>
      </c>
      <c r="AG63" s="2345" t="n"/>
      <c r="AH63" s="2356" t="n">
        <v>217942</v>
      </c>
      <c r="AI63" s="2356" t="n">
        <v>483220</v>
      </c>
      <c r="AJ63" s="2356" t="n">
        <v>701162</v>
      </c>
      <c r="AK63" s="2345" t="n"/>
      <c r="AL63" s="2345" t="n"/>
      <c r="AM63" s="2345" t="inlineStr">
        <is>
          <t>NNN landlord expenses only; from AXG Whse Expenses PSF.xlsx (R0084040)</t>
        </is>
      </c>
    </row>
    <row r="64">
      <c r="A64" s="2345" t="inlineStr">
        <is>
          <t>P028</t>
        </is>
      </c>
      <c r="B64" s="2338" t="n">
        <v>407</v>
      </c>
      <c r="C64" s="2345" t="inlineStr">
        <is>
          <t>R0084040</t>
        </is>
      </c>
      <c r="D64" s="2345" t="inlineStr">
        <is>
          <t>Majestic Commercenter (R0084040)</t>
        </is>
      </c>
      <c r="E64" s="2345" t="inlineStr">
        <is>
          <t>Commerce City</t>
        </is>
      </c>
      <c r="F64" s="2345" t="inlineStr">
        <is>
          <t>CO</t>
        </is>
      </c>
      <c r="G64" s="2345" t="inlineStr">
        <is>
          <t>Industrial</t>
        </is>
      </c>
      <c r="H64" s="2345" t="inlineStr">
        <is>
          <t>Warehouse NNN</t>
        </is>
      </c>
      <c r="I64" s="2345" t="n">
        <v>1997</v>
      </c>
      <c r="J64" s="2345" t="n">
        <v>177736</v>
      </c>
      <c r="K64" s="2345" t="n">
        <v>2022</v>
      </c>
      <c r="L64" s="2345" t="n"/>
      <c r="M64" s="2345" t="n"/>
      <c r="N64" s="2345" t="n"/>
      <c r="O64" s="2356" t="n">
        <v>13909</v>
      </c>
      <c r="P64" s="2356" t="n">
        <v>55347</v>
      </c>
      <c r="Q64" s="2345" t="n"/>
      <c r="R64" s="2345" t="n"/>
      <c r="S64" s="2345" t="n"/>
      <c r="T64" s="2345" t="n"/>
      <c r="U64" s="2345" t="n"/>
      <c r="V64" s="2345" t="n"/>
      <c r="W64" s="2345" t="n"/>
      <c r="X64" s="2345" t="n"/>
      <c r="Y64" s="2345" t="n"/>
      <c r="Z64" s="2345" t="n"/>
      <c r="AA64" s="2345" t="n"/>
      <c r="AB64" s="2345" t="n"/>
      <c r="AC64" s="2356" t="n">
        <v>117141</v>
      </c>
      <c r="AD64" s="2345" t="n"/>
      <c r="AE64" s="2345" t="n"/>
      <c r="AF64" s="2356" t="n">
        <v>63264</v>
      </c>
      <c r="AG64" s="2345" t="n"/>
      <c r="AH64" s="2356" t="n">
        <v>249661</v>
      </c>
      <c r="AI64" s="2356" t="n">
        <v>506747</v>
      </c>
      <c r="AJ64" s="2356" t="n">
        <v>756408</v>
      </c>
      <c r="AK64" s="2345" t="n"/>
      <c r="AL64" s="2345" t="n"/>
      <c r="AM64" s="2345" t="inlineStr">
        <is>
          <t>NNN landlord expenses only; from AXG Whse Expenses PSF.xlsx (R0084040)</t>
        </is>
      </c>
    </row>
    <row r="65">
      <c r="A65" s="2345" t="inlineStr">
        <is>
          <t>P029</t>
        </is>
      </c>
      <c r="B65" s="2338" t="n">
        <v>407</v>
      </c>
      <c r="C65" s="2345" t="inlineStr">
        <is>
          <t>R0084041</t>
        </is>
      </c>
      <c r="D65" s="2345" t="inlineStr">
        <is>
          <t>Majestic Commercenter (R0084041)</t>
        </is>
      </c>
      <c r="E65" s="2345" t="inlineStr">
        <is>
          <t>Commerce City</t>
        </is>
      </c>
      <c r="F65" s="2345" t="inlineStr">
        <is>
          <t>CO</t>
        </is>
      </c>
      <c r="G65" s="2345" t="inlineStr">
        <is>
          <t>Industrial</t>
        </is>
      </c>
      <c r="H65" s="2345" t="inlineStr">
        <is>
          <t>Warehouse NNN</t>
        </is>
      </c>
      <c r="I65" s="2345" t="n">
        <v>1997</v>
      </c>
      <c r="J65" s="2345" t="n">
        <v>200371</v>
      </c>
      <c r="K65" s="2345" t="n">
        <v>2021</v>
      </c>
      <c r="L65" s="2345" t="n"/>
      <c r="M65" s="2345" t="n"/>
      <c r="N65" s="2345" t="n"/>
      <c r="O65" s="2356" t="n">
        <v>13750</v>
      </c>
      <c r="P65" s="2356" t="n">
        <v>32155</v>
      </c>
      <c r="Q65" s="2345" t="n"/>
      <c r="R65" s="2345" t="n"/>
      <c r="S65" s="2345" t="n"/>
      <c r="T65" s="2345" t="n"/>
      <c r="U65" s="2345" t="n"/>
      <c r="V65" s="2345" t="n"/>
      <c r="W65" s="2345" t="n"/>
      <c r="X65" s="2345" t="n"/>
      <c r="Y65" s="2345" t="n"/>
      <c r="Z65" s="2345" t="n"/>
      <c r="AA65" s="2345" t="n"/>
      <c r="AB65" s="2345" t="n"/>
      <c r="AC65" s="2356" t="n">
        <v>117597</v>
      </c>
      <c r="AD65" s="2345" t="n"/>
      <c r="AE65" s="2345" t="n"/>
      <c r="AF65" s="2345" t="n"/>
      <c r="AG65" s="2345" t="n"/>
      <c r="AH65" s="2356" t="n">
        <v>163502</v>
      </c>
      <c r="AI65" s="2356" t="n">
        <v>499309</v>
      </c>
      <c r="AJ65" s="2356" t="n">
        <v>662811</v>
      </c>
      <c r="AK65" s="2345" t="n"/>
      <c r="AL65" s="2345" t="n"/>
      <c r="AM65" s="2345" t="inlineStr">
        <is>
          <t>NNN landlord expenses only; from AXG Whse Expenses PSF.xlsx (R0084041)</t>
        </is>
      </c>
    </row>
    <row r="66">
      <c r="A66" s="2345" t="inlineStr">
        <is>
          <t>P029</t>
        </is>
      </c>
      <c r="B66" s="2338" t="n">
        <v>407</v>
      </c>
      <c r="C66" s="2345" t="inlineStr">
        <is>
          <t>R0084041</t>
        </is>
      </c>
      <c r="D66" s="2345" t="inlineStr">
        <is>
          <t>Majestic Commercenter (R0084041)</t>
        </is>
      </c>
      <c r="E66" s="2345" t="inlineStr">
        <is>
          <t>Commerce City</t>
        </is>
      </c>
      <c r="F66" s="2345" t="inlineStr">
        <is>
          <t>CO</t>
        </is>
      </c>
      <c r="G66" s="2345" t="inlineStr">
        <is>
          <t>Industrial</t>
        </is>
      </c>
      <c r="H66" s="2345" t="inlineStr">
        <is>
          <t>Warehouse NNN</t>
        </is>
      </c>
      <c r="I66" s="2345" t="n">
        <v>1997</v>
      </c>
      <c r="J66" s="2345" t="n">
        <v>200371</v>
      </c>
      <c r="K66" s="2345" t="n">
        <v>2022</v>
      </c>
      <c r="L66" s="2345" t="n"/>
      <c r="M66" s="2345" t="n"/>
      <c r="N66" s="2345" t="n"/>
      <c r="O66" s="2356" t="n">
        <v>14629</v>
      </c>
      <c r="P66" s="2356" t="n">
        <v>29974</v>
      </c>
      <c r="Q66" s="2345" t="n"/>
      <c r="R66" s="2345" t="n"/>
      <c r="S66" s="2345" t="n"/>
      <c r="T66" s="2345" t="n"/>
      <c r="U66" s="2345" t="n"/>
      <c r="V66" s="2345" t="n"/>
      <c r="W66" s="2345" t="n"/>
      <c r="X66" s="2345" t="n"/>
      <c r="Y66" s="2345" t="n"/>
      <c r="Z66" s="2345" t="n"/>
      <c r="AA66" s="2345" t="n"/>
      <c r="AB66" s="2345" t="n"/>
      <c r="AC66" s="2356" t="n">
        <v>103927</v>
      </c>
      <c r="AD66" s="2345" t="n"/>
      <c r="AE66" s="2345" t="n"/>
      <c r="AF66" s="2345" t="n"/>
      <c r="AG66" s="2345" t="n"/>
      <c r="AH66" s="2356" t="n">
        <v>148530</v>
      </c>
      <c r="AI66" s="2356" t="n">
        <v>518816</v>
      </c>
      <c r="AJ66" s="2356" t="n">
        <v>667346</v>
      </c>
      <c r="AK66" s="2345" t="n"/>
      <c r="AL66" s="2345" t="n"/>
      <c r="AM66" s="2345" t="inlineStr">
        <is>
          <t>NNN landlord expenses only; from AXG Whse Expenses PSF.xlsx (R0084041)</t>
        </is>
      </c>
    </row>
    <row r="67">
      <c r="A67" s="2345" t="inlineStr">
        <is>
          <t>P030</t>
        </is>
      </c>
      <c r="B67" s="2338" t="n">
        <v>584</v>
      </c>
      <c r="C67" s="2345" t="inlineStr">
        <is>
          <t>R0217015</t>
        </is>
      </c>
      <c r="D67" s="2345" t="inlineStr">
        <is>
          <t>Majestic Commercenter (R0217015)</t>
        </is>
      </c>
      <c r="E67" s="2345" t="inlineStr">
        <is>
          <t>Commerce City</t>
        </is>
      </c>
      <c r="F67" s="2345" t="inlineStr">
        <is>
          <t>CO</t>
        </is>
      </c>
      <c r="G67" s="2345" t="inlineStr">
        <is>
          <t>Industrial</t>
        </is>
      </c>
      <c r="H67" s="2345" t="inlineStr">
        <is>
          <t>Warehouse NNN</t>
        </is>
      </c>
      <c r="I67" s="2345" t="n">
        <v>2021</v>
      </c>
      <c r="J67" s="2345" t="n">
        <v>548510</v>
      </c>
      <c r="K67" s="2345" t="n">
        <v>2022</v>
      </c>
      <c r="L67" s="2345" t="n"/>
      <c r="M67" s="2345" t="n"/>
      <c r="N67" s="2345" t="n"/>
      <c r="O67" s="2356" t="n">
        <v>64009</v>
      </c>
      <c r="P67" s="2356" t="n">
        <v>58266</v>
      </c>
      <c r="Q67" s="2345" t="n"/>
      <c r="R67" s="2345" t="n"/>
      <c r="S67" s="2345" t="n"/>
      <c r="T67" s="2345" t="n"/>
      <c r="U67" s="2345" t="n"/>
      <c r="V67" s="2345" t="n"/>
      <c r="W67" s="2345" t="n"/>
      <c r="X67" s="2345" t="n"/>
      <c r="Y67" s="2345" t="n"/>
      <c r="Z67" s="2345" t="n"/>
      <c r="AA67" s="2345" t="n"/>
      <c r="AB67" s="2345" t="n"/>
      <c r="AC67" s="2356" t="n">
        <v>96936</v>
      </c>
      <c r="AD67" s="2345" t="n"/>
      <c r="AE67" s="2345" t="n"/>
      <c r="AF67" s="2356" t="n">
        <v>20844</v>
      </c>
      <c r="AG67" s="2345" t="n"/>
      <c r="AH67" s="2356" t="n">
        <v>240055</v>
      </c>
      <c r="AI67" s="2356" t="n">
        <v>1245681</v>
      </c>
      <c r="AJ67" s="2356" t="n">
        <v>1485736</v>
      </c>
      <c r="AK67" s="2345" t="n"/>
      <c r="AL67" s="2345" t="n"/>
      <c r="AM67" s="2345" t="inlineStr">
        <is>
          <t>NNN landlord expenses only; from AXG Whse Expenses PSF.xlsx (R0217015)</t>
        </is>
      </c>
    </row>
    <row r="68">
      <c r="A68" s="2345" t="inlineStr">
        <is>
          <t>P031</t>
        </is>
      </c>
      <c r="B68" s="2338" t="n">
        <v>407</v>
      </c>
      <c r="C68" s="2345" t="inlineStr">
        <is>
          <t>R0111562</t>
        </is>
      </c>
      <c r="D68" s="2345" t="inlineStr">
        <is>
          <t>Majestic Commercenter (R0111562)</t>
        </is>
      </c>
      <c r="E68" s="2345" t="inlineStr">
        <is>
          <t>Commerce City</t>
        </is>
      </c>
      <c r="F68" s="2345" t="inlineStr">
        <is>
          <t>CO</t>
        </is>
      </c>
      <c r="G68" s="2345" t="inlineStr">
        <is>
          <t>Industrial</t>
        </is>
      </c>
      <c r="H68" s="2345" t="inlineStr">
        <is>
          <t>Warehouse NNN</t>
        </is>
      </c>
      <c r="I68" s="2345" t="n">
        <v>2000</v>
      </c>
      <c r="J68" s="2345" t="n">
        <v>149175</v>
      </c>
      <c r="K68" s="2345" t="n">
        <v>2019</v>
      </c>
      <c r="L68" s="2345" t="n"/>
      <c r="M68" s="2345" t="n"/>
      <c r="N68" s="2345" t="n"/>
      <c r="O68" s="2356" t="n">
        <v>6519</v>
      </c>
      <c r="P68" s="2356" t="n">
        <v>22700</v>
      </c>
      <c r="Q68" s="2345" t="n"/>
      <c r="R68" s="2345" t="n"/>
      <c r="S68" s="2345" t="n"/>
      <c r="T68" s="2345" t="n"/>
      <c r="U68" s="2345" t="n"/>
      <c r="V68" s="2345" t="n"/>
      <c r="W68" s="2345" t="n"/>
      <c r="X68" s="2345" t="n"/>
      <c r="Y68" s="2345" t="n"/>
      <c r="Z68" s="2345" t="n"/>
      <c r="AA68" s="2345" t="n"/>
      <c r="AB68" s="2345" t="n"/>
      <c r="AC68" s="2356" t="n">
        <v>101769</v>
      </c>
      <c r="AD68" s="2345" t="n"/>
      <c r="AE68" s="2345" t="n"/>
      <c r="AF68" s="2345" t="n"/>
      <c r="AG68" s="2345" t="n"/>
      <c r="AH68" s="2356" t="n">
        <v>130988</v>
      </c>
      <c r="AI68" s="2356" t="n">
        <v>281972</v>
      </c>
      <c r="AJ68" s="2356" t="n">
        <v>412960</v>
      </c>
      <c r="AK68" s="2345" t="n"/>
      <c r="AL68" s="2345" t="n"/>
      <c r="AM68" s="2345" t="inlineStr">
        <is>
          <t>NNN landlord expenses only; from AXG Whse Expenses PSF.xlsx (R0111562)</t>
        </is>
      </c>
    </row>
    <row r="69">
      <c r="A69" s="2345" t="inlineStr">
        <is>
          <t>P031</t>
        </is>
      </c>
      <c r="B69" s="2338" t="n">
        <v>407</v>
      </c>
      <c r="C69" s="2345" t="inlineStr">
        <is>
          <t>R0111562</t>
        </is>
      </c>
      <c r="D69" s="2345" t="inlineStr">
        <is>
          <t>Majestic Commercenter (R0111562)</t>
        </is>
      </c>
      <c r="E69" s="2345" t="inlineStr">
        <is>
          <t>Commerce City</t>
        </is>
      </c>
      <c r="F69" s="2345" t="inlineStr">
        <is>
          <t>CO</t>
        </is>
      </c>
      <c r="G69" s="2345" t="inlineStr">
        <is>
          <t>Industrial</t>
        </is>
      </c>
      <c r="H69" s="2345" t="inlineStr">
        <is>
          <t>Warehouse NNN</t>
        </is>
      </c>
      <c r="I69" s="2345" t="n">
        <v>2000</v>
      </c>
      <c r="J69" s="2345" t="n">
        <v>149175</v>
      </c>
      <c r="K69" s="2345" t="n">
        <v>2020</v>
      </c>
      <c r="L69" s="2345" t="n"/>
      <c r="M69" s="2345" t="n"/>
      <c r="N69" s="2345" t="n"/>
      <c r="O69" s="2356" t="n">
        <v>7450</v>
      </c>
      <c r="P69" s="2356" t="n">
        <v>3942</v>
      </c>
      <c r="Q69" s="2345" t="n"/>
      <c r="R69" s="2345" t="n"/>
      <c r="S69" s="2345" t="n"/>
      <c r="T69" s="2345" t="n"/>
      <c r="U69" s="2345" t="n"/>
      <c r="V69" s="2345" t="n"/>
      <c r="W69" s="2345" t="n"/>
      <c r="X69" s="2345" t="n"/>
      <c r="Y69" s="2345" t="n"/>
      <c r="Z69" s="2345" t="n"/>
      <c r="AA69" s="2345" t="n"/>
      <c r="AB69" s="2345" t="n"/>
      <c r="AC69" s="2356" t="n">
        <v>23921</v>
      </c>
      <c r="AD69" s="2345" t="n"/>
      <c r="AE69" s="2345" t="n"/>
      <c r="AF69" s="2356" t="n">
        <v>165141</v>
      </c>
      <c r="AG69" s="2345" t="n"/>
      <c r="AH69" s="2356" t="n">
        <v>200454</v>
      </c>
      <c r="AI69" s="2356" t="n">
        <v>282989</v>
      </c>
      <c r="AJ69" s="2356" t="n">
        <v>483443</v>
      </c>
      <c r="AK69" s="2345" t="n"/>
      <c r="AL69" s="2345" t="n"/>
      <c r="AM69" s="2345" t="inlineStr">
        <is>
          <t>NNN landlord expenses only; from AXG Whse Expenses PSF.xlsx (R0111562)</t>
        </is>
      </c>
    </row>
    <row r="70">
      <c r="A70" s="2345" t="inlineStr">
        <is>
          <t>P032</t>
        </is>
      </c>
      <c r="B70" s="2338" t="n">
        <v>407</v>
      </c>
      <c r="C70" s="2345" t="inlineStr">
        <is>
          <t>R0118875</t>
        </is>
      </c>
      <c r="D70" s="2345" t="inlineStr">
        <is>
          <t>Majestic Commercenter (R0118875)</t>
        </is>
      </c>
      <c r="E70" s="2345" t="inlineStr">
        <is>
          <t>Commerce City</t>
        </is>
      </c>
      <c r="F70" s="2345" t="inlineStr">
        <is>
          <t>CO</t>
        </is>
      </c>
      <c r="G70" s="2345" t="inlineStr">
        <is>
          <t>Industrial</t>
        </is>
      </c>
      <c r="H70" s="2345" t="inlineStr">
        <is>
          <t>Warehouse NNN</t>
        </is>
      </c>
      <c r="I70" s="2345" t="n">
        <v>1999</v>
      </c>
      <c r="J70" s="2345" t="n">
        <v>279640</v>
      </c>
      <c r="K70" s="2345" t="n">
        <v>2021</v>
      </c>
      <c r="L70" s="2345" t="n"/>
      <c r="M70" s="2345" t="n"/>
      <c r="N70" s="2345" t="n"/>
      <c r="O70" s="2356" t="n">
        <v>24629</v>
      </c>
      <c r="P70" s="2356" t="n">
        <v>62870</v>
      </c>
      <c r="Q70" s="2345" t="n"/>
      <c r="R70" s="2345" t="n"/>
      <c r="S70" s="2345" t="n"/>
      <c r="T70" s="2345" t="n"/>
      <c r="U70" s="2345" t="n"/>
      <c r="V70" s="2345" t="n"/>
      <c r="W70" s="2345" t="n"/>
      <c r="X70" s="2345" t="n"/>
      <c r="Y70" s="2345" t="n"/>
      <c r="Z70" s="2345" t="n"/>
      <c r="AA70" s="2345" t="n"/>
      <c r="AB70" s="2345" t="n"/>
      <c r="AC70" s="2356" t="n">
        <v>100363</v>
      </c>
      <c r="AD70" s="2345" t="n"/>
      <c r="AE70" s="2345" t="n"/>
      <c r="AF70" s="2345" t="n"/>
      <c r="AG70" s="2345" t="n"/>
      <c r="AH70" s="2356" t="n">
        <v>187862</v>
      </c>
      <c r="AI70" s="2356" t="n">
        <v>640886</v>
      </c>
      <c r="AJ70" s="2356" t="n">
        <v>828748</v>
      </c>
      <c r="AK70" s="2345" t="n"/>
      <c r="AL70" s="2345" t="n"/>
      <c r="AM70" s="2345" t="inlineStr">
        <is>
          <t>NNN landlord expenses only; from AXG Whse Expenses PSF.xlsx (R0118875)</t>
        </is>
      </c>
    </row>
    <row r="71">
      <c r="A71" s="2345" t="inlineStr">
        <is>
          <t>P032</t>
        </is>
      </c>
      <c r="B71" s="2338" t="n">
        <v>407</v>
      </c>
      <c r="C71" s="2345" t="inlineStr">
        <is>
          <t>R0118875</t>
        </is>
      </c>
      <c r="D71" s="2345" t="inlineStr">
        <is>
          <t>Majestic Commercenter (R0118875)</t>
        </is>
      </c>
      <c r="E71" s="2345" t="inlineStr">
        <is>
          <t>Commerce City</t>
        </is>
      </c>
      <c r="F71" s="2345" t="inlineStr">
        <is>
          <t>CO</t>
        </is>
      </c>
      <c r="G71" s="2345" t="inlineStr">
        <is>
          <t>Industrial</t>
        </is>
      </c>
      <c r="H71" s="2345" t="inlineStr">
        <is>
          <t>Warehouse NNN</t>
        </is>
      </c>
      <c r="I71" s="2345" t="n">
        <v>1999</v>
      </c>
      <c r="J71" s="2345" t="n">
        <v>279640</v>
      </c>
      <c r="K71" s="2345" t="n">
        <v>2022</v>
      </c>
      <c r="L71" s="2345" t="n"/>
      <c r="M71" s="2345" t="n"/>
      <c r="N71" s="2345" t="n"/>
      <c r="O71" s="2356" t="n">
        <v>26204</v>
      </c>
      <c r="P71" s="2356" t="n">
        <v>63433</v>
      </c>
      <c r="Q71" s="2345" t="n"/>
      <c r="R71" s="2345" t="n"/>
      <c r="S71" s="2345" t="n"/>
      <c r="T71" s="2345" t="n"/>
      <c r="U71" s="2345" t="n"/>
      <c r="V71" s="2345" t="n"/>
      <c r="W71" s="2345" t="n"/>
      <c r="X71" s="2345" t="n"/>
      <c r="Y71" s="2345" t="n"/>
      <c r="Z71" s="2345" t="n"/>
      <c r="AA71" s="2345" t="n"/>
      <c r="AB71" s="2345" t="n"/>
      <c r="AC71" s="2356" t="n">
        <v>18197</v>
      </c>
      <c r="AD71" s="2345" t="n"/>
      <c r="AE71" s="2345" t="n"/>
      <c r="AF71" s="2345" t="n"/>
      <c r="AG71" s="2345" t="n"/>
      <c r="AH71" s="2356" t="n">
        <v>107834</v>
      </c>
      <c r="AI71" s="2356" t="n">
        <v>657060</v>
      </c>
      <c r="AJ71" s="2356" t="n">
        <v>764894</v>
      </c>
      <c r="AK71" s="2345" t="n"/>
      <c r="AL71" s="2345" t="n"/>
      <c r="AM71" s="2345" t="inlineStr">
        <is>
          <t>NNN landlord expenses only; from AXG Whse Expenses PSF.xlsx (R0118875)</t>
        </is>
      </c>
    </row>
    <row r="72">
      <c r="A72" s="2345" t="inlineStr">
        <is>
          <t>P033</t>
        </is>
      </c>
      <c r="B72" s="2338" t="n">
        <v>407</v>
      </c>
      <c r="C72" s="2345" t="inlineStr">
        <is>
          <t>R0132031</t>
        </is>
      </c>
      <c r="D72" s="2345" t="inlineStr">
        <is>
          <t>Majestic Commercenter (R0132031)</t>
        </is>
      </c>
      <c r="E72" s="2345" t="inlineStr">
        <is>
          <t>Commerce City</t>
        </is>
      </c>
      <c r="F72" s="2345" t="inlineStr">
        <is>
          <t>CO</t>
        </is>
      </c>
      <c r="G72" s="2345" t="inlineStr">
        <is>
          <t>Industrial</t>
        </is>
      </c>
      <c r="H72" s="2345" t="inlineStr">
        <is>
          <t>Warehouse NNN</t>
        </is>
      </c>
      <c r="I72" s="2345" t="n">
        <v>2002</v>
      </c>
      <c r="J72" s="2345" t="n">
        <v>280098</v>
      </c>
      <c r="K72" s="2345" t="n">
        <v>2021</v>
      </c>
      <c r="L72" s="2345" t="n"/>
      <c r="M72" s="2345" t="n"/>
      <c r="N72" s="2345" t="n"/>
      <c r="O72" s="2356" t="n">
        <v>19984</v>
      </c>
      <c r="P72" s="2356" t="n">
        <v>64701</v>
      </c>
      <c r="Q72" s="2345" t="n"/>
      <c r="R72" s="2345" t="n"/>
      <c r="S72" s="2345" t="n"/>
      <c r="T72" s="2345" t="n"/>
      <c r="U72" s="2345" t="n"/>
      <c r="V72" s="2345" t="n"/>
      <c r="W72" s="2345" t="n"/>
      <c r="X72" s="2345" t="n"/>
      <c r="Y72" s="2345" t="n"/>
      <c r="Z72" s="2345" t="n"/>
      <c r="AA72" s="2345" t="n"/>
      <c r="AB72" s="2345" t="n"/>
      <c r="AC72" s="2356" t="n">
        <v>73763</v>
      </c>
      <c r="AD72" s="2345" t="n"/>
      <c r="AE72" s="2345" t="n"/>
      <c r="AF72" s="2356" t="n">
        <v>85895</v>
      </c>
      <c r="AG72" s="2345" t="n"/>
      <c r="AH72" s="2356" t="n">
        <v>244343</v>
      </c>
      <c r="AI72" s="2356" t="n">
        <v>639063</v>
      </c>
      <c r="AJ72" s="2356" t="n">
        <v>883406</v>
      </c>
      <c r="AK72" s="2345" t="n"/>
      <c r="AL72" s="2345" t="n"/>
      <c r="AM72" s="2345" t="inlineStr">
        <is>
          <t>NNN landlord expenses only; from AXG Whse Expenses PSF.xlsx (R0132031)</t>
        </is>
      </c>
    </row>
    <row r="73">
      <c r="A73" s="2345" t="inlineStr">
        <is>
          <t>P033</t>
        </is>
      </c>
      <c r="B73" s="2338" t="n">
        <v>407</v>
      </c>
      <c r="C73" s="2345" t="inlineStr">
        <is>
          <t>R0132031</t>
        </is>
      </c>
      <c r="D73" s="2345" t="inlineStr">
        <is>
          <t>Majestic Commercenter (R0132031)</t>
        </is>
      </c>
      <c r="E73" s="2345" t="inlineStr">
        <is>
          <t>Commerce City</t>
        </is>
      </c>
      <c r="F73" s="2345" t="inlineStr">
        <is>
          <t>CO</t>
        </is>
      </c>
      <c r="G73" s="2345" t="inlineStr">
        <is>
          <t>Industrial</t>
        </is>
      </c>
      <c r="H73" s="2345" t="inlineStr">
        <is>
          <t>Warehouse NNN</t>
        </is>
      </c>
      <c r="I73" s="2345" t="n">
        <v>2002</v>
      </c>
      <c r="J73" s="2345" t="n">
        <v>280098</v>
      </c>
      <c r="K73" s="2345" t="n">
        <v>2022</v>
      </c>
      <c r="L73" s="2345" t="n"/>
      <c r="M73" s="2345" t="n"/>
      <c r="N73" s="2345" t="n"/>
      <c r="O73" s="2356" t="n">
        <v>21261</v>
      </c>
      <c r="P73" s="2356" t="n">
        <v>59067</v>
      </c>
      <c r="Q73" s="2345" t="n"/>
      <c r="R73" s="2345" t="n"/>
      <c r="S73" s="2345" t="n"/>
      <c r="T73" s="2345" t="n"/>
      <c r="U73" s="2345" t="n"/>
      <c r="V73" s="2345" t="n"/>
      <c r="W73" s="2345" t="n"/>
      <c r="X73" s="2345" t="n"/>
      <c r="Y73" s="2345" t="n"/>
      <c r="Z73" s="2345" t="n"/>
      <c r="AA73" s="2345" t="n"/>
      <c r="AB73" s="2345" t="n"/>
      <c r="AC73" s="2356" t="n">
        <v>120936</v>
      </c>
      <c r="AD73" s="2345" t="n"/>
      <c r="AE73" s="2345" t="n"/>
      <c r="AF73" s="2356" t="n">
        <v>94786</v>
      </c>
      <c r="AG73" s="2345" t="n"/>
      <c r="AH73" s="2356" t="n">
        <v>296050</v>
      </c>
      <c r="AI73" s="2356" t="n">
        <v>669090</v>
      </c>
      <c r="AJ73" s="2356" t="n">
        <v>965140</v>
      </c>
      <c r="AK73" s="2345" t="n"/>
      <c r="AL73" s="2345" t="n"/>
      <c r="AM73" s="2345" t="inlineStr">
        <is>
          <t>NNN landlord expenses only; from AXG Whse Expenses PSF.xlsx (R0132031)</t>
        </is>
      </c>
    </row>
    <row r="74">
      <c r="A74" s="2345" t="inlineStr">
        <is>
          <t>P034</t>
        </is>
      </c>
      <c r="B74" s="2338" t="n">
        <v>407</v>
      </c>
      <c r="C74" s="2345" t="inlineStr">
        <is>
          <t>R0172865</t>
        </is>
      </c>
      <c r="D74" s="2345" t="inlineStr">
        <is>
          <t>Majestic Commercenter (R0172865)</t>
        </is>
      </c>
      <c r="E74" s="2345" t="inlineStr">
        <is>
          <t>Commerce City</t>
        </is>
      </c>
      <c r="F74" s="2345" t="inlineStr">
        <is>
          <t>CO</t>
        </is>
      </c>
      <c r="G74" s="2345" t="inlineStr">
        <is>
          <t>Industrial</t>
        </is>
      </c>
      <c r="H74" s="2345" t="inlineStr">
        <is>
          <t>Warehouse NNN</t>
        </is>
      </c>
      <c r="I74" s="2345" t="n">
        <v>2008</v>
      </c>
      <c r="J74" s="2345" t="n">
        <v>215461</v>
      </c>
      <c r="K74" s="2345" t="n">
        <v>2021</v>
      </c>
      <c r="L74" s="2345" t="n"/>
      <c r="M74" s="2345" t="n"/>
      <c r="N74" s="2345" t="n"/>
      <c r="O74" s="2356" t="n">
        <v>17428</v>
      </c>
      <c r="P74" s="2356" t="n">
        <v>65798</v>
      </c>
      <c r="Q74" s="2345" t="n"/>
      <c r="R74" s="2345" t="n"/>
      <c r="S74" s="2345" t="n"/>
      <c r="T74" s="2345" t="n"/>
      <c r="U74" s="2345" t="n"/>
      <c r="V74" s="2345" t="n"/>
      <c r="W74" s="2345" t="n"/>
      <c r="X74" s="2345" t="n"/>
      <c r="Y74" s="2345" t="n"/>
      <c r="Z74" s="2345" t="n"/>
      <c r="AA74" s="2345" t="n"/>
      <c r="AB74" s="2345" t="n"/>
      <c r="AC74" s="2356" t="n">
        <v>100975</v>
      </c>
      <c r="AD74" s="2345" t="n"/>
      <c r="AE74" s="2345" t="n"/>
      <c r="AF74" s="2356" t="n">
        <v>73139</v>
      </c>
      <c r="AG74" s="2345" t="n"/>
      <c r="AH74" s="2356" t="n">
        <v>257340</v>
      </c>
      <c r="AI74" s="2356" t="n">
        <v>614041</v>
      </c>
      <c r="AJ74" s="2356" t="n">
        <v>871381</v>
      </c>
      <c r="AK74" s="2345" t="n"/>
      <c r="AL74" s="2345" t="n"/>
      <c r="AM74" s="2345" t="inlineStr">
        <is>
          <t>NNN landlord expenses only; from AXG Whse Expenses PSF.xlsx (R0172865)</t>
        </is>
      </c>
    </row>
    <row r="75">
      <c r="A75" s="2345" t="inlineStr">
        <is>
          <t>P034</t>
        </is>
      </c>
      <c r="B75" s="2338" t="n">
        <v>407</v>
      </c>
      <c r="C75" s="2345" t="inlineStr">
        <is>
          <t>R0172865</t>
        </is>
      </c>
      <c r="D75" s="2345" t="inlineStr">
        <is>
          <t>Majestic Commercenter (R0172865)</t>
        </is>
      </c>
      <c r="E75" s="2345" t="inlineStr">
        <is>
          <t>Commerce City</t>
        </is>
      </c>
      <c r="F75" s="2345" t="inlineStr">
        <is>
          <t>CO</t>
        </is>
      </c>
      <c r="G75" s="2345" t="inlineStr">
        <is>
          <t>Industrial</t>
        </is>
      </c>
      <c r="H75" s="2345" t="inlineStr">
        <is>
          <t>Warehouse NNN</t>
        </is>
      </c>
      <c r="I75" s="2345" t="n">
        <v>2008</v>
      </c>
      <c r="J75" s="2345" t="n">
        <v>215461</v>
      </c>
      <c r="K75" s="2345" t="n">
        <v>2022</v>
      </c>
      <c r="L75" s="2345" t="n"/>
      <c r="M75" s="2345" t="n"/>
      <c r="N75" s="2345" t="n"/>
      <c r="O75" s="2356" t="n">
        <v>18350</v>
      </c>
      <c r="P75" s="2356" t="n">
        <v>62443</v>
      </c>
      <c r="Q75" s="2345" t="n"/>
      <c r="R75" s="2345" t="n"/>
      <c r="S75" s="2345" t="n"/>
      <c r="T75" s="2345" t="n"/>
      <c r="U75" s="2345" t="n"/>
      <c r="V75" s="2345" t="n"/>
      <c r="W75" s="2345" t="n"/>
      <c r="X75" s="2345" t="n"/>
      <c r="Y75" s="2345" t="n"/>
      <c r="Z75" s="2345" t="n"/>
      <c r="AA75" s="2345" t="n"/>
      <c r="AB75" s="2345" t="n"/>
      <c r="AC75" s="2356" t="n">
        <v>73459</v>
      </c>
      <c r="AD75" s="2345" t="n"/>
      <c r="AE75" s="2345" t="n"/>
      <c r="AF75" s="2356" t="n">
        <v>74975</v>
      </c>
      <c r="AG75" s="2345" t="n"/>
      <c r="AH75" s="2356" t="n">
        <v>229227</v>
      </c>
      <c r="AI75" s="2356" t="n">
        <v>590782</v>
      </c>
      <c r="AJ75" s="2356" t="n">
        <v>820009</v>
      </c>
      <c r="AK75" s="2345" t="n"/>
      <c r="AL75" s="2345" t="n"/>
      <c r="AM75" s="2345" t="inlineStr">
        <is>
          <t>NNN landlord expenses only; from AXG Whse Expenses PSF.xlsx (R0172865)</t>
        </is>
      </c>
    </row>
    <row r="76">
      <c r="A76" s="2345" t="inlineStr">
        <is>
          <t>P035</t>
        </is>
      </c>
      <c r="B76" s="2338" t="n">
        <v>407</v>
      </c>
      <c r="C76" s="2345" t="inlineStr">
        <is>
          <t>R0172867</t>
        </is>
      </c>
      <c r="D76" s="2345" t="inlineStr">
        <is>
          <t>Majestic Commercenter (R0172867)</t>
        </is>
      </c>
      <c r="E76" s="2345" t="inlineStr">
        <is>
          <t>Commerce City</t>
        </is>
      </c>
      <c r="F76" s="2345" t="inlineStr">
        <is>
          <t>CO</t>
        </is>
      </c>
      <c r="G76" s="2345" t="inlineStr">
        <is>
          <t>Industrial</t>
        </is>
      </c>
      <c r="H76" s="2345" t="inlineStr">
        <is>
          <t>Warehouse NNN</t>
        </is>
      </c>
      <c r="I76" s="2345" t="n">
        <v>2007</v>
      </c>
      <c r="J76" s="2345" t="n">
        <v>215560</v>
      </c>
      <c r="K76" s="2345" t="n">
        <v>2021</v>
      </c>
      <c r="L76" s="2345" t="n"/>
      <c r="M76" s="2345" t="n"/>
      <c r="N76" s="2345" t="n"/>
      <c r="O76" s="2356" t="n">
        <v>21017</v>
      </c>
      <c r="P76" s="2356" t="n">
        <v>52362</v>
      </c>
      <c r="Q76" s="2345" t="n"/>
      <c r="R76" s="2345" t="n"/>
      <c r="S76" s="2345" t="n"/>
      <c r="T76" s="2345" t="n"/>
      <c r="U76" s="2345" t="n"/>
      <c r="V76" s="2345" t="n"/>
      <c r="W76" s="2345" t="n"/>
      <c r="X76" s="2345" t="n"/>
      <c r="Y76" s="2345" t="n"/>
      <c r="Z76" s="2345" t="n"/>
      <c r="AA76" s="2345" t="n"/>
      <c r="AB76" s="2345" t="n"/>
      <c r="AC76" s="2356" t="n">
        <v>64218</v>
      </c>
      <c r="AD76" s="2345" t="n"/>
      <c r="AE76" s="2345" t="n"/>
      <c r="AF76" s="2356" t="n">
        <v>67129</v>
      </c>
      <c r="AG76" s="2345" t="n"/>
      <c r="AH76" s="2356" t="n">
        <v>204726</v>
      </c>
      <c r="AI76" s="2356" t="n">
        <v>537207</v>
      </c>
      <c r="AJ76" s="2356" t="n">
        <v>741933</v>
      </c>
      <c r="AK76" s="2345" t="n"/>
      <c r="AL76" s="2345" t="n"/>
      <c r="AM76" s="2345" t="inlineStr">
        <is>
          <t>NNN landlord expenses only; from AXG Whse Expenses PSF.xlsx (R0172867)</t>
        </is>
      </c>
    </row>
    <row r="77">
      <c r="A77" s="2345" t="inlineStr">
        <is>
          <t>P035</t>
        </is>
      </c>
      <c r="B77" s="2338" t="n">
        <v>407</v>
      </c>
      <c r="C77" s="2345" t="inlineStr">
        <is>
          <t>R0172867</t>
        </is>
      </c>
      <c r="D77" s="2345" t="inlineStr">
        <is>
          <t>Majestic Commercenter (R0172867)</t>
        </is>
      </c>
      <c r="E77" s="2345" t="inlineStr">
        <is>
          <t>Commerce City</t>
        </is>
      </c>
      <c r="F77" s="2345" t="inlineStr">
        <is>
          <t>CO</t>
        </is>
      </c>
      <c r="G77" s="2345" t="inlineStr">
        <is>
          <t>Industrial</t>
        </is>
      </c>
      <c r="H77" s="2345" t="inlineStr">
        <is>
          <t>Warehouse NNN</t>
        </is>
      </c>
      <c r="I77" s="2345" t="n">
        <v>2007</v>
      </c>
      <c r="J77" s="2345" t="n">
        <v>215560</v>
      </c>
      <c r="K77" s="2345" t="n">
        <v>2022</v>
      </c>
      <c r="L77" s="2345" t="n"/>
      <c r="M77" s="2345" t="n"/>
      <c r="N77" s="2345" t="n"/>
      <c r="O77" s="2356" t="n">
        <v>22360</v>
      </c>
      <c r="P77" s="2356" t="n">
        <v>55092</v>
      </c>
      <c r="Q77" s="2345" t="n"/>
      <c r="R77" s="2345" t="n"/>
      <c r="S77" s="2345" t="n"/>
      <c r="T77" s="2345" t="n"/>
      <c r="U77" s="2345" t="n"/>
      <c r="V77" s="2345" t="n"/>
      <c r="W77" s="2345" t="n"/>
      <c r="X77" s="2345" t="n"/>
      <c r="Y77" s="2345" t="n"/>
      <c r="Z77" s="2345" t="n"/>
      <c r="AA77" s="2345" t="n"/>
      <c r="AB77" s="2345" t="n"/>
      <c r="AC77" s="2356" t="n">
        <v>67277</v>
      </c>
      <c r="AD77" s="2345" t="n"/>
      <c r="AE77" s="2345" t="n"/>
      <c r="AF77" s="2356" t="n">
        <v>72040</v>
      </c>
      <c r="AG77" s="2345" t="n"/>
      <c r="AH77" s="2356" t="n">
        <v>216769</v>
      </c>
      <c r="AI77" s="2356" t="n">
        <v>558214</v>
      </c>
      <c r="AJ77" s="2356" t="n">
        <v>774983</v>
      </c>
      <c r="AK77" s="2345" t="n"/>
      <c r="AL77" s="2345" t="n"/>
      <c r="AM77" s="2345" t="inlineStr">
        <is>
          <t>NNN landlord expenses only; from AXG Whse Expenses PSF.xlsx (R0172867)</t>
        </is>
      </c>
    </row>
    <row r="78">
      <c r="A78" s="2345" t="inlineStr">
        <is>
          <t>P036</t>
        </is>
      </c>
      <c r="B78" s="2338" t="n">
        <v>407</v>
      </c>
      <c r="C78" s="2345" t="inlineStr">
        <is>
          <t>R0172868</t>
        </is>
      </c>
      <c r="D78" s="2345" t="inlineStr">
        <is>
          <t>Majestic Commercenter (R0172868)</t>
        </is>
      </c>
      <c r="E78" s="2345" t="inlineStr">
        <is>
          <t>Commerce City</t>
        </is>
      </c>
      <c r="F78" s="2345" t="inlineStr">
        <is>
          <t>CO</t>
        </is>
      </c>
      <c r="G78" s="2345" t="inlineStr">
        <is>
          <t>Industrial</t>
        </is>
      </c>
      <c r="H78" s="2345" t="inlineStr">
        <is>
          <t>Warehouse NNN</t>
        </is>
      </c>
      <c r="I78" s="2345" t="n">
        <v>2007</v>
      </c>
      <c r="J78" s="2345" t="n">
        <v>202091</v>
      </c>
      <c r="K78" s="2345" t="n">
        <v>2021</v>
      </c>
      <c r="L78" s="2345" t="n"/>
      <c r="M78" s="2345" t="n"/>
      <c r="N78" s="2345" t="n"/>
      <c r="O78" s="2356" t="n">
        <v>17434</v>
      </c>
      <c r="P78" s="2356" t="n">
        <v>31149</v>
      </c>
      <c r="Q78" s="2345" t="n"/>
      <c r="R78" s="2345" t="n"/>
      <c r="S78" s="2345" t="n"/>
      <c r="T78" s="2345" t="n"/>
      <c r="U78" s="2345" t="n"/>
      <c r="V78" s="2345" t="n"/>
      <c r="W78" s="2345" t="n"/>
      <c r="X78" s="2345" t="n"/>
      <c r="Y78" s="2345" t="n"/>
      <c r="Z78" s="2345" t="n"/>
      <c r="AA78" s="2345" t="n"/>
      <c r="AB78" s="2345" t="n"/>
      <c r="AC78" s="2356" t="n">
        <v>83142</v>
      </c>
      <c r="AD78" s="2345" t="n"/>
      <c r="AE78" s="2345" t="n"/>
      <c r="AF78" s="2345" t="n"/>
      <c r="AG78" s="2345" t="n"/>
      <c r="AH78" s="2356" t="n">
        <v>131725</v>
      </c>
      <c r="AI78" s="2356" t="n">
        <v>499000</v>
      </c>
      <c r="AJ78" s="2356" t="n">
        <v>630725</v>
      </c>
      <c r="AK78" s="2345" t="n"/>
      <c r="AL78" s="2345" t="n"/>
      <c r="AM78" s="2345" t="inlineStr">
        <is>
          <t>NNN landlord expenses only; from AXG Whse Expenses PSF.xlsx (R0172868)</t>
        </is>
      </c>
    </row>
    <row r="79">
      <c r="A79" s="2345" t="inlineStr">
        <is>
          <t>P036</t>
        </is>
      </c>
      <c r="B79" s="2338" t="n">
        <v>407</v>
      </c>
      <c r="C79" s="2345" t="inlineStr">
        <is>
          <t>R0172868</t>
        </is>
      </c>
      <c r="D79" s="2345" t="inlineStr">
        <is>
          <t>Majestic Commercenter (R0172868)</t>
        </is>
      </c>
      <c r="E79" s="2345" t="inlineStr">
        <is>
          <t>Commerce City</t>
        </is>
      </c>
      <c r="F79" s="2345" t="inlineStr">
        <is>
          <t>CO</t>
        </is>
      </c>
      <c r="G79" s="2345" t="inlineStr">
        <is>
          <t>Industrial</t>
        </is>
      </c>
      <c r="H79" s="2345" t="inlineStr">
        <is>
          <t>Warehouse NNN</t>
        </is>
      </c>
      <c r="I79" s="2345" t="n">
        <v>2007</v>
      </c>
      <c r="J79" s="2345" t="n">
        <v>202091</v>
      </c>
      <c r="K79" s="2345" t="n">
        <v>2022</v>
      </c>
      <c r="L79" s="2345" t="n"/>
      <c r="M79" s="2345" t="n"/>
      <c r="N79" s="2345" t="n"/>
      <c r="O79" s="2356" t="n">
        <v>18548</v>
      </c>
      <c r="P79" s="2356" t="n">
        <v>27554</v>
      </c>
      <c r="Q79" s="2345" t="n"/>
      <c r="R79" s="2345" t="n"/>
      <c r="S79" s="2345" t="n"/>
      <c r="T79" s="2345" t="n"/>
      <c r="U79" s="2345" t="n"/>
      <c r="V79" s="2345" t="n"/>
      <c r="W79" s="2345" t="n"/>
      <c r="X79" s="2345" t="n"/>
      <c r="Y79" s="2345" t="n"/>
      <c r="Z79" s="2345" t="n"/>
      <c r="AA79" s="2345" t="n"/>
      <c r="AB79" s="2345" t="n"/>
      <c r="AC79" s="2356" t="n">
        <v>66184</v>
      </c>
      <c r="AD79" s="2345" t="n"/>
      <c r="AE79" s="2345" t="n"/>
      <c r="AF79" s="2345" t="n"/>
      <c r="AG79" s="2345" t="n"/>
      <c r="AH79" s="2356" t="n">
        <v>112286</v>
      </c>
      <c r="AI79" s="2356" t="n">
        <v>509649</v>
      </c>
      <c r="AJ79" s="2356" t="n">
        <v>621935</v>
      </c>
      <c r="AK79" s="2345" t="n"/>
      <c r="AL79" s="2345" t="n"/>
      <c r="AM79" s="2345" t="inlineStr">
        <is>
          <t>NNN landlord expenses only; from AXG Whse Expenses PSF.xlsx (R0172868)</t>
        </is>
      </c>
    </row>
    <row r="80">
      <c r="A80" s="2345" t="inlineStr">
        <is>
          <t>P037</t>
        </is>
      </c>
      <c r="B80" s="2338" t="n">
        <v>407</v>
      </c>
      <c r="C80" s="2345" t="inlineStr">
        <is>
          <t>R0145680</t>
        </is>
      </c>
      <c r="D80" s="2345" t="inlineStr">
        <is>
          <t>Majestic Commercenter (R0145680)</t>
        </is>
      </c>
      <c r="E80" s="2345" t="inlineStr">
        <is>
          <t>Commerce City</t>
        </is>
      </c>
      <c r="F80" s="2345" t="inlineStr">
        <is>
          <t>CO</t>
        </is>
      </c>
      <c r="G80" s="2345" t="inlineStr">
        <is>
          <t>Industrial</t>
        </is>
      </c>
      <c r="H80" s="2345" t="inlineStr">
        <is>
          <t>Warehouse NNN</t>
        </is>
      </c>
      <c r="I80" s="2345" t="n">
        <v>2001</v>
      </c>
      <c r="J80" s="2345" t="n">
        <v>150027</v>
      </c>
      <c r="K80" s="2345" t="n">
        <v>2021</v>
      </c>
      <c r="L80" s="2345" t="n"/>
      <c r="M80" s="2345" t="n"/>
      <c r="N80" s="2345" t="n"/>
      <c r="O80" s="2356" t="n">
        <v>11682</v>
      </c>
      <c r="P80" s="2356" t="n">
        <v>41521</v>
      </c>
      <c r="Q80" s="2345" t="n"/>
      <c r="R80" s="2345" t="n"/>
      <c r="S80" s="2345" t="n"/>
      <c r="T80" s="2345" t="n"/>
      <c r="U80" s="2345" t="n"/>
      <c r="V80" s="2345" t="n"/>
      <c r="W80" s="2345" t="n"/>
      <c r="X80" s="2345" t="n"/>
      <c r="Y80" s="2345" t="n"/>
      <c r="Z80" s="2345" t="n"/>
      <c r="AA80" s="2345" t="n"/>
      <c r="AB80" s="2345" t="n"/>
      <c r="AC80" s="2356" t="n">
        <v>49834</v>
      </c>
      <c r="AD80" s="2345" t="n"/>
      <c r="AE80" s="2345" t="n"/>
      <c r="AF80" s="2345" t="n"/>
      <c r="AG80" s="2345" t="n"/>
      <c r="AH80" s="2356" t="n">
        <v>103037</v>
      </c>
      <c r="AI80" s="2356" t="n">
        <v>427951</v>
      </c>
      <c r="AJ80" s="2356" t="n">
        <v>530988</v>
      </c>
      <c r="AK80" s="2345" t="n"/>
      <c r="AL80" s="2345" t="n"/>
      <c r="AM80" s="2345" t="inlineStr">
        <is>
          <t>NNN landlord expenses only; from AXG Whse Expenses PSF.xlsx (R0145680)</t>
        </is>
      </c>
    </row>
    <row r="81">
      <c r="A81" s="2345" t="inlineStr">
        <is>
          <t>P037</t>
        </is>
      </c>
      <c r="B81" s="2338" t="n">
        <v>407</v>
      </c>
      <c r="C81" s="2345" t="inlineStr">
        <is>
          <t>R0145680</t>
        </is>
      </c>
      <c r="D81" s="2345" t="inlineStr">
        <is>
          <t>Majestic Commercenter (R0145680)</t>
        </is>
      </c>
      <c r="E81" s="2345" t="inlineStr">
        <is>
          <t>Commerce City</t>
        </is>
      </c>
      <c r="F81" s="2345" t="inlineStr">
        <is>
          <t>CO</t>
        </is>
      </c>
      <c r="G81" s="2345" t="inlineStr">
        <is>
          <t>Industrial</t>
        </is>
      </c>
      <c r="H81" s="2345" t="inlineStr">
        <is>
          <t>Warehouse NNN</t>
        </is>
      </c>
      <c r="I81" s="2345" t="n">
        <v>2001</v>
      </c>
      <c r="J81" s="2345" t="n">
        <v>150027</v>
      </c>
      <c r="K81" s="2345" t="n">
        <v>2022</v>
      </c>
      <c r="L81" s="2345" t="n"/>
      <c r="M81" s="2345" t="n"/>
      <c r="N81" s="2345" t="n"/>
      <c r="O81" s="2356" t="n">
        <v>12428</v>
      </c>
      <c r="P81" s="2356" t="n">
        <v>34409</v>
      </c>
      <c r="Q81" s="2345" t="n"/>
      <c r="R81" s="2345" t="n"/>
      <c r="S81" s="2345" t="n"/>
      <c r="T81" s="2345" t="n"/>
      <c r="U81" s="2345" t="n"/>
      <c r="V81" s="2345" t="n"/>
      <c r="W81" s="2345" t="n"/>
      <c r="X81" s="2345" t="n"/>
      <c r="Y81" s="2345" t="n"/>
      <c r="Z81" s="2345" t="n"/>
      <c r="AA81" s="2345" t="n"/>
      <c r="AB81" s="2345" t="n"/>
      <c r="AC81" s="2356" t="n">
        <v>54262</v>
      </c>
      <c r="AD81" s="2345" t="n"/>
      <c r="AE81" s="2345" t="n"/>
      <c r="AF81" s="2345" t="n"/>
      <c r="AG81" s="2345" t="n"/>
      <c r="AH81" s="2356" t="n">
        <v>101099</v>
      </c>
      <c r="AI81" s="2356" t="n">
        <v>410892</v>
      </c>
      <c r="AJ81" s="2356" t="n">
        <v>511991</v>
      </c>
      <c r="AK81" s="2345" t="n"/>
      <c r="AL81" s="2345" t="n"/>
      <c r="AM81" s="2345" t="inlineStr">
        <is>
          <t>NNN landlord expenses only; from AXG Whse Expenses PSF.xlsx (R0145680)</t>
        </is>
      </c>
    </row>
    <row r="82">
      <c r="A82" s="2345" t="inlineStr">
        <is>
          <t>P038</t>
        </is>
      </c>
      <c r="B82" s="2338" t="n">
        <v>584</v>
      </c>
      <c r="C82" s="2345" t="inlineStr">
        <is>
          <t>R0181787</t>
        </is>
      </c>
      <c r="D82" s="2345" t="inlineStr">
        <is>
          <t>Majestic Commercenter (R0181787)</t>
        </is>
      </c>
      <c r="E82" s="2345" t="inlineStr">
        <is>
          <t>Commerce City</t>
        </is>
      </c>
      <c r="F82" s="2345" t="inlineStr">
        <is>
          <t>CO</t>
        </is>
      </c>
      <c r="G82" s="2345" t="inlineStr">
        <is>
          <t>Industrial</t>
        </is>
      </c>
      <c r="H82" s="2345" t="inlineStr">
        <is>
          <t>Warehouse NNN</t>
        </is>
      </c>
      <c r="I82" s="2345" t="n">
        <v>2013</v>
      </c>
      <c r="J82" s="2345" t="n">
        <v>500358</v>
      </c>
      <c r="K82" s="2345" t="n">
        <v>2021</v>
      </c>
      <c r="L82" s="2345" t="n"/>
      <c r="M82" s="2345" t="n"/>
      <c r="N82" s="2345" t="n"/>
      <c r="O82" s="2356" t="n">
        <v>37172</v>
      </c>
      <c r="P82" s="2356" t="n">
        <v>117764</v>
      </c>
      <c r="Q82" s="2345" t="n"/>
      <c r="R82" s="2345" t="n"/>
      <c r="S82" s="2345" t="n"/>
      <c r="T82" s="2345" t="n"/>
      <c r="U82" s="2345" t="n"/>
      <c r="V82" s="2345" t="n"/>
      <c r="W82" s="2345" t="n"/>
      <c r="X82" s="2345" t="n"/>
      <c r="Y82" s="2345" t="n"/>
      <c r="Z82" s="2345" t="n"/>
      <c r="AA82" s="2345" t="n"/>
      <c r="AB82" s="2345" t="n"/>
      <c r="AC82" s="2356" t="n">
        <v>156518</v>
      </c>
      <c r="AD82" s="2345" t="n"/>
      <c r="AE82" s="2345" t="n"/>
      <c r="AF82" s="2356" t="n">
        <v>117148</v>
      </c>
      <c r="AG82" s="2345" t="n"/>
      <c r="AH82" s="2356" t="n">
        <v>428602</v>
      </c>
      <c r="AI82" s="2356" t="n">
        <v>1142695</v>
      </c>
      <c r="AJ82" s="2356" t="n">
        <v>1571297</v>
      </c>
      <c r="AK82" s="2345" t="n"/>
      <c r="AL82" s="2345" t="n"/>
      <c r="AM82" s="2345" t="inlineStr">
        <is>
          <t>NNN landlord expenses only; from AXG Whse Expenses PSF.xlsx (R0181787)</t>
        </is>
      </c>
    </row>
    <row r="83">
      <c r="A83" s="2345" t="inlineStr">
        <is>
          <t>P038</t>
        </is>
      </c>
      <c r="B83" s="2338" t="n">
        <v>584</v>
      </c>
      <c r="C83" s="2345" t="inlineStr">
        <is>
          <t>R0181787</t>
        </is>
      </c>
      <c r="D83" s="2345" t="inlineStr">
        <is>
          <t>Majestic Commercenter (R0181787)</t>
        </is>
      </c>
      <c r="E83" s="2345" t="inlineStr">
        <is>
          <t>Commerce City</t>
        </is>
      </c>
      <c r="F83" s="2345" t="inlineStr">
        <is>
          <t>CO</t>
        </is>
      </c>
      <c r="G83" s="2345" t="inlineStr">
        <is>
          <t>Industrial</t>
        </is>
      </c>
      <c r="H83" s="2345" t="inlineStr">
        <is>
          <t>Warehouse NNN</t>
        </is>
      </c>
      <c r="I83" s="2345" t="n">
        <v>2013</v>
      </c>
      <c r="J83" s="2345" t="n">
        <v>500358</v>
      </c>
      <c r="K83" s="2345" t="n">
        <v>2022</v>
      </c>
      <c r="L83" s="2345" t="n"/>
      <c r="M83" s="2345" t="n"/>
      <c r="N83" s="2345" t="n"/>
      <c r="O83" s="2356" t="n">
        <v>39548</v>
      </c>
      <c r="P83" s="2356" t="n">
        <v>100791</v>
      </c>
      <c r="Q83" s="2345" t="n"/>
      <c r="R83" s="2345" t="n"/>
      <c r="S83" s="2345" t="n"/>
      <c r="T83" s="2345" t="n"/>
      <c r="U83" s="2345" t="n"/>
      <c r="V83" s="2345" t="n"/>
      <c r="W83" s="2345" t="n"/>
      <c r="X83" s="2345" t="n"/>
      <c r="Y83" s="2345" t="n"/>
      <c r="Z83" s="2345" t="n"/>
      <c r="AA83" s="2345" t="n"/>
      <c r="AB83" s="2345" t="n"/>
      <c r="AC83" s="2356" t="n">
        <v>116474</v>
      </c>
      <c r="AD83" s="2345" t="n"/>
      <c r="AE83" s="2345" t="n"/>
      <c r="AF83" s="2356" t="n">
        <v>113231</v>
      </c>
      <c r="AG83" s="2345" t="n"/>
      <c r="AH83" s="2356" t="n">
        <v>370044</v>
      </c>
      <c r="AI83" s="2356" t="n">
        <v>1270807</v>
      </c>
      <c r="AJ83" s="2356" t="n">
        <v>1640851</v>
      </c>
      <c r="AK83" s="2345" t="n"/>
      <c r="AL83" s="2345" t="n"/>
      <c r="AM83" s="2345" t="inlineStr">
        <is>
          <t>NNN landlord expenses only; from AXG Whse Expenses PSF.xlsx (R0181787)</t>
        </is>
      </c>
    </row>
    <row r="84">
      <c r="A84" s="2345" t="inlineStr">
        <is>
          <t>P039</t>
        </is>
      </c>
      <c r="B84" s="2338" t="n">
        <v>584</v>
      </c>
      <c r="C84" s="2345" t="inlineStr">
        <is>
          <t>R0191101</t>
        </is>
      </c>
      <c r="D84" s="2345" t="inlineStr">
        <is>
          <t>Majestic Commercenter (R0191101)</t>
        </is>
      </c>
      <c r="E84" s="2345" t="inlineStr">
        <is>
          <t>Commerce City</t>
        </is>
      </c>
      <c r="F84" s="2345" t="inlineStr">
        <is>
          <t>CO</t>
        </is>
      </c>
      <c r="G84" s="2345" t="inlineStr">
        <is>
          <t>Industrial</t>
        </is>
      </c>
      <c r="H84" s="2345" t="inlineStr">
        <is>
          <t>Warehouse NNN</t>
        </is>
      </c>
      <c r="I84" s="2345" t="n">
        <v>2017</v>
      </c>
      <c r="J84" s="2345" t="n">
        <v>522120</v>
      </c>
      <c r="K84" s="2345" t="n">
        <v>2021</v>
      </c>
      <c r="L84" s="2345" t="n"/>
      <c r="M84" s="2345" t="n"/>
      <c r="N84" s="2345" t="n"/>
      <c r="O84" s="2356" t="n">
        <v>42908</v>
      </c>
      <c r="P84" s="2356" t="n">
        <v>134812</v>
      </c>
      <c r="Q84" s="2345" t="n"/>
      <c r="R84" s="2345" t="n"/>
      <c r="S84" s="2345" t="n"/>
      <c r="T84" s="2345" t="n"/>
      <c r="U84" s="2345" t="n"/>
      <c r="V84" s="2345" t="n"/>
      <c r="W84" s="2345" t="n"/>
      <c r="X84" s="2345" t="n"/>
      <c r="Y84" s="2345" t="n"/>
      <c r="Z84" s="2345" t="n"/>
      <c r="AA84" s="2345" t="n"/>
      <c r="AB84" s="2345" t="n"/>
      <c r="AC84" s="2356" t="n">
        <v>147507</v>
      </c>
      <c r="AD84" s="2345" t="n"/>
      <c r="AE84" s="2345" t="n"/>
      <c r="AF84" s="2356" t="n">
        <v>93640</v>
      </c>
      <c r="AG84" s="2345" t="n"/>
      <c r="AH84" s="2356" t="n">
        <v>418867</v>
      </c>
      <c r="AI84" s="2356" t="n">
        <v>1137439</v>
      </c>
      <c r="AJ84" s="2356" t="n">
        <v>1556306</v>
      </c>
      <c r="AK84" s="2345" t="n"/>
      <c r="AL84" s="2345" t="n"/>
      <c r="AM84" s="2345" t="inlineStr">
        <is>
          <t>NNN landlord expenses only; from AXG Whse Expenses PSF.xlsx (R0191101)</t>
        </is>
      </c>
    </row>
    <row r="85">
      <c r="A85" s="2345" t="inlineStr">
        <is>
          <t>P039</t>
        </is>
      </c>
      <c r="B85" s="2338" t="n">
        <v>584</v>
      </c>
      <c r="C85" s="2345" t="inlineStr">
        <is>
          <t>R0191101</t>
        </is>
      </c>
      <c r="D85" s="2345" t="inlineStr">
        <is>
          <t>Majestic Commercenter (R0191101)</t>
        </is>
      </c>
      <c r="E85" s="2345" t="inlineStr">
        <is>
          <t>Commerce City</t>
        </is>
      </c>
      <c r="F85" s="2345" t="inlineStr">
        <is>
          <t>CO</t>
        </is>
      </c>
      <c r="G85" s="2345" t="inlineStr">
        <is>
          <t>Industrial</t>
        </is>
      </c>
      <c r="H85" s="2345" t="inlineStr">
        <is>
          <t>Warehouse NNN</t>
        </is>
      </c>
      <c r="I85" s="2345" t="n">
        <v>2017</v>
      </c>
      <c r="J85" s="2345" t="n">
        <v>522120</v>
      </c>
      <c r="K85" s="2345" t="n">
        <v>2022</v>
      </c>
      <c r="L85" s="2345" t="n"/>
      <c r="M85" s="2345" t="n"/>
      <c r="N85" s="2345" t="n"/>
      <c r="O85" s="2356" t="n">
        <v>45651</v>
      </c>
      <c r="P85" s="2356" t="n">
        <v>115853</v>
      </c>
      <c r="Q85" s="2345" t="n"/>
      <c r="R85" s="2345" t="n"/>
      <c r="S85" s="2345" t="n"/>
      <c r="T85" s="2345" t="n"/>
      <c r="U85" s="2345" t="n"/>
      <c r="V85" s="2345" t="n"/>
      <c r="W85" s="2345" t="n"/>
      <c r="X85" s="2345" t="n"/>
      <c r="Y85" s="2345" t="n"/>
      <c r="Z85" s="2345" t="n"/>
      <c r="AA85" s="2345" t="n"/>
      <c r="AB85" s="2345" t="n"/>
      <c r="AC85" s="2356" t="n">
        <v>89739</v>
      </c>
      <c r="AD85" s="2345" t="n"/>
      <c r="AE85" s="2345" t="n"/>
      <c r="AF85" s="2356" t="n">
        <v>90763</v>
      </c>
      <c r="AG85" s="2345" t="n"/>
      <c r="AH85" s="2356" t="n">
        <v>342006</v>
      </c>
      <c r="AI85" s="2356" t="n">
        <v>1169645</v>
      </c>
      <c r="AJ85" s="2356" t="n">
        <v>1511651</v>
      </c>
      <c r="AK85" s="2345" t="n"/>
      <c r="AL85" s="2345" t="n"/>
      <c r="AM85" s="2345" t="inlineStr">
        <is>
          <t>NNN landlord expenses only; from AXG Whse Expenses PSF.xlsx (R0191101)</t>
        </is>
      </c>
    </row>
    <row r="86">
      <c r="A86" s="2345" t="inlineStr">
        <is>
          <t>P040</t>
        </is>
      </c>
      <c r="B86" s="2338" t="n">
        <v>407</v>
      </c>
      <c r="C86" s="2345" t="inlineStr">
        <is>
          <t>R0202874</t>
        </is>
      </c>
      <c r="D86" s="2345" t="inlineStr">
        <is>
          <t>900 E 128th Ave</t>
        </is>
      </c>
      <c r="E86" s="2345" t="inlineStr">
        <is>
          <t>Henderson</t>
        </is>
      </c>
      <c r="F86" s="2345" t="inlineStr">
        <is>
          <t>CO</t>
        </is>
      </c>
      <c r="G86" s="2345" t="inlineStr">
        <is>
          <t>Industrial</t>
        </is>
      </c>
      <c r="H86" s="2345" t="inlineStr">
        <is>
          <t>Last-Mile Distribution NNN</t>
        </is>
      </c>
      <c r="I86" s="2345" t="n"/>
      <c r="J86" s="2345" t="n"/>
      <c r="K86" s="2345" t="n">
        <v>2021</v>
      </c>
      <c r="L86" s="2356" t="n">
        <v>2633716</v>
      </c>
      <c r="M86" s="2345" t="n"/>
      <c r="N86" s="2356" t="n">
        <v>3256403</v>
      </c>
      <c r="O86" s="2356" t="n">
        <v>56624</v>
      </c>
      <c r="P86" s="2345" t="n"/>
      <c r="Q86" s="2356" t="n">
        <v>300</v>
      </c>
      <c r="R86" s="2345" t="n"/>
      <c r="S86" s="2345" t="n"/>
      <c r="T86" s="2345" t="n"/>
      <c r="U86" s="2345" t="n"/>
      <c r="V86" s="2345" t="n"/>
      <c r="W86" s="2345" t="n"/>
      <c r="X86" s="2356" t="n">
        <v>29535</v>
      </c>
      <c r="Y86" s="2356" t="n">
        <v>30138</v>
      </c>
      <c r="Z86" s="2345" t="n"/>
      <c r="AA86" s="2356" t="n">
        <v>54136</v>
      </c>
      <c r="AB86" s="2356" t="n">
        <v>127274</v>
      </c>
      <c r="AC86" s="2345" t="n"/>
      <c r="AD86" s="2345" t="n"/>
      <c r="AE86" s="2345" t="n"/>
      <c r="AF86" s="2356" t="n">
        <v>18748</v>
      </c>
      <c r="AG86" s="2345" t="n"/>
      <c r="AH86" s="2356" t="n">
        <v>731951</v>
      </c>
      <c r="AI86" s="2345" t="n"/>
      <c r="AJ86" s="2345" t="n"/>
      <c r="AK86" s="2356" t="n">
        <v>2524452</v>
      </c>
      <c r="AL86" s="2345" t="n"/>
      <c r="AM86" s="2345" t="inlineStr">
        <is>
          <t>Amazon AMZL Site 51812; SF not extracted; RE Tax not broken out in 2021</t>
        </is>
      </c>
    </row>
    <row r="87">
      <c r="A87" s="2345" t="inlineStr">
        <is>
          <t>P040</t>
        </is>
      </c>
      <c r="B87" s="2338" t="n">
        <v>407</v>
      </c>
      <c r="C87" s="2345" t="inlineStr">
        <is>
          <t>R0202874</t>
        </is>
      </c>
      <c r="D87" s="2345" t="inlineStr">
        <is>
          <t>900 E 128th Ave</t>
        </is>
      </c>
      <c r="E87" s="2345" t="inlineStr">
        <is>
          <t>Henderson</t>
        </is>
      </c>
      <c r="F87" s="2345" t="inlineStr">
        <is>
          <t>CO</t>
        </is>
      </c>
      <c r="G87" s="2345" t="inlineStr">
        <is>
          <t>Industrial</t>
        </is>
      </c>
      <c r="H87" s="2345" t="inlineStr">
        <is>
          <t>Last-Mile Distribution NNN</t>
        </is>
      </c>
      <c r="I87" s="2345" t="n"/>
      <c r="J87" s="2345" t="n"/>
      <c r="K87" s="2345" t="n">
        <v>2022</v>
      </c>
      <c r="L87" s="2345" t="n"/>
      <c r="M87" s="2345" t="n"/>
      <c r="N87" s="2345" t="n"/>
      <c r="O87" s="2345" t="n"/>
      <c r="P87" s="2356" t="n">
        <v>69999</v>
      </c>
      <c r="Q87" s="2345" t="n"/>
      <c r="R87" s="2345" t="n"/>
      <c r="S87" s="2345" t="n"/>
      <c r="T87" s="2345" t="n"/>
      <c r="U87" s="2345" t="n"/>
      <c r="V87" s="2345" t="n"/>
      <c r="W87" s="2345" t="n"/>
      <c r="X87" s="2345" t="n"/>
      <c r="Y87" s="2345" t="n"/>
      <c r="Z87" s="2345" t="n"/>
      <c r="AA87" s="2345" t="n"/>
      <c r="AB87" s="2345" t="n"/>
      <c r="AC87" s="2345" t="n"/>
      <c r="AD87" s="2345" t="n"/>
      <c r="AE87" s="2345" t="n"/>
      <c r="AF87" s="2345" t="n"/>
      <c r="AG87" s="2345" t="n"/>
      <c r="AH87" s="2345" t="n"/>
      <c r="AI87" s="2356" t="n">
        <v>1080500</v>
      </c>
      <c r="AJ87" s="2356" t="n">
        <v>1527913</v>
      </c>
      <c r="AK87" s="2356" t="n">
        <v>2475461</v>
      </c>
      <c r="AL87" s="2345" t="n"/>
      <c r="AM87" s="2345" t="inlineStr">
        <is>
          <t>Amazon AMZL Site 51812; 2022 dominated by RE Tax $1.08M; asset mgmt fee $70k</t>
        </is>
      </c>
    </row>
    <row r="88">
      <c r="A88" s="2345" t="inlineStr">
        <is>
          <t>P041</t>
        </is>
      </c>
      <c r="B88" s="2338" t="n">
        <v>386</v>
      </c>
      <c r="C88" s="2345" t="inlineStr">
        <is>
          <t>R0189384</t>
        </is>
      </c>
      <c r="D88" s="2345" t="inlineStr">
        <is>
          <t>1101 Colorado Blvd</t>
        </is>
      </c>
      <c r="E88" s="2345" t="inlineStr">
        <is>
          <t>Thornton</t>
        </is>
      </c>
      <c r="F88" s="2345" t="inlineStr">
        <is>
          <t>CO</t>
        </is>
      </c>
      <c r="G88" s="2345" t="inlineStr">
        <is>
          <t>Self-Storage</t>
        </is>
      </c>
      <c r="H88" s="2345" t="inlineStr">
        <is>
          <t>Climate-Controlled</t>
        </is>
      </c>
      <c r="I88" s="2345" t="n"/>
      <c r="J88" s="2345" t="n">
        <v>65766</v>
      </c>
      <c r="K88" s="2345" t="n">
        <v>2021</v>
      </c>
      <c r="L88" s="2345" t="n"/>
      <c r="M88" s="2345" t="n"/>
      <c r="N88" s="2356" t="n">
        <v>879992</v>
      </c>
      <c r="O88" s="2345" t="n"/>
      <c r="P88" s="2345" t="n"/>
      <c r="Q88" s="2345" t="n"/>
      <c r="R88" s="2345" t="n"/>
      <c r="S88" s="2345" t="n"/>
      <c r="T88" s="2345" t="n"/>
      <c r="U88" s="2345" t="n"/>
      <c r="V88" s="2345" t="n"/>
      <c r="W88" s="2345" t="n"/>
      <c r="X88" s="2345" t="n"/>
      <c r="Y88" s="2345" t="n"/>
      <c r="Z88" s="2345" t="n"/>
      <c r="AA88" s="2345" t="n"/>
      <c r="AB88" s="2345" t="n"/>
      <c r="AC88" s="2345" t="n"/>
      <c r="AD88" s="2345" t="n"/>
      <c r="AE88" s="2345" t="n"/>
      <c r="AF88" s="2345" t="n"/>
      <c r="AG88" s="2345" t="n"/>
      <c r="AH88" s="2345" t="n"/>
      <c r="AI88" s="2345" t="n"/>
      <c r="AJ88" s="2356" t="n">
        <v>418098</v>
      </c>
      <c r="AK88" s="2356" t="n">
        <v>461894</v>
      </c>
      <c r="AL88" s="2345" t="n"/>
      <c r="AM88" s="2345" t="inlineStr">
        <is>
          <t>Actual SS P&amp;L; mgmt=off-site+on-site combined; admin+adv in Other</t>
        </is>
      </c>
    </row>
    <row r="89">
      <c r="A89" s="2345" t="inlineStr">
        <is>
          <t>P041</t>
        </is>
      </c>
      <c r="B89" s="2338" t="n">
        <v>386</v>
      </c>
      <c r="C89" s="2345" t="inlineStr">
        <is>
          <t>R0189384</t>
        </is>
      </c>
      <c r="D89" s="2345" t="inlineStr">
        <is>
          <t>1101 Colorado Blvd</t>
        </is>
      </c>
      <c r="E89" s="2345" t="inlineStr">
        <is>
          <t>Thornton</t>
        </is>
      </c>
      <c r="F89" s="2345" t="inlineStr">
        <is>
          <t>CO</t>
        </is>
      </c>
      <c r="G89" s="2345" t="inlineStr">
        <is>
          <t>Self-Storage</t>
        </is>
      </c>
      <c r="H89" s="2345" t="inlineStr">
        <is>
          <t>Climate-Controlled</t>
        </is>
      </c>
      <c r="I89" s="2345" t="n"/>
      <c r="J89" s="2345" t="n">
        <v>65766</v>
      </c>
      <c r="K89" s="2345" t="n">
        <v>2022</v>
      </c>
      <c r="L89" s="2345" t="n"/>
      <c r="M89" s="2345" t="n"/>
      <c r="N89" s="2356" t="n">
        <v>924824</v>
      </c>
      <c r="O89" s="2345" t="n"/>
      <c r="P89" s="2345" t="n"/>
      <c r="Q89" s="2345" t="n"/>
      <c r="R89" s="2345" t="n"/>
      <c r="S89" s="2345" t="n"/>
      <c r="T89" s="2345" t="n"/>
      <c r="U89" s="2345" t="n"/>
      <c r="V89" s="2345" t="n"/>
      <c r="W89" s="2345" t="n"/>
      <c r="X89" s="2345" t="n"/>
      <c r="Y89" s="2345" t="n"/>
      <c r="Z89" s="2345" t="n"/>
      <c r="AA89" s="2345" t="n"/>
      <c r="AB89" s="2345" t="n"/>
      <c r="AC89" s="2345" t="n"/>
      <c r="AD89" s="2345" t="n"/>
      <c r="AE89" s="2345" t="n"/>
      <c r="AF89" s="2345" t="n"/>
      <c r="AG89" s="2345" t="n"/>
      <c r="AH89" s="2345" t="n"/>
      <c r="AI89" s="2345" t="n"/>
      <c r="AJ89" s="2356" t="n">
        <v>455769</v>
      </c>
      <c r="AK89" s="2356" t="n">
        <v>469055</v>
      </c>
      <c r="AL89" s="2345" t="n"/>
      <c r="AM89" s="2345" t="inlineStr">
        <is>
          <t>Actual SS P&amp;L; mgmt=off-site+on-site combined; admin+adv in Other</t>
        </is>
      </c>
    </row>
    <row r="90">
      <c r="A90" s="2345" t="inlineStr">
        <is>
          <t>P041</t>
        </is>
      </c>
      <c r="B90" s="2338" t="n">
        <v>386</v>
      </c>
      <c r="C90" s="2345" t="inlineStr">
        <is>
          <t>R0189384</t>
        </is>
      </c>
      <c r="D90" s="2345" t="inlineStr">
        <is>
          <t>1101 Colorado Blvd</t>
        </is>
      </c>
      <c r="E90" s="2345" t="inlineStr">
        <is>
          <t>Thornton</t>
        </is>
      </c>
      <c r="F90" s="2345" t="inlineStr">
        <is>
          <t>CO</t>
        </is>
      </c>
      <c r="G90" s="2345" t="inlineStr">
        <is>
          <t>Self-Storage</t>
        </is>
      </c>
      <c r="H90" s="2345" t="inlineStr">
        <is>
          <t>Climate-Controlled</t>
        </is>
      </c>
      <c r="I90" s="2345" t="n"/>
      <c r="J90" s="2345" t="n">
        <v>65766</v>
      </c>
      <c r="K90" s="2345" t="n">
        <v>2023</v>
      </c>
      <c r="L90" s="2345" t="n"/>
      <c r="M90" s="2345" t="n"/>
      <c r="N90" s="2356" t="n">
        <v>931247</v>
      </c>
      <c r="O90" s="2356" t="n">
        <v>41471</v>
      </c>
      <c r="P90" s="2356" t="n">
        <v>104101</v>
      </c>
      <c r="Q90" s="2345" t="n"/>
      <c r="R90" s="2345" t="n"/>
      <c r="S90" s="2345" t="n"/>
      <c r="T90" s="2345" t="n"/>
      <c r="U90" s="2345" t="n"/>
      <c r="V90" s="2345" t="n"/>
      <c r="W90" s="2345" t="n"/>
      <c r="X90" s="2345" t="n"/>
      <c r="Y90" s="2356" t="n">
        <v>15564</v>
      </c>
      <c r="Z90" s="2345" t="n"/>
      <c r="AA90" s="2345" t="n"/>
      <c r="AB90" s="2345" t="n"/>
      <c r="AC90" s="2345" t="n"/>
      <c r="AD90" s="2345" t="n"/>
      <c r="AE90" s="2345" t="n"/>
      <c r="AF90" s="2356" t="n">
        <v>37120</v>
      </c>
      <c r="AG90" s="2345" t="n"/>
      <c r="AH90" s="2356" t="n">
        <v>294563</v>
      </c>
      <c r="AI90" s="2356" t="n">
        <v>179920</v>
      </c>
      <c r="AJ90" s="2356" t="n">
        <v>474483</v>
      </c>
      <c r="AK90" s="2356" t="n">
        <v>469746</v>
      </c>
      <c r="AL90" s="2345" t="n"/>
      <c r="AM90" s="2345" t="inlineStr">
        <is>
          <t>Actual SS P&amp;L; mgmt=off-site+on-site combined; admin+adv in Other</t>
        </is>
      </c>
    </row>
    <row r="91">
      <c r="A91" s="2345" t="inlineStr">
        <is>
          <t>P042</t>
        </is>
      </c>
      <c r="B91" s="2338" t="n">
        <v>386</v>
      </c>
      <c r="C91" s="2345" t="inlineStr">
        <is>
          <t>R0126235</t>
        </is>
      </c>
      <c r="D91" s="2345" t="inlineStr">
        <is>
          <t>15024 Laroy Drive</t>
        </is>
      </c>
      <c r="E91" s="2345" t="inlineStr">
        <is>
          <t>Northglenn</t>
        </is>
      </c>
      <c r="F91" s="2345" t="inlineStr">
        <is>
          <t>CO</t>
        </is>
      </c>
      <c r="G91" s="2345" t="inlineStr">
        <is>
          <t>Self-Storage</t>
        </is>
      </c>
      <c r="H91" s="2345" t="inlineStr">
        <is>
          <t>Climate-Controlled</t>
        </is>
      </c>
      <c r="I91" s="2345" t="n"/>
      <c r="J91" s="2345" t="n">
        <v>79950</v>
      </c>
      <c r="K91" s="2345" t="n">
        <v>2021</v>
      </c>
      <c r="L91" s="2345" t="n"/>
      <c r="M91" s="2345" t="n"/>
      <c r="N91" s="2356" t="n">
        <v>956337</v>
      </c>
      <c r="O91" s="2345" t="n"/>
      <c r="P91" s="2345" t="n"/>
      <c r="Q91" s="2345" t="n"/>
      <c r="R91" s="2345" t="n"/>
      <c r="S91" s="2345" t="n"/>
      <c r="T91" s="2345" t="n"/>
      <c r="U91" s="2345" t="n"/>
      <c r="V91" s="2345" t="n"/>
      <c r="W91" s="2345" t="n"/>
      <c r="X91" s="2345" t="n"/>
      <c r="Y91" s="2345" t="n"/>
      <c r="Z91" s="2345" t="n"/>
      <c r="AA91" s="2345" t="n"/>
      <c r="AB91" s="2345" t="n"/>
      <c r="AC91" s="2345" t="n"/>
      <c r="AD91" s="2345" t="n"/>
      <c r="AE91" s="2345" t="n"/>
      <c r="AF91" s="2345" t="n"/>
      <c r="AG91" s="2345" t="n"/>
      <c r="AH91" s="2345" t="n"/>
      <c r="AI91" s="2345" t="n"/>
      <c r="AJ91" s="2356" t="n">
        <v>481614</v>
      </c>
      <c r="AK91" s="2356" t="n">
        <v>514723</v>
      </c>
      <c r="AL91" s="2345" t="n"/>
      <c r="AM91" s="2345" t="inlineStr">
        <is>
          <t>Actual SS P&amp;L; mgmt=off-site+on-site combined</t>
        </is>
      </c>
    </row>
    <row r="92">
      <c r="A92" s="2345" t="inlineStr">
        <is>
          <t>P042</t>
        </is>
      </c>
      <c r="B92" s="2338" t="n">
        <v>386</v>
      </c>
      <c r="C92" s="2345" t="inlineStr">
        <is>
          <t>R0126235</t>
        </is>
      </c>
      <c r="D92" s="2345" t="inlineStr">
        <is>
          <t>15024 Laroy Drive</t>
        </is>
      </c>
      <c r="E92" s="2345" t="inlineStr">
        <is>
          <t>Northglenn</t>
        </is>
      </c>
      <c r="F92" s="2345" t="inlineStr">
        <is>
          <t>CO</t>
        </is>
      </c>
      <c r="G92" s="2345" t="inlineStr">
        <is>
          <t>Self-Storage</t>
        </is>
      </c>
      <c r="H92" s="2345" t="inlineStr">
        <is>
          <t>Climate-Controlled</t>
        </is>
      </c>
      <c r="I92" s="2345" t="n"/>
      <c r="J92" s="2345" t="n">
        <v>79950</v>
      </c>
      <c r="K92" s="2345" t="n">
        <v>2022</v>
      </c>
      <c r="L92" s="2345" t="n"/>
      <c r="M92" s="2345" t="n"/>
      <c r="N92" s="2356" t="n">
        <v>1017929</v>
      </c>
      <c r="O92" s="2345" t="n"/>
      <c r="P92" s="2345" t="n"/>
      <c r="Q92" s="2345" t="n"/>
      <c r="R92" s="2345" t="n"/>
      <c r="S92" s="2345" t="n"/>
      <c r="T92" s="2345" t="n"/>
      <c r="U92" s="2345" t="n"/>
      <c r="V92" s="2345" t="n"/>
      <c r="W92" s="2345" t="n"/>
      <c r="X92" s="2345" t="n"/>
      <c r="Y92" s="2345" t="n"/>
      <c r="Z92" s="2345" t="n"/>
      <c r="AA92" s="2345" t="n"/>
      <c r="AB92" s="2345" t="n"/>
      <c r="AC92" s="2345" t="n"/>
      <c r="AD92" s="2345" t="n"/>
      <c r="AE92" s="2345" t="n"/>
      <c r="AF92" s="2345" t="n"/>
      <c r="AG92" s="2345" t="n"/>
      <c r="AH92" s="2345" t="n"/>
      <c r="AI92" s="2345" t="n"/>
      <c r="AJ92" s="2356" t="n">
        <v>432239</v>
      </c>
      <c r="AK92" s="2356" t="n">
        <v>585690</v>
      </c>
      <c r="AL92" s="2345" t="n"/>
      <c r="AM92" s="2345" t="inlineStr">
        <is>
          <t>Actual SS P&amp;L; mgmt=off-site+on-site combined</t>
        </is>
      </c>
    </row>
    <row r="93">
      <c r="A93" s="2345" t="inlineStr">
        <is>
          <t>P042</t>
        </is>
      </c>
      <c r="B93" s="2338" t="n">
        <v>386</v>
      </c>
      <c r="C93" s="2345" t="inlineStr">
        <is>
          <t>R0126235</t>
        </is>
      </c>
      <c r="D93" s="2345" t="inlineStr">
        <is>
          <t>15024 Laroy Drive</t>
        </is>
      </c>
      <c r="E93" s="2345" t="inlineStr">
        <is>
          <t>Northglenn</t>
        </is>
      </c>
      <c r="F93" s="2345" t="inlineStr">
        <is>
          <t>CO</t>
        </is>
      </c>
      <c r="G93" s="2345" t="inlineStr">
        <is>
          <t>Self-Storage</t>
        </is>
      </c>
      <c r="H93" s="2345" t="inlineStr">
        <is>
          <t>Climate-Controlled</t>
        </is>
      </c>
      <c r="I93" s="2345" t="n"/>
      <c r="J93" s="2345" t="n">
        <v>79950</v>
      </c>
      <c r="K93" s="2345" t="n">
        <v>2023</v>
      </c>
      <c r="L93" s="2345" t="n"/>
      <c r="M93" s="2345" t="n"/>
      <c r="N93" s="2356" t="n">
        <v>954605</v>
      </c>
      <c r="O93" s="2356" t="n">
        <v>40815</v>
      </c>
      <c r="P93" s="2356" t="n">
        <v>108523</v>
      </c>
      <c r="Q93" s="2345" t="n"/>
      <c r="R93" s="2345" t="n"/>
      <c r="S93" s="2345" t="n"/>
      <c r="T93" s="2345" t="n"/>
      <c r="U93" s="2345" t="n"/>
      <c r="V93" s="2345" t="n"/>
      <c r="W93" s="2345" t="n"/>
      <c r="X93" s="2345" t="n"/>
      <c r="Y93" s="2356" t="n">
        <v>24068</v>
      </c>
      <c r="Z93" s="2345" t="n"/>
      <c r="AA93" s="2345" t="n"/>
      <c r="AB93" s="2345" t="n"/>
      <c r="AC93" s="2345" t="n"/>
      <c r="AD93" s="2345" t="n"/>
      <c r="AE93" s="2345" t="n"/>
      <c r="AF93" s="2356" t="n">
        <v>20683</v>
      </c>
      <c r="AG93" s="2345" t="n"/>
      <c r="AH93" s="2356" t="n">
        <v>274666</v>
      </c>
      <c r="AI93" s="2356" t="n">
        <v>244725</v>
      </c>
      <c r="AJ93" s="2356" t="n">
        <v>519391</v>
      </c>
      <c r="AK93" s="2356" t="n">
        <v>435215</v>
      </c>
      <c r="AL93" s="2345" t="n"/>
      <c r="AM93" s="2345" t="inlineStr">
        <is>
          <t>Actual SS P&amp;L; mgmt=off-site+on-site combined</t>
        </is>
      </c>
    </row>
    <row r="94">
      <c r="A94" s="2345" t="inlineStr">
        <is>
          <t>P043</t>
        </is>
      </c>
      <c r="B94" s="2338" t="n">
        <v>386</v>
      </c>
      <c r="C94" s="2345" t="inlineStr">
        <is>
          <t>R0126234</t>
        </is>
      </c>
      <c r="D94" s="2345" t="inlineStr">
        <is>
          <t>715 W 112th Ave</t>
        </is>
      </c>
      <c r="E94" s="2345" t="inlineStr">
        <is>
          <t>Northglenn</t>
        </is>
      </c>
      <c r="F94" s="2345" t="inlineStr">
        <is>
          <t>CO</t>
        </is>
      </c>
      <c r="G94" s="2345" t="inlineStr">
        <is>
          <t>Self-Storage</t>
        </is>
      </c>
      <c r="H94" s="2345" t="inlineStr">
        <is>
          <t>Drive-Up/Drop-Off</t>
        </is>
      </c>
      <c r="I94" s="2345" t="n"/>
      <c r="J94" s="2345" t="n">
        <v>83756</v>
      </c>
      <c r="K94" s="2345" t="n">
        <v>2021</v>
      </c>
      <c r="L94" s="2345" t="n"/>
      <c r="M94" s="2345" t="n"/>
      <c r="N94" s="2356" t="n">
        <v>814763</v>
      </c>
      <c r="O94" s="2345" t="n"/>
      <c r="P94" s="2345" t="n"/>
      <c r="Q94" s="2345" t="n"/>
      <c r="R94" s="2345" t="n"/>
      <c r="S94" s="2345" t="n"/>
      <c r="T94" s="2345" t="n"/>
      <c r="U94" s="2345" t="n"/>
      <c r="V94" s="2345" t="n"/>
      <c r="W94" s="2345" t="n"/>
      <c r="X94" s="2345" t="n"/>
      <c r="Y94" s="2345" t="n"/>
      <c r="Z94" s="2345" t="n"/>
      <c r="AA94" s="2345" t="n"/>
      <c r="AB94" s="2345" t="n"/>
      <c r="AC94" s="2345" t="n"/>
      <c r="AD94" s="2345" t="n"/>
      <c r="AE94" s="2345" t="n"/>
      <c r="AF94" s="2345" t="n"/>
      <c r="AG94" s="2345" t="n"/>
      <c r="AH94" s="2345" t="n"/>
      <c r="AI94" s="2345" t="n"/>
      <c r="AJ94" s="2356" t="n">
        <v>436596</v>
      </c>
      <c r="AK94" s="2356" t="n">
        <v>378167</v>
      </c>
      <c r="AL94" s="2345" t="n"/>
      <c r="AM94" s="2345" t="inlineStr">
        <is>
          <t>Actual SS P&amp;L; mgmt=off-site+on-site combined</t>
        </is>
      </c>
    </row>
    <row r="95">
      <c r="A95" s="2345" t="inlineStr">
        <is>
          <t>P043</t>
        </is>
      </c>
      <c r="B95" s="2338" t="n">
        <v>386</v>
      </c>
      <c r="C95" s="2345" t="inlineStr">
        <is>
          <t>R0126234</t>
        </is>
      </c>
      <c r="D95" s="2345" t="inlineStr">
        <is>
          <t>715 W 112th Ave</t>
        </is>
      </c>
      <c r="E95" s="2345" t="inlineStr">
        <is>
          <t>Northglenn</t>
        </is>
      </c>
      <c r="F95" s="2345" t="inlineStr">
        <is>
          <t>CO</t>
        </is>
      </c>
      <c r="G95" s="2345" t="inlineStr">
        <is>
          <t>Self-Storage</t>
        </is>
      </c>
      <c r="H95" s="2345" t="inlineStr">
        <is>
          <t>Drive-Up/Drop-Off</t>
        </is>
      </c>
      <c r="I95" s="2345" t="n"/>
      <c r="J95" s="2345" t="n">
        <v>83756</v>
      </c>
      <c r="K95" s="2345" t="n">
        <v>2022</v>
      </c>
      <c r="L95" s="2345" t="n"/>
      <c r="M95" s="2345" t="n"/>
      <c r="N95" s="2356" t="n">
        <v>980798</v>
      </c>
      <c r="O95" s="2345" t="n"/>
      <c r="P95" s="2345" t="n"/>
      <c r="Q95" s="2345" t="n"/>
      <c r="R95" s="2345" t="n"/>
      <c r="S95" s="2345" t="n"/>
      <c r="T95" s="2345" t="n"/>
      <c r="U95" s="2345" t="n"/>
      <c r="V95" s="2345" t="n"/>
      <c r="W95" s="2345" t="n"/>
      <c r="X95" s="2345" t="n"/>
      <c r="Y95" s="2345" t="n"/>
      <c r="Z95" s="2345" t="n"/>
      <c r="AA95" s="2345" t="n"/>
      <c r="AB95" s="2345" t="n"/>
      <c r="AC95" s="2345" t="n"/>
      <c r="AD95" s="2345" t="n"/>
      <c r="AE95" s="2345" t="n"/>
      <c r="AF95" s="2345" t="n"/>
      <c r="AG95" s="2345" t="n"/>
      <c r="AH95" s="2345" t="n"/>
      <c r="AI95" s="2345" t="n"/>
      <c r="AJ95" s="2356" t="n">
        <v>455854</v>
      </c>
      <c r="AK95" s="2356" t="n">
        <v>524944</v>
      </c>
      <c r="AL95" s="2345" t="n"/>
      <c r="AM95" s="2345" t="inlineStr">
        <is>
          <t>Actual SS P&amp;L; mgmt=off-site+on-site combined</t>
        </is>
      </c>
    </row>
    <row r="96">
      <c r="A96" s="2345" t="inlineStr">
        <is>
          <t>P043</t>
        </is>
      </c>
      <c r="B96" s="2338" t="n">
        <v>386</v>
      </c>
      <c r="C96" s="2345" t="inlineStr">
        <is>
          <t>R0126234</t>
        </is>
      </c>
      <c r="D96" s="2345" t="inlineStr">
        <is>
          <t>715 W 112th Ave</t>
        </is>
      </c>
      <c r="E96" s="2345" t="inlineStr">
        <is>
          <t>Northglenn</t>
        </is>
      </c>
      <c r="F96" s="2345" t="inlineStr">
        <is>
          <t>CO</t>
        </is>
      </c>
      <c r="G96" s="2345" t="inlineStr">
        <is>
          <t>Self-Storage</t>
        </is>
      </c>
      <c r="H96" s="2345" t="inlineStr">
        <is>
          <t>Drive-Up/Drop-Off</t>
        </is>
      </c>
      <c r="I96" s="2345" t="n"/>
      <c r="J96" s="2345" t="n">
        <v>83756</v>
      </c>
      <c r="K96" s="2345" t="n">
        <v>2023</v>
      </c>
      <c r="L96" s="2345" t="n"/>
      <c r="M96" s="2345" t="n"/>
      <c r="N96" s="2356" t="n">
        <v>1011950</v>
      </c>
      <c r="O96" s="2356" t="n">
        <v>47107</v>
      </c>
      <c r="P96" s="2356" t="n">
        <v>111748</v>
      </c>
      <c r="Q96" s="2345" t="n"/>
      <c r="R96" s="2345" t="n"/>
      <c r="S96" s="2345" t="n"/>
      <c r="T96" s="2345" t="n"/>
      <c r="U96" s="2345" t="n"/>
      <c r="V96" s="2345" t="n"/>
      <c r="W96" s="2345" t="n"/>
      <c r="X96" s="2345" t="n"/>
      <c r="Y96" s="2356" t="n">
        <v>10236</v>
      </c>
      <c r="Z96" s="2345" t="n"/>
      <c r="AA96" s="2345" t="n"/>
      <c r="AB96" s="2345" t="n"/>
      <c r="AC96" s="2345" t="n"/>
      <c r="AD96" s="2345" t="n"/>
      <c r="AE96" s="2345" t="n"/>
      <c r="AF96" s="2356" t="n">
        <v>15944</v>
      </c>
      <c r="AG96" s="2345" t="n"/>
      <c r="AH96" s="2356" t="n">
        <v>257858</v>
      </c>
      <c r="AI96" s="2356" t="n">
        <v>202686</v>
      </c>
      <c r="AJ96" s="2356" t="n">
        <v>460544</v>
      </c>
      <c r="AK96" s="2356" t="n">
        <v>551606</v>
      </c>
      <c r="AL96" s="2345" t="n"/>
      <c r="AM96" s="2345" t="inlineStr">
        <is>
          <t>Actual SS P&amp;L; mgmt=off-site+on-site combined</t>
        </is>
      </c>
    </row>
    <row r="97">
      <c r="A97" s="2345" t="inlineStr">
        <is>
          <t>P044</t>
        </is>
      </c>
      <c r="B97" s="2338" t="n">
        <v>386</v>
      </c>
      <c r="C97" s="2345" t="inlineStr">
        <is>
          <t>R0027089/R0178319</t>
        </is>
      </c>
      <c r="D97" s="2345" t="inlineStr">
        <is>
          <t>2290 E 120th Ave</t>
        </is>
      </c>
      <c r="E97" s="2345" t="inlineStr">
        <is>
          <t>Thornton</t>
        </is>
      </c>
      <c r="F97" s="2345" t="inlineStr">
        <is>
          <t>CO</t>
        </is>
      </c>
      <c r="G97" s="2345" t="inlineStr">
        <is>
          <t>Self-Storage</t>
        </is>
      </c>
      <c r="H97" s="2345" t="inlineStr">
        <is>
          <t>Drive-Up/Drop-Off</t>
        </is>
      </c>
      <c r="I97" s="2345" t="n"/>
      <c r="J97" s="2345" t="n">
        <v>71909</v>
      </c>
      <c r="K97" s="2345" t="n">
        <v>2021</v>
      </c>
      <c r="L97" s="2345" t="n"/>
      <c r="M97" s="2345" t="n"/>
      <c r="N97" s="2356" t="n">
        <v>837430</v>
      </c>
      <c r="O97" s="2345" t="n"/>
      <c r="P97" s="2345" t="n"/>
      <c r="Q97" s="2345" t="n"/>
      <c r="R97" s="2345" t="n"/>
      <c r="S97" s="2345" t="n"/>
      <c r="T97" s="2345" t="n"/>
      <c r="U97" s="2345" t="n"/>
      <c r="V97" s="2345" t="n"/>
      <c r="W97" s="2345" t="n"/>
      <c r="X97" s="2345" t="n"/>
      <c r="Y97" s="2345" t="n"/>
      <c r="Z97" s="2345" t="n"/>
      <c r="AA97" s="2345" t="n"/>
      <c r="AB97" s="2345" t="n"/>
      <c r="AC97" s="2345" t="n"/>
      <c r="AD97" s="2345" t="n"/>
      <c r="AE97" s="2345" t="n"/>
      <c r="AF97" s="2345" t="n"/>
      <c r="AG97" s="2345" t="n"/>
      <c r="AH97" s="2345" t="n"/>
      <c r="AI97" s="2345" t="n"/>
      <c r="AJ97" s="2356" t="n">
        <v>445701</v>
      </c>
      <c r="AK97" s="2356" t="n">
        <v>391729</v>
      </c>
      <c r="AL97" s="2345" t="n"/>
      <c r="AM97" s="2345" t="inlineStr">
        <is>
          <t>Actual SS P&amp;L; combined parcels R0027089+R0178319; mgmt=off-site+on-site</t>
        </is>
      </c>
    </row>
    <row r="98">
      <c r="A98" s="2345" t="inlineStr">
        <is>
          <t>P044</t>
        </is>
      </c>
      <c r="B98" s="2338" t="n">
        <v>386</v>
      </c>
      <c r="C98" s="2345" t="inlineStr">
        <is>
          <t>R0027089/R0178319</t>
        </is>
      </c>
      <c r="D98" s="2345" t="inlineStr">
        <is>
          <t>2290 E 120th Ave</t>
        </is>
      </c>
      <c r="E98" s="2345" t="inlineStr">
        <is>
          <t>Thornton</t>
        </is>
      </c>
      <c r="F98" s="2345" t="inlineStr">
        <is>
          <t>CO</t>
        </is>
      </c>
      <c r="G98" s="2345" t="inlineStr">
        <is>
          <t>Self-Storage</t>
        </is>
      </c>
      <c r="H98" s="2345" t="inlineStr">
        <is>
          <t>Drive-Up/Drop-Off</t>
        </is>
      </c>
      <c r="I98" s="2345" t="n"/>
      <c r="J98" s="2345" t="n">
        <v>71909</v>
      </c>
      <c r="K98" s="2345" t="n">
        <v>2022</v>
      </c>
      <c r="L98" s="2345" t="n"/>
      <c r="M98" s="2345" t="n"/>
      <c r="N98" s="2356" t="n">
        <v>945562</v>
      </c>
      <c r="O98" s="2345" t="n"/>
      <c r="P98" s="2345" t="n"/>
      <c r="Q98" s="2345" t="n"/>
      <c r="R98" s="2345" t="n"/>
      <c r="S98" s="2345" t="n"/>
      <c r="T98" s="2345" t="n"/>
      <c r="U98" s="2345" t="n"/>
      <c r="V98" s="2345" t="n"/>
      <c r="W98" s="2345" t="n"/>
      <c r="X98" s="2345" t="n"/>
      <c r="Y98" s="2345" t="n"/>
      <c r="Z98" s="2345" t="n"/>
      <c r="AA98" s="2345" t="n"/>
      <c r="AB98" s="2345" t="n"/>
      <c r="AC98" s="2345" t="n"/>
      <c r="AD98" s="2345" t="n"/>
      <c r="AE98" s="2345" t="n"/>
      <c r="AF98" s="2345" t="n"/>
      <c r="AG98" s="2345" t="n"/>
      <c r="AH98" s="2345" t="n"/>
      <c r="AI98" s="2345" t="n"/>
      <c r="AJ98" s="2356" t="n">
        <v>445701</v>
      </c>
      <c r="AK98" s="2356" t="n">
        <v>466302</v>
      </c>
      <c r="AL98" s="2345" t="n"/>
      <c r="AM98" s="2345" t="inlineStr">
        <is>
          <t>Actual SS P&amp;L; combined parcels R0027089+R0178319; mgmt=off-site+on-site</t>
        </is>
      </c>
    </row>
    <row r="99">
      <c r="A99" s="2345" t="inlineStr">
        <is>
          <t>P044</t>
        </is>
      </c>
      <c r="B99" s="2338" t="n">
        <v>386</v>
      </c>
      <c r="C99" s="2345" t="inlineStr">
        <is>
          <t>R0027089/R0178319</t>
        </is>
      </c>
      <c r="D99" s="2345" t="inlineStr">
        <is>
          <t>2290 E 120th Ave</t>
        </is>
      </c>
      <c r="E99" s="2345" t="inlineStr">
        <is>
          <t>Thornton</t>
        </is>
      </c>
      <c r="F99" s="2345" t="inlineStr">
        <is>
          <t>CO</t>
        </is>
      </c>
      <c r="G99" s="2345" t="inlineStr">
        <is>
          <t>Self-Storage</t>
        </is>
      </c>
      <c r="H99" s="2345" t="inlineStr">
        <is>
          <t>Drive-Up/Drop-Off</t>
        </is>
      </c>
      <c r="I99" s="2345" t="n"/>
      <c r="J99" s="2345" t="n">
        <v>71909</v>
      </c>
      <c r="K99" s="2345" t="n">
        <v>2023</v>
      </c>
      <c r="L99" s="2345" t="n"/>
      <c r="M99" s="2345" t="n"/>
      <c r="N99" s="2356" t="n">
        <v>980778</v>
      </c>
      <c r="O99" s="2356" t="n">
        <v>43407</v>
      </c>
      <c r="P99" s="2356" t="n">
        <v>141702</v>
      </c>
      <c r="Q99" s="2345" t="n"/>
      <c r="R99" s="2345" t="n"/>
      <c r="S99" s="2345" t="n"/>
      <c r="T99" s="2345" t="n"/>
      <c r="U99" s="2345" t="n"/>
      <c r="V99" s="2345" t="n"/>
      <c r="W99" s="2345" t="n"/>
      <c r="X99" s="2345" t="n"/>
      <c r="Y99" s="2356" t="n">
        <v>17835</v>
      </c>
      <c r="Z99" s="2345" t="n"/>
      <c r="AA99" s="2345" t="n"/>
      <c r="AB99" s="2345" t="n"/>
      <c r="AC99" s="2345" t="n"/>
      <c r="AD99" s="2345" t="n"/>
      <c r="AE99" s="2345" t="n"/>
      <c r="AF99" s="2356" t="n">
        <v>21431</v>
      </c>
      <c r="AG99" s="2345" t="n"/>
      <c r="AH99" s="2356" t="n">
        <v>298955</v>
      </c>
      <c r="AI99" s="2356" t="n">
        <v>186365</v>
      </c>
      <c r="AJ99" s="2356" t="n">
        <v>485320</v>
      </c>
      <c r="AK99" s="2356" t="n">
        <v>492300</v>
      </c>
      <c r="AL99" s="2345" t="n"/>
      <c r="AM99" s="2345" t="inlineStr">
        <is>
          <t>Actual SS P&amp;L; combined parcels R0027089+R0178319; mgmt=off-site+on-site</t>
        </is>
      </c>
    </row>
    <row r="100">
      <c r="A100" s="2345" t="inlineStr">
        <is>
          <t>P045</t>
        </is>
      </c>
      <c r="B100" s="2338" t="n">
        <v>386</v>
      </c>
      <c r="C100" s="2345" t="inlineStr">
        <is>
          <t>R0043569</t>
        </is>
      </c>
      <c r="D100" s="2345" t="inlineStr">
        <is>
          <t>40131 Quivas St</t>
        </is>
      </c>
      <c r="E100" s="2345" t="inlineStr">
        <is>
          <t>Thornton</t>
        </is>
      </c>
      <c r="F100" s="2345" t="inlineStr">
        <is>
          <t>CO</t>
        </is>
      </c>
      <c r="G100" s="2345" t="inlineStr">
        <is>
          <t>Self-Storage</t>
        </is>
      </c>
      <c r="H100" s="2345" t="inlineStr">
        <is>
          <t>Drive-Up/Drop-Off</t>
        </is>
      </c>
      <c r="I100" s="2345" t="n"/>
      <c r="J100" s="2345" t="n">
        <v>41900</v>
      </c>
      <c r="K100" s="2345" t="n">
        <v>2024</v>
      </c>
      <c r="L100" s="2345" t="n"/>
      <c r="M100" s="2345" t="n"/>
      <c r="N100" s="2356" t="n">
        <v>718060</v>
      </c>
      <c r="O100" s="2356" t="n">
        <v>19037</v>
      </c>
      <c r="P100" s="2356" t="n">
        <v>93975</v>
      </c>
      <c r="Q100" s="2345" t="n"/>
      <c r="R100" s="2345" t="n"/>
      <c r="S100" s="2345" t="n"/>
      <c r="T100" s="2345" t="n"/>
      <c r="U100" s="2345" t="n"/>
      <c r="V100" s="2345" t="n"/>
      <c r="W100" s="2345" t="n"/>
      <c r="X100" s="2345" t="n"/>
      <c r="Y100" s="2356" t="n">
        <v>11768</v>
      </c>
      <c r="Z100" s="2345" t="n"/>
      <c r="AA100" s="2345" t="n"/>
      <c r="AB100" s="2345" t="n"/>
      <c r="AC100" s="2345" t="n"/>
      <c r="AD100" s="2345" t="n"/>
      <c r="AE100" s="2345" t="n"/>
      <c r="AF100" s="2356" t="n">
        <v>5417</v>
      </c>
      <c r="AG100" s="2345" t="n"/>
      <c r="AH100" s="2356" t="n">
        <v>208790</v>
      </c>
      <c r="AI100" s="2356" t="n">
        <v>176524</v>
      </c>
      <c r="AJ100" s="2356" t="n">
        <v>385314</v>
      </c>
      <c r="AK100" s="2356" t="n">
        <v>332746</v>
      </c>
      <c r="AL100" s="2345" t="n"/>
      <c r="AM100" s="2345" t="inlineStr">
        <is>
          <t>Actual FY2024 P&amp;L; mgmt=off-site $42,964+on-site $51,011; RE Tax est from matrix</t>
        </is>
      </c>
    </row>
    <row r="101">
      <c r="A101" s="2345" t="inlineStr">
        <is>
          <t>P046</t>
        </is>
      </c>
      <c r="B101" s="2338" t="n">
        <v>386</v>
      </c>
      <c r="C101" s="2345" t="inlineStr">
        <is>
          <t>R0193009</t>
        </is>
      </c>
      <c r="D101" s="2345" t="inlineStr">
        <is>
          <t>Address unknown – see R0193009</t>
        </is>
      </c>
      <c r="E101" s="2345" t="inlineStr">
        <is>
          <t>Adams County</t>
        </is>
      </c>
      <c r="F101" s="2345" t="inlineStr">
        <is>
          <t>CO</t>
        </is>
      </c>
      <c r="G101" s="2345" t="inlineStr">
        <is>
          <t>Self-Storage</t>
        </is>
      </c>
      <c r="H101" s="2345" t="inlineStr">
        <is>
          <t>Climate-Controlled</t>
        </is>
      </c>
      <c r="I101" s="2345" t="n"/>
      <c r="J101" s="2345" t="n">
        <v>94736</v>
      </c>
      <c r="K101" s="2345" t="n"/>
      <c r="L101" s="2345" t="n"/>
      <c r="M101" s="2345" t="n"/>
      <c r="N101" s="2356" t="n">
        <v>1582087</v>
      </c>
      <c r="O101" s="2356" t="n">
        <v>39625</v>
      </c>
      <c r="P101" s="2356" t="n">
        <v>167356</v>
      </c>
      <c r="Q101" s="2345" t="n"/>
      <c r="R101" s="2345" t="n"/>
      <c r="S101" s="2345" t="n"/>
      <c r="T101" s="2345" t="n"/>
      <c r="U101" s="2345" t="n"/>
      <c r="V101" s="2345" t="n"/>
      <c r="W101" s="2345" t="n"/>
      <c r="X101" s="2345" t="n"/>
      <c r="Y101" s="2356" t="n">
        <v>38582</v>
      </c>
      <c r="Z101" s="2345" t="n"/>
      <c r="AA101" s="2345" t="n"/>
      <c r="AB101" s="2345" t="n"/>
      <c r="AC101" s="2345" t="n"/>
      <c r="AD101" s="2345" t="n"/>
      <c r="AE101" s="2345" t="n"/>
      <c r="AF101" s="2356" t="n">
        <v>19609</v>
      </c>
      <c r="AG101" s="2345" t="n"/>
      <c r="AH101" s="2356" t="n">
        <v>349253</v>
      </c>
      <c r="AI101" s="2356" t="n">
        <v>423847</v>
      </c>
      <c r="AJ101" s="2356" t="n">
        <v>773100</v>
      </c>
      <c r="AK101" s="2356" t="n">
        <v>808987</v>
      </c>
      <c r="AL101" s="2345" t="n"/>
      <c r="AM101" s="2345" t="inlineStr">
        <is>
          <t>AXG SS Expense Matrix; year not specified (~2022/23); R0193009</t>
        </is>
      </c>
    </row>
    <row r="102">
      <c r="A102" s="2345" t="inlineStr">
        <is>
          <t>P047</t>
        </is>
      </c>
      <c r="B102" s="2338" t="n">
        <v>386</v>
      </c>
      <c r="C102" s="2345" t="inlineStr">
        <is>
          <t>R0099616</t>
        </is>
      </c>
      <c r="D102" s="2345" t="inlineStr">
        <is>
          <t>Address unknown – see R0099616</t>
        </is>
      </c>
      <c r="E102" s="2345" t="inlineStr">
        <is>
          <t>Adams County</t>
        </is>
      </c>
      <c r="F102" s="2345" t="inlineStr">
        <is>
          <t>CO</t>
        </is>
      </c>
      <c r="G102" s="2345" t="inlineStr">
        <is>
          <t>Self-Storage</t>
        </is>
      </c>
      <c r="H102" s="2345" t="inlineStr">
        <is>
          <t>Drive-Up/Drop-Off</t>
        </is>
      </c>
      <c r="I102" s="2345" t="n"/>
      <c r="J102" s="2345" t="n">
        <v>73500</v>
      </c>
      <c r="K102" s="2345" t="n"/>
      <c r="L102" s="2345" t="n"/>
      <c r="M102" s="2345" t="n"/>
      <c r="N102" s="2356" t="n">
        <v>834358</v>
      </c>
      <c r="O102" s="2356" t="n">
        <v>18408</v>
      </c>
      <c r="P102" s="2356" t="n">
        <v>65010</v>
      </c>
      <c r="Q102" s="2345" t="n"/>
      <c r="R102" s="2345" t="n"/>
      <c r="S102" s="2345" t="n"/>
      <c r="T102" s="2345" t="n"/>
      <c r="U102" s="2345" t="n"/>
      <c r="V102" s="2345" t="n"/>
      <c r="W102" s="2345" t="n"/>
      <c r="X102" s="2345" t="n"/>
      <c r="Y102" s="2356" t="n">
        <v>24753</v>
      </c>
      <c r="Z102" s="2345" t="n"/>
      <c r="AA102" s="2345" t="n"/>
      <c r="AB102" s="2345" t="n"/>
      <c r="AC102" s="2345" t="n"/>
      <c r="AD102" s="2345" t="n"/>
      <c r="AE102" s="2345" t="n"/>
      <c r="AF102" s="2356" t="n">
        <v>17255</v>
      </c>
      <c r="AG102" s="2345" t="n"/>
      <c r="AH102" s="2356" t="n">
        <v>198623</v>
      </c>
      <c r="AI102" s="2356" t="n">
        <v>157582</v>
      </c>
      <c r="AJ102" s="2356" t="n">
        <v>356205</v>
      </c>
      <c r="AK102" s="2356" t="n">
        <v>478153</v>
      </c>
      <c r="AL102" s="2345" t="n"/>
      <c r="AM102" s="2345" t="inlineStr">
        <is>
          <t>AXG SS Expense Matrix; year not specified (~2022/23); R0099616</t>
        </is>
      </c>
    </row>
    <row r="103">
      <c r="A103" s="2345" t="inlineStr">
        <is>
          <t>P048</t>
        </is>
      </c>
      <c r="B103" s="2338" t="n">
        <v>386</v>
      </c>
      <c r="C103" s="2345" t="inlineStr">
        <is>
          <t>R0098019</t>
        </is>
      </c>
      <c r="D103" s="2345" t="inlineStr">
        <is>
          <t>Address unknown – see R0098019</t>
        </is>
      </c>
      <c r="E103" s="2345" t="inlineStr">
        <is>
          <t>Adams County</t>
        </is>
      </c>
      <c r="F103" s="2345" t="inlineStr">
        <is>
          <t>CO</t>
        </is>
      </c>
      <c r="G103" s="2345" t="inlineStr">
        <is>
          <t>Self-Storage</t>
        </is>
      </c>
      <c r="H103" s="2345" t="inlineStr">
        <is>
          <t>Drive-Up/Drop-Off</t>
        </is>
      </c>
      <c r="I103" s="2345" t="n"/>
      <c r="J103" s="2345" t="n">
        <v>44975</v>
      </c>
      <c r="K103" s="2345" t="n"/>
      <c r="L103" s="2345" t="n"/>
      <c r="M103" s="2345" t="n"/>
      <c r="N103" s="2356" t="n">
        <v>588827</v>
      </c>
      <c r="O103" s="2356" t="n">
        <v>22185</v>
      </c>
      <c r="P103" s="2356" t="n">
        <v>38503</v>
      </c>
      <c r="Q103" s="2345" t="n"/>
      <c r="R103" s="2345" t="n"/>
      <c r="S103" s="2345" t="n"/>
      <c r="T103" s="2345" t="n"/>
      <c r="U103" s="2345" t="n"/>
      <c r="V103" s="2345" t="n"/>
      <c r="W103" s="2345" t="n"/>
      <c r="X103" s="2345" t="n"/>
      <c r="Y103" s="2356" t="n">
        <v>38667</v>
      </c>
      <c r="Z103" s="2345" t="n"/>
      <c r="AA103" s="2345" t="n"/>
      <c r="AB103" s="2345" t="n"/>
      <c r="AC103" s="2345" t="n"/>
      <c r="AD103" s="2345" t="n"/>
      <c r="AE103" s="2345" t="n"/>
      <c r="AF103" s="2356" t="n">
        <v>31243</v>
      </c>
      <c r="AG103" s="2345" t="n"/>
      <c r="AH103" s="2356" t="n">
        <v>143905</v>
      </c>
      <c r="AI103" s="2356" t="n">
        <v>128521</v>
      </c>
      <c r="AJ103" s="2356" t="n">
        <v>272426</v>
      </c>
      <c r="AK103" s="2356" t="n">
        <v>316401</v>
      </c>
      <c r="AL103" s="2345" t="n"/>
      <c r="AM103" s="2345" t="inlineStr">
        <is>
          <t>AXG SS Expense Matrix; year not specified (~2022/23); R0098019</t>
        </is>
      </c>
    </row>
    <row r="104">
      <c r="A104" s="2345" t="inlineStr">
        <is>
          <t>P049</t>
        </is>
      </c>
      <c r="B104" s="2338" t="n">
        <v>386</v>
      </c>
      <c r="C104" s="2345" t="inlineStr">
        <is>
          <t>R0102989</t>
        </is>
      </c>
      <c r="D104" s="2345" t="inlineStr">
        <is>
          <t>Address unknown – see R0102989</t>
        </is>
      </c>
      <c r="E104" s="2345" t="inlineStr">
        <is>
          <t>Adams County</t>
        </is>
      </c>
      <c r="F104" s="2345" t="inlineStr">
        <is>
          <t>CO</t>
        </is>
      </c>
      <c r="G104" s="2345" t="inlineStr">
        <is>
          <t>Self-Storage</t>
        </is>
      </c>
      <c r="H104" s="2345" t="inlineStr">
        <is>
          <t>Climate-Controlled</t>
        </is>
      </c>
      <c r="I104" s="2345" t="n"/>
      <c r="J104" s="2345" t="n">
        <v>94797</v>
      </c>
      <c r="K104" s="2345" t="n"/>
      <c r="L104" s="2345" t="n"/>
      <c r="M104" s="2345" t="n"/>
      <c r="N104" s="2356" t="n">
        <v>1184503</v>
      </c>
      <c r="O104" s="2356" t="n">
        <v>25293</v>
      </c>
      <c r="P104" s="2356" t="n">
        <v>206702</v>
      </c>
      <c r="Q104" s="2345" t="n"/>
      <c r="R104" s="2345" t="n"/>
      <c r="S104" s="2345" t="n"/>
      <c r="T104" s="2345" t="n"/>
      <c r="U104" s="2345" t="n"/>
      <c r="V104" s="2345" t="n"/>
      <c r="W104" s="2345" t="n"/>
      <c r="X104" s="2345" t="n"/>
      <c r="Y104" s="2356" t="n">
        <v>28562</v>
      </c>
      <c r="Z104" s="2345" t="n"/>
      <c r="AA104" s="2345" t="n"/>
      <c r="AB104" s="2345" t="n"/>
      <c r="AC104" s="2345" t="n"/>
      <c r="AD104" s="2345" t="n"/>
      <c r="AE104" s="2345" t="n"/>
      <c r="AF104" s="2356" t="n">
        <v>49493</v>
      </c>
      <c r="AG104" s="2345" t="n"/>
      <c r="AH104" s="2356" t="n">
        <v>434049</v>
      </c>
      <c r="AI104" s="2356" t="n">
        <v>259535</v>
      </c>
      <c r="AJ104" s="2356" t="n">
        <v>693584</v>
      </c>
      <c r="AK104" s="2356" t="n">
        <v>490919</v>
      </c>
      <c r="AL104" s="2345" t="n"/>
      <c r="AM104" s="2345" t="inlineStr">
        <is>
          <t>AXG SS Expense Matrix; year not specified (~2022/23); R0102989</t>
        </is>
      </c>
    </row>
    <row r="105">
      <c r="A105" s="2345" t="inlineStr">
        <is>
          <t>P050</t>
        </is>
      </c>
      <c r="B105" s="2338" t="n">
        <v>386</v>
      </c>
      <c r="C105" s="2345" t="inlineStr">
        <is>
          <t>R0085523</t>
        </is>
      </c>
      <c r="D105" s="2345" t="inlineStr">
        <is>
          <t>Address unknown – see R0085523</t>
        </is>
      </c>
      <c r="E105" s="2345" t="inlineStr">
        <is>
          <t>Adams County</t>
        </is>
      </c>
      <c r="F105" s="2345" t="inlineStr">
        <is>
          <t>CO</t>
        </is>
      </c>
      <c r="G105" s="2345" t="inlineStr">
        <is>
          <t>Self-Storage</t>
        </is>
      </c>
      <c r="H105" s="2345" t="inlineStr">
        <is>
          <t>Drive-Up/Drop-Off</t>
        </is>
      </c>
      <c r="I105" s="2345" t="n"/>
      <c r="J105" s="2345" t="n">
        <v>39525</v>
      </c>
      <c r="K105" s="2345" t="n"/>
      <c r="L105" s="2345" t="n"/>
      <c r="M105" s="2345" t="n"/>
      <c r="N105" s="2356" t="n">
        <v>541974</v>
      </c>
      <c r="O105" s="2356" t="n">
        <v>8307</v>
      </c>
      <c r="P105" s="2356" t="n">
        <v>94279</v>
      </c>
      <c r="Q105" s="2345" t="n"/>
      <c r="R105" s="2345" t="n"/>
      <c r="S105" s="2345" t="n"/>
      <c r="T105" s="2345" t="n"/>
      <c r="U105" s="2345" t="n"/>
      <c r="V105" s="2345" t="n"/>
      <c r="W105" s="2345" t="n"/>
      <c r="X105" s="2345" t="n"/>
      <c r="Y105" s="2356" t="n">
        <v>21292</v>
      </c>
      <c r="Z105" s="2345" t="n"/>
      <c r="AA105" s="2345" t="n"/>
      <c r="AB105" s="2345" t="n"/>
      <c r="AC105" s="2345" t="n"/>
      <c r="AD105" s="2345" t="n"/>
      <c r="AE105" s="2345" t="n"/>
      <c r="AF105" s="2356" t="n">
        <v>16489</v>
      </c>
      <c r="AG105" s="2345" t="n"/>
      <c r="AH105" s="2356" t="n">
        <v>149627</v>
      </c>
      <c r="AI105" s="2356" t="n">
        <v>209139</v>
      </c>
      <c r="AJ105" s="2356" t="n">
        <v>358766</v>
      </c>
      <c r="AK105" s="2356" t="n">
        <v>183208</v>
      </c>
      <c r="AL105" s="2345" t="n"/>
      <c r="AM105" s="2345" t="inlineStr">
        <is>
          <t>AXG SS Expense Matrix; year not specified (~2022/23); R0085523</t>
        </is>
      </c>
    </row>
    <row r="106">
      <c r="A106" s="2345" t="inlineStr">
        <is>
          <t>P051</t>
        </is>
      </c>
      <c r="B106" s="2338" t="n">
        <v>386</v>
      </c>
      <c r="C106" s="2345" t="inlineStr">
        <is>
          <t>R0174860</t>
        </is>
      </c>
      <c r="D106" s="2345" t="inlineStr">
        <is>
          <t>Address unknown – see R0174860</t>
        </is>
      </c>
      <c r="E106" s="2345" t="inlineStr">
        <is>
          <t>Adams County</t>
        </is>
      </c>
      <c r="F106" s="2345" t="inlineStr">
        <is>
          <t>CO</t>
        </is>
      </c>
      <c r="G106" s="2345" t="inlineStr">
        <is>
          <t>Self-Storage</t>
        </is>
      </c>
      <c r="H106" s="2345" t="inlineStr">
        <is>
          <t>Drive-Up/Drop-Off (containers)</t>
        </is>
      </c>
      <c r="I106" s="2345" t="n"/>
      <c r="J106" s="2345" t="n">
        <v>45980</v>
      </c>
      <c r="K106" s="2345" t="n"/>
      <c r="L106" s="2345" t="n"/>
      <c r="M106" s="2345" t="n"/>
      <c r="N106" s="2356" t="n">
        <v>646496</v>
      </c>
      <c r="O106" s="2356" t="n">
        <v>4989</v>
      </c>
      <c r="P106" s="2356" t="n">
        <v>70000</v>
      </c>
      <c r="Q106" s="2345" t="n"/>
      <c r="R106" s="2345" t="n"/>
      <c r="S106" s="2345" t="n"/>
      <c r="T106" s="2345" t="n"/>
      <c r="U106" s="2345" t="n"/>
      <c r="V106" s="2345" t="n"/>
      <c r="W106" s="2345" t="n"/>
      <c r="X106" s="2345" t="n"/>
      <c r="Y106" s="2356" t="n">
        <v>12000</v>
      </c>
      <c r="Z106" s="2345" t="n"/>
      <c r="AA106" s="2345" t="n"/>
      <c r="AB106" s="2345" t="n"/>
      <c r="AC106" s="2345" t="n"/>
      <c r="AD106" s="2345" t="n"/>
      <c r="AE106" s="2345" t="n"/>
      <c r="AF106" s="2356" t="n">
        <v>11972</v>
      </c>
      <c r="AG106" s="2345" t="n"/>
      <c r="AH106" s="2356" t="n">
        <v>146795</v>
      </c>
      <c r="AI106" s="2356" t="n">
        <v>83042</v>
      </c>
      <c r="AJ106" s="2356" t="n">
        <v>229837</v>
      </c>
      <c r="AK106" s="2356" t="n">
        <v>416659</v>
      </c>
      <c r="AL106" s="2345" t="n"/>
      <c r="AM106" s="2345" t="inlineStr">
        <is>
          <t>AXG SS Expense Matrix; year not specified (~2022/23); R0174860</t>
        </is>
      </c>
    </row>
    <row r="107">
      <c r="A107" s="2345" t="inlineStr">
        <is>
          <t>P052</t>
        </is>
      </c>
      <c r="B107" s="2338" t="n">
        <v>386</v>
      </c>
      <c r="C107" s="2345" t="inlineStr">
        <is>
          <t>R0161412</t>
        </is>
      </c>
      <c r="D107" s="2345" t="inlineStr">
        <is>
          <t>Address unknown – see R0161412</t>
        </is>
      </c>
      <c r="E107" s="2345" t="inlineStr">
        <is>
          <t>Adams County</t>
        </is>
      </c>
      <c r="F107" s="2345" t="inlineStr">
        <is>
          <t>CO</t>
        </is>
      </c>
      <c r="G107" s="2345" t="inlineStr">
        <is>
          <t>Self-Storage</t>
        </is>
      </c>
      <c r="H107" s="2345" t="inlineStr">
        <is>
          <t>Drive-Up/Drop-Off</t>
        </is>
      </c>
      <c r="I107" s="2345" t="n"/>
      <c r="J107" s="2345" t="n">
        <v>88043</v>
      </c>
      <c r="K107" s="2345" t="n"/>
      <c r="L107" s="2345" t="n"/>
      <c r="M107" s="2345" t="n"/>
      <c r="N107" s="2356" t="n">
        <v>1206603</v>
      </c>
      <c r="O107" s="2356" t="n">
        <v>12478</v>
      </c>
      <c r="P107" s="2356" t="n">
        <v>179092</v>
      </c>
      <c r="Q107" s="2345" t="n"/>
      <c r="R107" s="2345" t="n"/>
      <c r="S107" s="2345" t="n"/>
      <c r="T107" s="2345" t="n"/>
      <c r="U107" s="2345" t="n"/>
      <c r="V107" s="2345" t="n"/>
      <c r="W107" s="2345" t="n"/>
      <c r="X107" s="2345" t="n"/>
      <c r="Y107" s="2356" t="n">
        <v>20272</v>
      </c>
      <c r="Z107" s="2345" t="n"/>
      <c r="AA107" s="2345" t="n"/>
      <c r="AB107" s="2345" t="n"/>
      <c r="AC107" s="2345" t="n"/>
      <c r="AD107" s="2345" t="n"/>
      <c r="AE107" s="2345" t="n"/>
      <c r="AF107" s="2356" t="n">
        <v>16957</v>
      </c>
      <c r="AG107" s="2345" t="n"/>
      <c r="AH107" s="2356" t="n">
        <v>284089</v>
      </c>
      <c r="AI107" s="2356" t="n">
        <v>389500</v>
      </c>
      <c r="AJ107" s="2356" t="n">
        <v>673589</v>
      </c>
      <c r="AK107" s="2356" t="n">
        <v>533014</v>
      </c>
      <c r="AL107" s="2345" t="n"/>
      <c r="AM107" s="2345" t="inlineStr">
        <is>
          <t>AXG SS Expense Matrix; year not specified (~2022/23); R0161412</t>
        </is>
      </c>
    </row>
    <row r="108">
      <c r="A108" s="2345" t="inlineStr">
        <is>
          <t>P053</t>
        </is>
      </c>
      <c r="B108" s="2338" t="n">
        <v>386</v>
      </c>
      <c r="C108" s="2345" t="inlineStr">
        <is>
          <t>R0169115</t>
        </is>
      </c>
      <c r="D108" s="2345" t="inlineStr">
        <is>
          <t>Address unknown – see R0169115</t>
        </is>
      </c>
      <c r="E108" s="2345" t="inlineStr">
        <is>
          <t>Adams County</t>
        </is>
      </c>
      <c r="F108" s="2345" t="inlineStr">
        <is>
          <t>CO</t>
        </is>
      </c>
      <c r="G108" s="2345" t="inlineStr">
        <is>
          <t>Self-Storage</t>
        </is>
      </c>
      <c r="H108" s="2345" t="inlineStr">
        <is>
          <t>Drive-Up/Drop-Off</t>
        </is>
      </c>
      <c r="I108" s="2345" t="n"/>
      <c r="J108" s="2345" t="n">
        <v>41764</v>
      </c>
      <c r="K108" s="2345" t="n"/>
      <c r="L108" s="2345" t="n"/>
      <c r="M108" s="2345" t="n"/>
      <c r="N108" s="2356" t="n">
        <v>787364</v>
      </c>
      <c r="O108" s="2356" t="n">
        <v>9652</v>
      </c>
      <c r="P108" s="2356" t="n">
        <v>83320</v>
      </c>
      <c r="Q108" s="2345" t="n"/>
      <c r="R108" s="2345" t="n"/>
      <c r="S108" s="2345" t="n"/>
      <c r="T108" s="2345" t="n"/>
      <c r="U108" s="2345" t="n"/>
      <c r="V108" s="2345" t="n"/>
      <c r="W108" s="2345" t="n"/>
      <c r="X108" s="2345" t="n"/>
      <c r="Y108" s="2356" t="n">
        <v>25639</v>
      </c>
      <c r="Z108" s="2345" t="n"/>
      <c r="AA108" s="2345" t="n"/>
      <c r="AB108" s="2345" t="n"/>
      <c r="AC108" s="2345" t="n"/>
      <c r="AD108" s="2345" t="n"/>
      <c r="AE108" s="2345" t="n"/>
      <c r="AF108" s="2356" t="n">
        <v>15956</v>
      </c>
      <c r="AG108" s="2345" t="n"/>
      <c r="AH108" s="2356" t="n">
        <v>192632</v>
      </c>
      <c r="AI108" s="2356" t="n">
        <v>203116</v>
      </c>
      <c r="AJ108" s="2356" t="n">
        <v>395748</v>
      </c>
      <c r="AK108" s="2356" t="n">
        <v>391616</v>
      </c>
      <c r="AL108" s="2345" t="n"/>
      <c r="AM108" s="2345" t="inlineStr">
        <is>
          <t>AXG SS Expense Matrix; year not specified (~2022/23); R0169115</t>
        </is>
      </c>
    </row>
    <row r="109">
      <c r="A109" s="2345" t="inlineStr">
        <is>
          <t>P016</t>
        </is>
      </c>
      <c r="B109" s="2338" t="n">
        <v>584</v>
      </c>
      <c r="C109" s="2345" t="inlineStr">
        <is>
          <t>R0212546/R0212547</t>
        </is>
      </c>
      <c r="D109" s="2345" t="inlineStr">
        <is>
          <t>2780 N Tower Rd</t>
        </is>
      </c>
      <c r="E109" s="2345" t="inlineStr">
        <is>
          <t>Aurora</t>
        </is>
      </c>
      <c r="F109" s="2345" t="inlineStr">
        <is>
          <t>CO</t>
        </is>
      </c>
      <c r="G109" s="2345" t="inlineStr">
        <is>
          <t>Industrial</t>
        </is>
      </c>
      <c r="H109" s="2345" t="inlineStr">
        <is>
          <t>Mega Warehouse NNN</t>
        </is>
      </c>
      <c r="I109" s="2345" t="n">
        <v>1983</v>
      </c>
      <c r="J109" s="2345" t="n">
        <v>377729</v>
      </c>
      <c r="K109" s="2345" t="n">
        <v>2023</v>
      </c>
      <c r="L109" s="2356" t="n">
        <v>2979661</v>
      </c>
      <c r="M109" s="2345" t="n"/>
      <c r="N109" s="2356" t="n">
        <v>2979661</v>
      </c>
      <c r="O109" s="2345" t="n"/>
      <c r="P109" s="2356" t="n">
        <v>3855</v>
      </c>
      <c r="Q109" s="2345" t="n"/>
      <c r="R109" s="2345" t="n"/>
      <c r="S109" s="2345" t="n"/>
      <c r="T109" s="2345" t="n"/>
      <c r="U109" s="2345" t="n"/>
      <c r="V109" s="2345" t="n"/>
      <c r="W109" s="2345" t="n"/>
      <c r="X109" s="2345" t="n"/>
      <c r="Y109" s="2345" t="n"/>
      <c r="Z109" s="2345" t="n"/>
      <c r="AA109" s="2345" t="n"/>
      <c r="AB109" s="2345" t="n"/>
      <c r="AC109" s="2345" t="n"/>
      <c r="AD109" s="2345" t="n"/>
      <c r="AE109" s="2345" t="n"/>
      <c r="AF109" s="2345" t="n"/>
      <c r="AG109" s="2356" t="n">
        <v>7775</v>
      </c>
      <c r="AH109" s="2356" t="n">
        <v>41363</v>
      </c>
      <c r="AI109" s="2356" t="n">
        <v>0</v>
      </c>
      <c r="AJ109" s="2356" t="n">
        <v>41363</v>
      </c>
      <c r="AK109" s="2356" t="n">
        <v>2938298</v>
      </c>
      <c r="AL109" s="2345" t="n"/>
      <c r="AM109" s="2345" t="inlineStr">
        <is>
          <t>Absolute NNN; tenant pays ALL RE tax, ins, CAM; owner opex = admin only (excl D&amp;A $456k); supersedes proforma row</t>
        </is>
      </c>
    </row>
    <row r="110">
      <c r="A110" s="2345" t="inlineStr">
        <is>
          <t>P016</t>
        </is>
      </c>
      <c r="B110" s="2338" t="n">
        <v>584</v>
      </c>
      <c r="C110" s="2345" t="inlineStr">
        <is>
          <t>R0212546/R0212547</t>
        </is>
      </c>
      <c r="D110" s="2345" t="inlineStr">
        <is>
          <t>2780 N Tower Rd</t>
        </is>
      </c>
      <c r="E110" s="2345" t="inlineStr">
        <is>
          <t>Aurora</t>
        </is>
      </c>
      <c r="F110" s="2345" t="inlineStr">
        <is>
          <t>CO</t>
        </is>
      </c>
      <c r="G110" s="2345" t="inlineStr">
        <is>
          <t>Industrial</t>
        </is>
      </c>
      <c r="H110" s="2345" t="inlineStr">
        <is>
          <t>Mega Warehouse NNN</t>
        </is>
      </c>
      <c r="I110" s="2345" t="n">
        <v>1983</v>
      </c>
      <c r="J110" s="2345" t="n">
        <v>377729</v>
      </c>
      <c r="K110" s="2345" t="n">
        <v>2024</v>
      </c>
      <c r="L110" s="2356" t="n">
        <v>3047376</v>
      </c>
      <c r="M110" s="2345" t="n"/>
      <c r="N110" s="2356" t="n">
        <v>3047376</v>
      </c>
      <c r="O110" s="2345" t="n"/>
      <c r="P110" s="2356" t="n">
        <v>4000</v>
      </c>
      <c r="Q110" s="2345" t="n"/>
      <c r="R110" s="2345" t="n"/>
      <c r="S110" s="2345" t="n"/>
      <c r="T110" s="2345" t="n"/>
      <c r="U110" s="2345" t="n"/>
      <c r="V110" s="2345" t="n"/>
      <c r="W110" s="2345" t="n"/>
      <c r="X110" s="2345" t="n"/>
      <c r="Y110" s="2345" t="n"/>
      <c r="Z110" s="2345" t="n"/>
      <c r="AA110" s="2345" t="n"/>
      <c r="AB110" s="2345" t="n"/>
      <c r="AC110" s="2345" t="n"/>
      <c r="AD110" s="2345" t="n"/>
      <c r="AE110" s="2345" t="n"/>
      <c r="AF110" s="2345" t="n"/>
      <c r="AG110" s="2356" t="n">
        <v>25863</v>
      </c>
      <c r="AH110" s="2356" t="n">
        <v>58863</v>
      </c>
      <c r="AI110" s="2356" t="n">
        <v>0</v>
      </c>
      <c r="AJ110" s="2356" t="n">
        <v>58863</v>
      </c>
      <c r="AK110" s="2356" t="n">
        <v>2988513</v>
      </c>
      <c r="AL110" s="2345" t="n"/>
      <c r="AM110" s="2345" t="inlineStr">
        <is>
          <t>Absolute NNN; tenant pays ALL RE tax, ins, CAM; owner opex = admin only (excl D&amp;A $456k); supersedes proforma row</t>
        </is>
      </c>
    </row>
    <row r="111">
      <c r="A111" s="2345" t="inlineStr">
        <is>
          <t>P034</t>
        </is>
      </c>
      <c r="B111" s="2338" t="n">
        <v>407</v>
      </c>
      <c r="C111" s="2345" t="inlineStr">
        <is>
          <t>R0172865</t>
        </is>
      </c>
      <c r="D111" s="2345" t="inlineStr">
        <is>
          <t>Majestic Commercenter (R0172865)</t>
        </is>
      </c>
      <c r="E111" s="2345" t="inlineStr">
        <is>
          <t>Commerce City</t>
        </is>
      </c>
      <c r="F111" s="2345" t="inlineStr">
        <is>
          <t>CO</t>
        </is>
      </c>
      <c r="G111" s="2345" t="inlineStr">
        <is>
          <t>Industrial</t>
        </is>
      </c>
      <c r="H111" s="2345" t="inlineStr">
        <is>
          <t>Warehouse NNN</t>
        </is>
      </c>
      <c r="I111" s="2345" t="n">
        <v>2008</v>
      </c>
      <c r="J111" s="2345" t="n">
        <v>215461</v>
      </c>
      <c r="K111" s="2345" t="n">
        <v>2024</v>
      </c>
      <c r="L111" s="2356" t="n">
        <v>1540283</v>
      </c>
      <c r="M111" s="2345" t="n"/>
      <c r="N111" s="2356" t="n">
        <v>1540283</v>
      </c>
      <c r="O111" s="2345" t="n"/>
      <c r="P111" s="2345" t="n"/>
      <c r="Q111" s="2345" t="n"/>
      <c r="R111" s="2345" t="n"/>
      <c r="S111" s="2345" t="n"/>
      <c r="T111" s="2345" t="n"/>
      <c r="U111" s="2345" t="n"/>
      <c r="V111" s="2345" t="n"/>
      <c r="W111" s="2345" t="n"/>
      <c r="X111" s="2345" t="n"/>
      <c r="Y111" s="2345" t="n"/>
      <c r="Z111" s="2345" t="n"/>
      <c r="AA111" s="2356" t="n">
        <v>9880</v>
      </c>
      <c r="AB111" s="2356" t="n">
        <v>29880</v>
      </c>
      <c r="AC111" s="2345" t="n"/>
      <c r="AD111" s="2345" t="n"/>
      <c r="AE111" s="2345" t="n"/>
      <c r="AF111" s="2345" t="n"/>
      <c r="AG111" s="2345" t="n"/>
      <c r="AH111" s="2345" t="n"/>
      <c r="AI111" s="2345" t="n"/>
      <c r="AJ111" s="2345" t="n"/>
      <c r="AK111" s="2345" t="n"/>
      <c r="AL111" s="2345" t="n"/>
      <c r="AM111" s="2345" t="inlineStr">
        <is>
          <t>2024 actual 12-month P&amp;L; NOI est. per expense ratio; from 08_2025 Review</t>
        </is>
      </c>
    </row>
    <row r="112">
      <c r="A112" s="2345" t="inlineStr">
        <is>
          <t>P036</t>
        </is>
      </c>
      <c r="B112" s="2338" t="n">
        <v>407</v>
      </c>
      <c r="C112" s="2345" t="inlineStr">
        <is>
          <t>R0172868</t>
        </is>
      </c>
      <c r="D112" s="2345" t="inlineStr">
        <is>
          <t>Majestic Commercenter (R0172868)</t>
        </is>
      </c>
      <c r="E112" s="2345" t="inlineStr">
        <is>
          <t>Commerce City</t>
        </is>
      </c>
      <c r="F112" s="2345" t="inlineStr">
        <is>
          <t>CO</t>
        </is>
      </c>
      <c r="G112" s="2345" t="inlineStr">
        <is>
          <t>Industrial</t>
        </is>
      </c>
      <c r="H112" s="2345" t="inlineStr">
        <is>
          <t>Warehouse NNN</t>
        </is>
      </c>
      <c r="I112" s="2345" t="n">
        <v>2007</v>
      </c>
      <c r="J112" s="2345" t="n">
        <v>202091</v>
      </c>
      <c r="K112" s="2345" t="n">
        <v>2024</v>
      </c>
      <c r="L112" s="2345" t="n"/>
      <c r="M112" s="2345" t="n"/>
      <c r="N112" s="2356" t="n">
        <v>1057537</v>
      </c>
      <c r="O112" s="2345" t="n"/>
      <c r="P112" s="2345" t="n"/>
      <c r="Q112" s="2345" t="n"/>
      <c r="R112" s="2345" t="n"/>
      <c r="S112" s="2345" t="n"/>
      <c r="T112" s="2345" t="n"/>
      <c r="U112" s="2345" t="n"/>
      <c r="V112" s="2345" t="n"/>
      <c r="W112" s="2345" t="n"/>
      <c r="X112" s="2345" t="n"/>
      <c r="Y112" s="2345" t="n"/>
      <c r="Z112" s="2345" t="n"/>
      <c r="AA112" s="2345" t="n"/>
      <c r="AB112" s="2345" t="n"/>
      <c r="AC112" s="2345" t="n"/>
      <c r="AD112" s="2345" t="n"/>
      <c r="AE112" s="2345" t="n"/>
      <c r="AF112" s="2345" t="n"/>
      <c r="AG112" s="2345" t="n"/>
      <c r="AH112" s="2356" t="n">
        <v>722093</v>
      </c>
      <c r="AI112" s="2345" t="n"/>
      <c r="AJ112" s="2356" t="n">
        <v>722093</v>
      </c>
      <c r="AK112" s="2356" t="n">
        <v>335444</v>
      </c>
      <c r="AL112" s="2345" t="n"/>
      <c r="AM112" s="2345" t="inlineStr">
        <is>
          <t>2024 actual 12-month P&amp;L; from 08_2025 Review</t>
        </is>
      </c>
    </row>
    <row r="113">
      <c r="A113" s="2345" t="inlineStr">
        <is>
          <t>P054</t>
        </is>
      </c>
      <c r="B113" s="2338" t="n">
        <v>210</v>
      </c>
      <c r="C113" s="2345" t="inlineStr">
        <is>
          <t>R0180551</t>
        </is>
      </c>
      <c r="D113" s="2345" t="inlineStr">
        <is>
          <t>1953 N Gun Club Rd</t>
        </is>
      </c>
      <c r="E113" s="2345" t="inlineStr">
        <is>
          <t>Aurora</t>
        </is>
      </c>
      <c r="F113" s="2345" t="inlineStr">
        <is>
          <t>CO</t>
        </is>
      </c>
      <c r="G113" s="2345" t="inlineStr">
        <is>
          <t>Industrial</t>
        </is>
      </c>
      <c r="H113" s="2345" t="inlineStr">
        <is>
          <t>Multi-Tenant Industrial/Office NNN</t>
        </is>
      </c>
      <c r="I113" s="2345" t="n"/>
      <c r="J113" s="2345" t="n"/>
      <c r="K113" s="2345" t="n">
        <v>2023</v>
      </c>
      <c r="L113" s="2345" t="n"/>
      <c r="M113" s="2345" t="n"/>
      <c r="N113" s="2356" t="n">
        <v>2454080</v>
      </c>
      <c r="O113" s="2356" t="n">
        <v>41179</v>
      </c>
      <c r="P113" s="2356" t="n">
        <v>58394</v>
      </c>
      <c r="Q113" s="2345" t="n"/>
      <c r="R113" s="2345" t="n"/>
      <c r="S113" s="2356" t="n">
        <v>36166</v>
      </c>
      <c r="T113" s="2356" t="n">
        <v>1942</v>
      </c>
      <c r="U113" s="2345" t="n"/>
      <c r="V113" s="2345" t="n"/>
      <c r="W113" s="2345" t="n"/>
      <c r="X113" s="2356" t="n">
        <v>549</v>
      </c>
      <c r="Y113" s="2356" t="n">
        <v>38657</v>
      </c>
      <c r="Z113" s="2345" t="n"/>
      <c r="AA113" s="2356" t="n">
        <v>15068</v>
      </c>
      <c r="AB113" s="2356" t="n">
        <v>55875</v>
      </c>
      <c r="AC113" s="2356" t="n">
        <v>70943</v>
      </c>
      <c r="AD113" s="2356" t="n">
        <v>25682</v>
      </c>
      <c r="AE113" s="2345" t="n"/>
      <c r="AF113" s="2356" t="n">
        <v>25682</v>
      </c>
      <c r="AG113" s="2356" t="n">
        <v>1654</v>
      </c>
      <c r="AH113" s="2356" t="n">
        <v>220784</v>
      </c>
      <c r="AI113" s="2356" t="n">
        <v>1347168</v>
      </c>
      <c r="AJ113" s="2356" t="n">
        <v>1568172</v>
      </c>
      <c r="AK113" s="2356" t="n">
        <v>885908</v>
      </c>
      <c r="AL113" s="2345" t="n"/>
      <c r="AM113" s="2345" t="inlineStr">
        <is>
          <t>Actual accrual; base rent $880k; recovery $1.59M; prior-yr adj included</t>
        </is>
      </c>
    </row>
    <row r="114">
      <c r="A114" s="2345" t="inlineStr">
        <is>
          <t>P054</t>
        </is>
      </c>
      <c r="B114" s="2338" t="n">
        <v>210</v>
      </c>
      <c r="C114" s="2345" t="inlineStr">
        <is>
          <t>R0180551</t>
        </is>
      </c>
      <c r="D114" s="2345" t="inlineStr">
        <is>
          <t>1953 N Gun Club Rd</t>
        </is>
      </c>
      <c r="E114" s="2345" t="inlineStr">
        <is>
          <t>Aurora</t>
        </is>
      </c>
      <c r="F114" s="2345" t="inlineStr">
        <is>
          <t>CO</t>
        </is>
      </c>
      <c r="G114" s="2345" t="inlineStr">
        <is>
          <t>Industrial</t>
        </is>
      </c>
      <c r="H114" s="2345" t="inlineStr">
        <is>
          <t>Multi-Tenant Industrial/Office NNN</t>
        </is>
      </c>
      <c r="I114" s="2345" t="n"/>
      <c r="J114" s="2345" t="n"/>
      <c r="K114" s="2345" t="n">
        <v>2024</v>
      </c>
      <c r="L114" s="2345" t="n"/>
      <c r="M114" s="2345" t="n"/>
      <c r="N114" s="2356" t="n">
        <v>2720117</v>
      </c>
      <c r="O114" s="2356" t="n">
        <v>53324</v>
      </c>
      <c r="P114" s="2356" t="n">
        <v>85426</v>
      </c>
      <c r="Q114" s="2345" t="n"/>
      <c r="R114" s="2345" t="n"/>
      <c r="S114" s="2356" t="n">
        <v>10052</v>
      </c>
      <c r="T114" s="2356" t="n">
        <v>12752</v>
      </c>
      <c r="U114" s="2345" t="n"/>
      <c r="V114" s="2345" t="n"/>
      <c r="W114" s="2345" t="n"/>
      <c r="X114" s="2356" t="n">
        <v>789</v>
      </c>
      <c r="Y114" s="2356" t="n">
        <v>23593</v>
      </c>
      <c r="Z114" s="2345" t="n"/>
      <c r="AA114" s="2356" t="n">
        <v>16126</v>
      </c>
      <c r="AB114" s="2356" t="n">
        <v>57314</v>
      </c>
      <c r="AC114" s="2356" t="n">
        <v>73440</v>
      </c>
      <c r="AD114" s="2356" t="n">
        <v>21725</v>
      </c>
      <c r="AE114" s="2345" t="n"/>
      <c r="AF114" s="2356" t="n">
        <v>21725</v>
      </c>
      <c r="AG114" s="2356" t="n">
        <v>2601</v>
      </c>
      <c r="AH114" s="2356" t="n">
        <v>265585</v>
      </c>
      <c r="AI114" s="2356" t="n">
        <v>1331347</v>
      </c>
      <c r="AJ114" s="2356" t="n">
        <v>1596932</v>
      </c>
      <c r="AK114" s="2356" t="n">
        <v>1123184</v>
      </c>
      <c r="AL114" s="2345" t="n"/>
      <c r="AM114" s="2345" t="inlineStr">
        <is>
          <t>Actual accrual; base rent $1.09M stepped; recovery $1.62M</t>
        </is>
      </c>
    </row>
    <row r="115">
      <c r="A115" s="2345" t="inlineStr">
        <is>
          <t>P055</t>
        </is>
      </c>
      <c r="B115" s="2338" t="n">
        <v>407</v>
      </c>
      <c r="C115" s="2345" t="inlineStr">
        <is>
          <t>R0211072/R0211073/R0211074</t>
        </is>
      </c>
      <c r="D115" s="2345" t="inlineStr">
        <is>
          <t>Park 76 Distribution Center</t>
        </is>
      </c>
      <c r="E115" s="2345" t="inlineStr">
        <is>
          <t>Aurora</t>
        </is>
      </c>
      <c r="F115" s="2345" t="inlineStr">
        <is>
          <t>CO</t>
        </is>
      </c>
      <c r="G115" s="2345" t="inlineStr">
        <is>
          <t>Industrial</t>
        </is>
      </c>
      <c r="H115" s="2345" t="inlineStr">
        <is>
          <t>Industrial Warehouse NNN</t>
        </is>
      </c>
      <c r="I115" s="2345" t="n"/>
      <c r="J115" s="2345" t="n"/>
      <c r="K115" s="2345" t="n">
        <v>2023</v>
      </c>
      <c r="L115" s="2356" t="n">
        <v>1865903</v>
      </c>
      <c r="M115" s="2345" t="n"/>
      <c r="N115" s="2356" t="n">
        <v>2819460</v>
      </c>
      <c r="O115" s="2356" t="n">
        <v>30551</v>
      </c>
      <c r="P115" s="2356" t="n">
        <v>174961</v>
      </c>
      <c r="Q115" s="2345" t="n"/>
      <c r="R115" s="2345" t="n"/>
      <c r="S115" s="2356" t="n">
        <v>38995</v>
      </c>
      <c r="T115" s="2356" t="n">
        <v>27460</v>
      </c>
      <c r="U115" s="2345" t="n"/>
      <c r="V115" s="2345" t="n"/>
      <c r="W115" s="2345" t="n"/>
      <c r="X115" s="2356" t="n">
        <v>2475</v>
      </c>
      <c r="Y115" s="2356" t="n">
        <v>68930</v>
      </c>
      <c r="Z115" s="2345" t="n"/>
      <c r="AA115" s="2356" t="n">
        <v>18672</v>
      </c>
      <c r="AB115" s="2356" t="n">
        <v>19945</v>
      </c>
      <c r="AC115" s="2356" t="n">
        <v>38617</v>
      </c>
      <c r="AD115" s="2345" t="n"/>
      <c r="AE115" s="2345" t="n"/>
      <c r="AF115" s="2356" t="n">
        <v>58172</v>
      </c>
      <c r="AG115" s="2356" t="n">
        <v>18488</v>
      </c>
      <c r="AH115" s="2356" t="n">
        <v>379535</v>
      </c>
      <c r="AI115" s="2356" t="n">
        <v>895967</v>
      </c>
      <c r="AJ115" s="2356" t="n">
        <v>1013502</v>
      </c>
      <c r="AK115" s="2356" t="n">
        <v>1805958</v>
      </c>
      <c r="AL115" s="2345" t="n"/>
      <c r="AM115" s="2345" t="inlineStr">
        <is>
          <t>3-bldg campus; actual accrual; base rent $1.87M; recovery $992k; prior-yr tax credit ($186k) netted</t>
        </is>
      </c>
    </row>
    <row r="116">
      <c r="A116" s="2345" t="inlineStr">
        <is>
          <t>P055</t>
        </is>
      </c>
      <c r="B116" s="2338" t="n">
        <v>407</v>
      </c>
      <c r="C116" s="2345" t="inlineStr">
        <is>
          <t>R0211072/R0211073/R0211074</t>
        </is>
      </c>
      <c r="D116" s="2345" t="inlineStr">
        <is>
          <t>Park 76 Distribution Center</t>
        </is>
      </c>
      <c r="E116" s="2345" t="inlineStr">
        <is>
          <t>Aurora</t>
        </is>
      </c>
      <c r="F116" s="2345" t="inlineStr">
        <is>
          <t>CO</t>
        </is>
      </c>
      <c r="G116" s="2345" t="inlineStr">
        <is>
          <t>Industrial</t>
        </is>
      </c>
      <c r="H116" s="2345" t="inlineStr">
        <is>
          <t>Industrial Warehouse NNN</t>
        </is>
      </c>
      <c r="I116" s="2345" t="n"/>
      <c r="J116" s="2345" t="n"/>
      <c r="K116" s="2345" t="n">
        <v>2024</v>
      </c>
      <c r="L116" s="2356" t="n">
        <v>2075908</v>
      </c>
      <c r="M116" s="2345" t="n"/>
      <c r="N116" s="2356" t="n">
        <v>3348615</v>
      </c>
      <c r="O116" s="2356" t="n">
        <v>35750</v>
      </c>
      <c r="P116" s="2356" t="n">
        <v>200286</v>
      </c>
      <c r="Q116" s="2345" t="n"/>
      <c r="R116" s="2345" t="n"/>
      <c r="S116" s="2356" t="n">
        <v>22119</v>
      </c>
      <c r="T116" s="2356" t="n">
        <v>33962</v>
      </c>
      <c r="U116" s="2345" t="n"/>
      <c r="V116" s="2345" t="n"/>
      <c r="W116" s="2345" t="n"/>
      <c r="X116" s="2356" t="n">
        <v>3333</v>
      </c>
      <c r="Y116" s="2356" t="n">
        <v>59414</v>
      </c>
      <c r="Z116" s="2345" t="n"/>
      <c r="AA116" s="2356" t="n">
        <v>26689</v>
      </c>
      <c r="AB116" s="2356" t="n">
        <v>56296</v>
      </c>
      <c r="AC116" s="2356" t="n">
        <v>82985</v>
      </c>
      <c r="AD116" s="2345" t="n"/>
      <c r="AE116" s="2345" t="n"/>
      <c r="AF116" s="2356" t="n">
        <v>34195</v>
      </c>
      <c r="AG116" s="2356" t="n">
        <v>4284</v>
      </c>
      <c r="AH116" s="2356" t="n">
        <v>341787</v>
      </c>
      <c r="AI116" s="2356" t="n">
        <v>989805</v>
      </c>
      <c r="AJ116" s="2356" t="n">
        <v>1331592</v>
      </c>
      <c r="AK116" s="2356" t="n">
        <v>2017023</v>
      </c>
      <c r="AL116" s="2345" t="n"/>
      <c r="AM116" s="2345" t="inlineStr">
        <is>
          <t>3-bldg campus; actual accrual; near-stabilized; base rent $2.08M; recovery $1.23M</t>
        </is>
      </c>
    </row>
    <row r="117">
      <c r="A117" s="2345" t="inlineStr">
        <is>
          <t>P056</t>
        </is>
      </c>
      <c r="B117" s="2338" t="n">
        <v>407</v>
      </c>
      <c r="C117" s="2345" t="inlineStr">
        <is>
          <t>R0210485</t>
        </is>
      </c>
      <c r="D117" s="2345" t="inlineStr">
        <is>
          <t>1101 E 126th Ave (Bldg A)</t>
        </is>
      </c>
      <c r="E117" s="2345" t="inlineStr">
        <is>
          <t>Thornton</t>
        </is>
      </c>
      <c r="F117" s="2345" t="inlineStr">
        <is>
          <t>CO</t>
        </is>
      </c>
      <c r="G117" s="2345" t="inlineStr">
        <is>
          <t>Industrial</t>
        </is>
      </c>
      <c r="H117" s="2345" t="inlineStr">
        <is>
          <t>Industrial Warehouse NNN</t>
        </is>
      </c>
      <c r="I117" s="2345" t="n">
        <v>2022</v>
      </c>
      <c r="J117" s="2345" t="n"/>
      <c r="K117" s="2345" t="n">
        <v>2024</v>
      </c>
      <c r="L117" s="2356" t="n">
        <v>646186</v>
      </c>
      <c r="M117" s="2345" t="n"/>
      <c r="N117" s="2356" t="n">
        <v>839307</v>
      </c>
      <c r="O117" s="2356" t="n">
        <v>11813</v>
      </c>
      <c r="P117" s="2356" t="n">
        <v>47295</v>
      </c>
      <c r="Q117" s="2345" t="n"/>
      <c r="R117" s="2345" t="n"/>
      <c r="S117" s="2345" t="n"/>
      <c r="T117" s="2356" t="n">
        <v>9156</v>
      </c>
      <c r="U117" s="2345" t="n"/>
      <c r="V117" s="2345" t="n"/>
      <c r="W117" s="2345" t="n"/>
      <c r="X117" s="2356" t="n">
        <v>3898</v>
      </c>
      <c r="Y117" s="2356" t="n">
        <v>13054</v>
      </c>
      <c r="Z117" s="2345" t="n"/>
      <c r="AA117" s="2356" t="n">
        <v>11343</v>
      </c>
      <c r="AB117" s="2356" t="n">
        <v>24799</v>
      </c>
      <c r="AC117" s="2356" t="n">
        <v>36142</v>
      </c>
      <c r="AD117" s="2345" t="n"/>
      <c r="AE117" s="2345" t="n"/>
      <c r="AF117" s="2356" t="n">
        <v>27895</v>
      </c>
      <c r="AG117" s="2345" t="n"/>
      <c r="AH117" s="2356" t="n">
        <v>146517</v>
      </c>
      <c r="AI117" s="2356" t="n">
        <v>558285</v>
      </c>
      <c r="AJ117" s="2356" t="n">
        <v>705154</v>
      </c>
      <c r="AK117" s="2356" t="n">
        <v>134153</v>
      </c>
      <c r="AL117" s="2345" t="n"/>
      <c r="AM117" s="2345" t="inlineStr">
        <is>
          <t>New (YOC ~2022); 2024 near-stabilized; 2023 excluded (lease-up, negative NOI)</t>
        </is>
      </c>
    </row>
    <row r="118">
      <c r="A118" s="2345" t="inlineStr">
        <is>
          <t>P057</t>
        </is>
      </c>
      <c r="B118" s="2338" t="n">
        <v>407</v>
      </c>
      <c r="C118" s="2345" t="inlineStr">
        <is>
          <t>R0210486</t>
        </is>
      </c>
      <c r="D118" s="2345" t="inlineStr">
        <is>
          <t>12625 Lafayette St (Bldg B)</t>
        </is>
      </c>
      <c r="E118" s="2345" t="inlineStr">
        <is>
          <t>Thornton</t>
        </is>
      </c>
      <c r="F118" s="2345" t="inlineStr">
        <is>
          <t>CO</t>
        </is>
      </c>
      <c r="G118" s="2345" t="inlineStr">
        <is>
          <t>Industrial</t>
        </is>
      </c>
      <c r="H118" s="2345" t="inlineStr">
        <is>
          <t>Industrial Warehouse NNN</t>
        </is>
      </c>
      <c r="I118" s="2345" t="n">
        <v>2022</v>
      </c>
      <c r="J118" s="2345" t="n"/>
      <c r="K118" s="2345" t="n">
        <v>2024</v>
      </c>
      <c r="L118" s="2356" t="n">
        <v>898845</v>
      </c>
      <c r="M118" s="2345" t="n"/>
      <c r="N118" s="2356" t="n">
        <v>1373599</v>
      </c>
      <c r="O118" s="2356" t="n">
        <v>21888</v>
      </c>
      <c r="P118" s="2356" t="n">
        <v>72220</v>
      </c>
      <c r="Q118" s="2345" t="n"/>
      <c r="R118" s="2345" t="n"/>
      <c r="S118" s="2345" t="n"/>
      <c r="T118" s="2356" t="n">
        <v>8438</v>
      </c>
      <c r="U118" s="2345" t="n"/>
      <c r="V118" s="2345" t="n"/>
      <c r="W118" s="2345" t="n"/>
      <c r="X118" s="2356" t="n">
        <v>5773</v>
      </c>
      <c r="Y118" s="2356" t="n">
        <v>14211</v>
      </c>
      <c r="Z118" s="2345" t="n"/>
      <c r="AA118" s="2356" t="n">
        <v>21287</v>
      </c>
      <c r="AB118" s="2356" t="n">
        <v>29625</v>
      </c>
      <c r="AC118" s="2356" t="n">
        <v>50912</v>
      </c>
      <c r="AD118" s="2345" t="n"/>
      <c r="AE118" s="2345" t="n"/>
      <c r="AF118" s="2356" t="n">
        <v>51235</v>
      </c>
      <c r="AG118" s="2345" t="n"/>
      <c r="AH118" s="2356" t="n">
        <v>209004</v>
      </c>
      <c r="AI118" s="2356" t="n">
        <v>762465</v>
      </c>
      <c r="AJ118" s="2356" t="n">
        <v>971469</v>
      </c>
      <c r="AK118" s="2356" t="n">
        <v>402131</v>
      </c>
      <c r="AL118" s="2345" t="n"/>
      <c r="AM118" s="2345" t="inlineStr">
        <is>
          <t>New (YOC ~2022); 2024 near-stabilized; 2023 excluded (lease-up, negative NOI)</t>
        </is>
      </c>
    </row>
    <row r="119">
      <c r="A119" s="2345" t="inlineStr">
        <is>
          <t>P058</t>
        </is>
      </c>
      <c r="B119" s="2338" t="n">
        <v>407</v>
      </c>
      <c r="C119" s="2345" t="inlineStr">
        <is>
          <t>R0091934</t>
        </is>
      </c>
      <c r="D119" s="2345" t="inlineStr">
        <is>
          <t>350 Park Industrial (5759)</t>
        </is>
      </c>
      <c r="E119" s="2345" t="inlineStr">
        <is>
          <t>Aurora</t>
        </is>
      </c>
      <c r="F119" s="2345" t="inlineStr">
        <is>
          <t>CO</t>
        </is>
      </c>
      <c r="G119" s="2345" t="inlineStr">
        <is>
          <t>Industrial</t>
        </is>
      </c>
      <c r="H119" s="2345" t="inlineStr">
        <is>
          <t>Multi-Tenant Industrial 407</t>
        </is>
      </c>
      <c r="I119" s="2345" t="n">
        <v>1995</v>
      </c>
      <c r="J119" s="2345" t="n">
        <v>32600</v>
      </c>
      <c r="K119" s="2345" t="n">
        <v>2023</v>
      </c>
      <c r="L119" s="2356" t="n">
        <v>296766</v>
      </c>
      <c r="M119" s="2345" t="n"/>
      <c r="N119" s="2356" t="n">
        <v>449003</v>
      </c>
      <c r="O119" s="2356" t="n">
        <v>5808</v>
      </c>
      <c r="P119" s="2356" t="n">
        <v>16857</v>
      </c>
      <c r="Q119" s="2356" t="n">
        <v>1204</v>
      </c>
      <c r="R119" s="2345" t="n"/>
      <c r="S119" s="2356" t="n">
        <v>10015</v>
      </c>
      <c r="T119" s="2356" t="n">
        <v>500</v>
      </c>
      <c r="U119" s="2345" t="n"/>
      <c r="V119" s="2345" t="n"/>
      <c r="W119" s="2345" t="n"/>
      <c r="X119" s="2356" t="n">
        <v>7760</v>
      </c>
      <c r="Y119" s="2356" t="n">
        <v>19479</v>
      </c>
      <c r="Z119" s="2356" t="n">
        <v>1359</v>
      </c>
      <c r="AA119" s="2345" t="n"/>
      <c r="AB119" s="2345" t="n"/>
      <c r="AC119" s="2356" t="n">
        <v>1359</v>
      </c>
      <c r="AD119" s="2356" t="n">
        <v>6103</v>
      </c>
      <c r="AE119" s="2345" t="n"/>
      <c r="AF119" s="2356" t="n">
        <v>6103</v>
      </c>
      <c r="AG119" s="2356" t="n">
        <v>7749</v>
      </c>
      <c r="AH119" s="2356" t="n">
        <v>57071</v>
      </c>
      <c r="AI119" s="2356" t="n">
        <v>102701</v>
      </c>
      <c r="AJ119" s="2356" t="n">
        <v>159537</v>
      </c>
      <c r="AK119" s="2356" t="n">
        <v>289466</v>
      </c>
      <c r="AL119" s="2345" t="n"/>
      <c r="AM119" s="2345" t="inlineStr">
        <is>
          <t>Actual accrual; 3 tenants; multi-tenant industrial</t>
        </is>
      </c>
    </row>
    <row r="120">
      <c r="A120" s="2345" t="inlineStr">
        <is>
          <t>P058</t>
        </is>
      </c>
      <c r="B120" s="2338" t="n">
        <v>407</v>
      </c>
      <c r="C120" s="2345" t="inlineStr">
        <is>
          <t>R0091934</t>
        </is>
      </c>
      <c r="D120" s="2345" t="inlineStr">
        <is>
          <t>350 Park Industrial (5759)</t>
        </is>
      </c>
      <c r="E120" s="2345" t="inlineStr">
        <is>
          <t>Aurora</t>
        </is>
      </c>
      <c r="F120" s="2345" t="inlineStr">
        <is>
          <t>CO</t>
        </is>
      </c>
      <c r="G120" s="2345" t="inlineStr">
        <is>
          <t>Industrial</t>
        </is>
      </c>
      <c r="H120" s="2345" t="inlineStr">
        <is>
          <t>Multi-Tenant Industrial 407</t>
        </is>
      </c>
      <c r="I120" s="2345" t="n">
        <v>1995</v>
      </c>
      <c r="J120" s="2345" t="n">
        <v>32600</v>
      </c>
      <c r="K120" s="2345" t="n">
        <v>2024</v>
      </c>
      <c r="L120" s="2356" t="n">
        <v>312397</v>
      </c>
      <c r="M120" s="2345" t="n"/>
      <c r="N120" s="2356" t="n">
        <v>497987</v>
      </c>
      <c r="O120" s="2356" t="n">
        <v>5897</v>
      </c>
      <c r="P120" s="2356" t="n">
        <v>18574</v>
      </c>
      <c r="Q120" s="2356" t="n">
        <v>1251</v>
      </c>
      <c r="R120" s="2345" t="n"/>
      <c r="S120" s="2356" t="n">
        <v>7535</v>
      </c>
      <c r="T120" s="2356" t="n">
        <v>1222</v>
      </c>
      <c r="U120" s="2345" t="n"/>
      <c r="V120" s="2345" t="n"/>
      <c r="W120" s="2345" t="n"/>
      <c r="X120" s="2356" t="n">
        <v>7269</v>
      </c>
      <c r="Y120" s="2356" t="n">
        <v>17277</v>
      </c>
      <c r="Z120" s="2356" t="n">
        <v>1376</v>
      </c>
      <c r="AA120" s="2345" t="n"/>
      <c r="AB120" s="2345" t="n"/>
      <c r="AC120" s="2356" t="n">
        <v>1376</v>
      </c>
      <c r="AD120" s="2356" t="n">
        <v>6829</v>
      </c>
      <c r="AE120" s="2345" t="n"/>
      <c r="AF120" s="2356" t="n">
        <v>6829</v>
      </c>
      <c r="AG120" s="2356" t="n">
        <v>25153</v>
      </c>
      <c r="AH120" s="2356" t="n">
        <v>69242</v>
      </c>
      <c r="AI120" s="2356" t="n">
        <v>105852</v>
      </c>
      <c r="AJ120" s="2356" t="n">
        <v>172094</v>
      </c>
      <c r="AK120" s="2356" t="n">
        <v>325893</v>
      </c>
      <c r="AL120" s="2345" t="n"/>
      <c r="AM120" s="2345" t="inlineStr">
        <is>
          <t>Actual accrual; 3 tenants</t>
        </is>
      </c>
    </row>
    <row r="121">
      <c r="A121" s="2345" t="inlineStr">
        <is>
          <t>P059</t>
        </is>
      </c>
      <c r="B121" s="2338" t="n">
        <v>407</v>
      </c>
      <c r="C121" s="2345" t="inlineStr">
        <is>
          <t>R0093111</t>
        </is>
      </c>
      <c r="D121" s="2345" t="inlineStr">
        <is>
          <t>Industrial Property (R0093111)</t>
        </is>
      </c>
      <c r="E121" s="2345" t="inlineStr">
        <is>
          <t>Aurora</t>
        </is>
      </c>
      <c r="F121" s="2345" t="inlineStr">
        <is>
          <t>CO</t>
        </is>
      </c>
      <c r="G121" s="2345" t="inlineStr">
        <is>
          <t>Industrial</t>
        </is>
      </c>
      <c r="H121" s="2345" t="inlineStr">
        <is>
          <t>Multi-Tenant Industrial 407</t>
        </is>
      </c>
      <c r="I121" s="2345" t="n"/>
      <c r="J121" s="2345" t="n"/>
      <c r="K121" s="2345" t="n">
        <v>2023</v>
      </c>
      <c r="L121" s="2356" t="n">
        <v>340825</v>
      </c>
      <c r="M121" s="2345" t="n"/>
      <c r="N121" s="2356" t="n">
        <v>817280</v>
      </c>
      <c r="O121" s="2356" t="n">
        <v>396</v>
      </c>
      <c r="P121" s="2356" t="n">
        <v>24226</v>
      </c>
      <c r="Q121" s="2356" t="n">
        <v>2790</v>
      </c>
      <c r="R121" s="2345" t="n"/>
      <c r="S121" s="2356" t="n">
        <v>17586</v>
      </c>
      <c r="T121" s="2345" t="n"/>
      <c r="U121" s="2345" t="n"/>
      <c r="V121" s="2345" t="n"/>
      <c r="W121" s="2345" t="n"/>
      <c r="X121" s="2356" t="n">
        <v>1690</v>
      </c>
      <c r="Y121" s="2356" t="n">
        <v>22066</v>
      </c>
      <c r="Z121" s="2356" t="n">
        <v>1690</v>
      </c>
      <c r="AA121" s="2356" t="n">
        <v>10029</v>
      </c>
      <c r="AB121" s="2356" t="n">
        <v>13406</v>
      </c>
      <c r="AC121" s="2356" t="n">
        <v>15096</v>
      </c>
      <c r="AD121" s="2356" t="n">
        <v>8414</v>
      </c>
      <c r="AE121" s="2345" t="n"/>
      <c r="AF121" s="2356" t="n">
        <v>8414</v>
      </c>
      <c r="AG121" s="2356" t="n">
        <v>7749</v>
      </c>
      <c r="AH121" s="2356" t="n">
        <v>82990</v>
      </c>
      <c r="AI121" s="2356" t="n">
        <v>262422</v>
      </c>
      <c r="AJ121" s="2356" t="n">
        <v>345412</v>
      </c>
      <c r="AK121" s="2356" t="n">
        <v>471868</v>
      </c>
      <c r="AL121" s="2345" t="n"/>
      <c r="AM121" s="2345" t="inlineStr">
        <is>
          <t>Actual; RE tax heavy due to NNN recovery; SF not confirmed</t>
        </is>
      </c>
    </row>
    <row r="122">
      <c r="A122" s="2345" t="inlineStr">
        <is>
          <t>P059</t>
        </is>
      </c>
      <c r="B122" s="2338" t="n">
        <v>407</v>
      </c>
      <c r="C122" s="2345" t="inlineStr">
        <is>
          <t>R0093111</t>
        </is>
      </c>
      <c r="D122" s="2345" t="inlineStr">
        <is>
          <t>Industrial Property (R0093111)</t>
        </is>
      </c>
      <c r="E122" s="2345" t="inlineStr">
        <is>
          <t>Aurora</t>
        </is>
      </c>
      <c r="F122" s="2345" t="inlineStr">
        <is>
          <t>CO</t>
        </is>
      </c>
      <c r="G122" s="2345" t="inlineStr">
        <is>
          <t>Industrial</t>
        </is>
      </c>
      <c r="H122" s="2345" t="inlineStr">
        <is>
          <t>Multi-Tenant Industrial 407</t>
        </is>
      </c>
      <c r="I122" s="2345" t="n"/>
      <c r="J122" s="2345" t="n"/>
      <c r="K122" s="2345" t="n">
        <v>2024</v>
      </c>
      <c r="L122" s="2356" t="n">
        <v>343350</v>
      </c>
      <c r="M122" s="2345" t="n"/>
      <c r="N122" s="2356" t="n">
        <v>632272</v>
      </c>
      <c r="O122" s="2356" t="n">
        <v>9737</v>
      </c>
      <c r="P122" s="2345" t="n"/>
      <c r="Q122" s="2345" t="n"/>
      <c r="R122" s="2345" t="n"/>
      <c r="S122" s="2345" t="n"/>
      <c r="T122" s="2345" t="n"/>
      <c r="U122" s="2345" t="n"/>
      <c r="V122" s="2345" t="n"/>
      <c r="W122" s="2345" t="n"/>
      <c r="X122" s="2345" t="n"/>
      <c r="Y122" s="2345" t="n"/>
      <c r="Z122" s="2345" t="n"/>
      <c r="AA122" s="2345" t="n"/>
      <c r="AB122" s="2345" t="n"/>
      <c r="AC122" s="2345" t="n"/>
      <c r="AD122" s="2345" t="n"/>
      <c r="AE122" s="2345" t="n"/>
      <c r="AF122" s="2345" t="n"/>
      <c r="AG122" s="2345" t="n"/>
      <c r="AH122" s="2356" t="n">
        <v>119649</v>
      </c>
      <c r="AI122" s="2356" t="n">
        <v>159461</v>
      </c>
      <c r="AJ122" s="2356" t="n">
        <v>279110</v>
      </c>
      <c r="AK122" s="2356" t="n">
        <v>353163</v>
      </c>
      <c r="AL122" s="2345" t="n"/>
      <c r="AM122" s="2345" t="inlineStr">
        <is>
          <t>2024 summary data; limited line-item detail; SF not confirmed</t>
        </is>
      </c>
    </row>
    <row r="123">
      <c r="A123" s="2345" t="inlineStr">
        <is>
          <t>P060</t>
        </is>
      </c>
      <c r="B123" s="2338" t="n">
        <v>407</v>
      </c>
      <c r="C123" s="2345" t="inlineStr">
        <is>
          <t>R0100104</t>
        </is>
      </c>
      <c r="D123" s="2345" t="inlineStr">
        <is>
          <t>312 Kew West</t>
        </is>
      </c>
      <c r="E123" s="2345" t="inlineStr">
        <is>
          <t>Aurora</t>
        </is>
      </c>
      <c r="F123" s="2345" t="inlineStr">
        <is>
          <t>CO</t>
        </is>
      </c>
      <c r="G123" s="2345" t="inlineStr">
        <is>
          <t>Industrial</t>
        </is>
      </c>
      <c r="H123" s="2345" t="inlineStr">
        <is>
          <t>Multi-Tenant Industrial 407</t>
        </is>
      </c>
      <c r="I123" s="2345" t="n"/>
      <c r="J123" s="2345" t="n"/>
      <c r="K123" s="2345" t="n">
        <v>2023</v>
      </c>
      <c r="L123" s="2356" t="n">
        <v>246837</v>
      </c>
      <c r="M123" s="2345" t="n"/>
      <c r="N123" s="2356" t="n">
        <v>340193</v>
      </c>
      <c r="O123" s="2356" t="n">
        <v>7355</v>
      </c>
      <c r="P123" s="2356" t="n">
        <v>12734</v>
      </c>
      <c r="Q123" s="2356" t="n">
        <v>1711</v>
      </c>
      <c r="R123" s="2345" t="n"/>
      <c r="S123" s="2356" t="n">
        <v>24740</v>
      </c>
      <c r="T123" s="2356" t="n">
        <v>6577</v>
      </c>
      <c r="U123" s="2345" t="n"/>
      <c r="V123" s="2345" t="n"/>
      <c r="W123" s="2345" t="n"/>
      <c r="X123" s="2356" t="n">
        <v>10612</v>
      </c>
      <c r="Y123" s="2356" t="n">
        <v>43640</v>
      </c>
      <c r="Z123" s="2356" t="n">
        <v>2451</v>
      </c>
      <c r="AA123" s="2356" t="n">
        <v>2474</v>
      </c>
      <c r="AB123" s="2356" t="n">
        <v>9457</v>
      </c>
      <c r="AC123" s="2356" t="n">
        <v>14382</v>
      </c>
      <c r="AD123" s="2356" t="n">
        <v>4092</v>
      </c>
      <c r="AE123" s="2345" t="n"/>
      <c r="AF123" s="2356" t="n">
        <v>4092</v>
      </c>
      <c r="AG123" s="2345" t="n"/>
      <c r="AH123" s="2356" t="n">
        <v>68233</v>
      </c>
      <c r="AI123" s="2356" t="n">
        <v>92861</v>
      </c>
      <c r="AJ123" s="2356" t="n">
        <v>161094</v>
      </c>
      <c r="AK123" s="2356" t="n">
        <v>179099</v>
      </c>
      <c r="AL123" s="2345" t="n"/>
      <c r="AM123" s="2345" t="inlineStr">
        <is>
          <t>Actual accrual; SF not confirmed</t>
        </is>
      </c>
    </row>
    <row r="124">
      <c r="A124" s="2345" t="inlineStr">
        <is>
          <t>P060</t>
        </is>
      </c>
      <c r="B124" s="2338" t="n">
        <v>407</v>
      </c>
      <c r="C124" s="2345" t="inlineStr">
        <is>
          <t>R0100104</t>
        </is>
      </c>
      <c r="D124" s="2345" t="inlineStr">
        <is>
          <t>312 Kew West</t>
        </is>
      </c>
      <c r="E124" s="2345" t="inlineStr">
        <is>
          <t>Aurora</t>
        </is>
      </c>
      <c r="F124" s="2345" t="inlineStr">
        <is>
          <t>CO</t>
        </is>
      </c>
      <c r="G124" s="2345" t="inlineStr">
        <is>
          <t>Industrial</t>
        </is>
      </c>
      <c r="H124" s="2345" t="inlineStr">
        <is>
          <t>Multi-Tenant Industrial 407</t>
        </is>
      </c>
      <c r="I124" s="2345" t="n"/>
      <c r="J124" s="2345" t="n"/>
      <c r="K124" s="2345" t="n">
        <v>2024</v>
      </c>
      <c r="L124" s="2356" t="n">
        <v>239823</v>
      </c>
      <c r="M124" s="2345" t="n"/>
      <c r="N124" s="2356" t="n">
        <v>375845</v>
      </c>
      <c r="O124" s="2356" t="n">
        <v>7287</v>
      </c>
      <c r="P124" s="2356" t="n">
        <v>18575</v>
      </c>
      <c r="Q124" s="2356" t="n">
        <v>816</v>
      </c>
      <c r="R124" s="2345" t="n"/>
      <c r="S124" s="2356" t="n">
        <v>25607</v>
      </c>
      <c r="T124" s="2356" t="n">
        <v>7834</v>
      </c>
      <c r="U124" s="2345" t="n"/>
      <c r="V124" s="2345" t="n"/>
      <c r="W124" s="2345" t="n"/>
      <c r="X124" s="2356" t="n">
        <v>8752</v>
      </c>
      <c r="Y124" s="2356" t="n">
        <v>42009</v>
      </c>
      <c r="Z124" s="2356" t="n">
        <v>2982</v>
      </c>
      <c r="AA124" s="2356" t="n">
        <v>2720</v>
      </c>
      <c r="AB124" s="2356" t="n">
        <v>10994</v>
      </c>
      <c r="AC124" s="2356" t="n">
        <v>16696</v>
      </c>
      <c r="AD124" s="2356" t="n">
        <v>4502</v>
      </c>
      <c r="AE124" s="2345" t="n"/>
      <c r="AF124" s="2356" t="n">
        <v>4502</v>
      </c>
      <c r="AG124" s="2345" t="n"/>
      <c r="AH124" s="2356" t="n">
        <v>69570</v>
      </c>
      <c r="AI124" s="2356" t="n">
        <v>102524</v>
      </c>
      <c r="AJ124" s="2356" t="n">
        <v>172094</v>
      </c>
      <c r="AK124" s="2356" t="n">
        <v>203752</v>
      </c>
      <c r="AL124" s="2345" t="n"/>
      <c r="AM124" s="2345" t="inlineStr">
        <is>
          <t>Actual accrual; SF not confirmed</t>
        </is>
      </c>
    </row>
    <row r="125">
      <c r="A125" s="2345" t="inlineStr">
        <is>
          <t>P061</t>
        </is>
      </c>
      <c r="B125" s="2338" t="n">
        <v>584</v>
      </c>
      <c r="C125" s="2345" t="inlineStr">
        <is>
          <t>R0083935</t>
        </is>
      </c>
      <c r="D125" s="2345" t="inlineStr">
        <is>
          <t>20101 E 36th Ave</t>
        </is>
      </c>
      <c r="E125" s="2345" t="inlineStr">
        <is>
          <t>Aurora</t>
        </is>
      </c>
      <c r="F125" s="2345" t="inlineStr">
        <is>
          <t>CO</t>
        </is>
      </c>
      <c r="G125" s="2345" t="inlineStr">
        <is>
          <t>Industrial</t>
        </is>
      </c>
      <c r="H125" s="2345" t="inlineStr">
        <is>
          <t>Mega Warehouse NNN</t>
        </is>
      </c>
      <c r="I125" s="2345" t="n"/>
      <c r="J125" s="2345" t="n">
        <v>278538</v>
      </c>
      <c r="K125" s="2345" t="n">
        <v>2024</v>
      </c>
      <c r="L125" s="2356" t="n">
        <v>1242512</v>
      </c>
      <c r="M125" s="2345" t="n"/>
      <c r="N125" s="2356" t="n">
        <v>2952901</v>
      </c>
      <c r="O125" s="2345" t="n"/>
      <c r="P125" s="2345" t="n"/>
      <c r="Q125" s="2345" t="n"/>
      <c r="R125" s="2345" t="n"/>
      <c r="S125" s="2345" t="n"/>
      <c r="T125" s="2345" t="n"/>
      <c r="U125" s="2345" t="n"/>
      <c r="V125" s="2345" t="n"/>
      <c r="W125" s="2345" t="n"/>
      <c r="X125" s="2345" t="n"/>
      <c r="Y125" s="2345" t="n"/>
      <c r="Z125" s="2345" t="n"/>
      <c r="AA125" s="2345" t="n"/>
      <c r="AB125" s="2345" t="n"/>
      <c r="AC125" s="2345" t="n"/>
      <c r="AD125" s="2345" t="n"/>
      <c r="AE125" s="2345" t="n"/>
      <c r="AF125" s="2356" t="n">
        <v>195945</v>
      </c>
      <c r="AG125" s="2345" t="n"/>
      <c r="AH125" s="2345" t="n"/>
      <c r="AI125" s="2345" t="n"/>
      <c r="AJ125" s="2345" t="n"/>
      <c r="AK125" s="2345" t="n"/>
      <c r="AL125" s="2345" t="n"/>
      <c r="AM125" s="2345" t="inlineStr">
        <is>
          <t>NNN; partial data; CBRE income statement; tenant RK Industries; rent $4.47/SF NNN; RE tax recovery ~$860k</t>
        </is>
      </c>
    </row>
    <row r="126">
      <c r="A126" s="2345" t="inlineStr">
        <is>
          <t>P062</t>
        </is>
      </c>
      <c r="B126" s="2338" t="n">
        <v>407</v>
      </c>
      <c r="C126" s="2345" t="inlineStr">
        <is>
          <t>R0200721</t>
        </is>
      </c>
      <c r="D126" s="2345" t="inlineStr">
        <is>
          <t>3420 N Lisbon St</t>
        </is>
      </c>
      <c r="E126" s="2345" t="inlineStr">
        <is>
          <t>Aurora</t>
        </is>
      </c>
      <c r="F126" s="2345" t="inlineStr">
        <is>
          <t>CO</t>
        </is>
      </c>
      <c r="G126" s="2345" t="inlineStr">
        <is>
          <t>Industrial</t>
        </is>
      </c>
      <c r="H126" s="2345" t="inlineStr">
        <is>
          <t>Single-Tenant Industrial NNN</t>
        </is>
      </c>
      <c r="I126" s="2345" t="n">
        <v>2019</v>
      </c>
      <c r="J126" s="2345" t="n">
        <v>36212</v>
      </c>
      <c r="K126" s="2345" t="n">
        <v>2023</v>
      </c>
      <c r="L126" s="2356" t="n">
        <v>272278</v>
      </c>
      <c r="M126" s="2345" t="n"/>
      <c r="N126" s="2356" t="n">
        <v>272278</v>
      </c>
      <c r="O126" s="2345" t="n"/>
      <c r="P126" s="2345" t="n"/>
      <c r="Q126" s="2345" t="n"/>
      <c r="R126" s="2345" t="n"/>
      <c r="S126" s="2345" t="n"/>
      <c r="T126" s="2345" t="n"/>
      <c r="U126" s="2345" t="n"/>
      <c r="V126" s="2345" t="n"/>
      <c r="W126" s="2345" t="n"/>
      <c r="X126" s="2345" t="n"/>
      <c r="Y126" s="2345" t="n"/>
      <c r="Z126" s="2345" t="n"/>
      <c r="AA126" s="2345" t="n"/>
      <c r="AB126" s="2345" t="n"/>
      <c r="AC126" s="2345" t="n"/>
      <c r="AD126" s="2345" t="n"/>
      <c r="AE126" s="2345" t="n"/>
      <c r="AF126" s="2345" t="n"/>
      <c r="AG126" s="2345" t="n"/>
      <c r="AH126" s="2345" t="n"/>
      <c r="AI126" s="2345" t="n"/>
      <c r="AJ126" s="2345" t="n"/>
      <c r="AK126" s="2345" t="n"/>
      <c r="AL126" s="2345" t="n"/>
      <c r="AM126" s="2345" t="inlineStr">
        <is>
          <t>NNN absolute; tenant pays all opex; owner income = rent only; $7.52/SF</t>
        </is>
      </c>
    </row>
    <row r="127">
      <c r="A127" s="2345" t="inlineStr">
        <is>
          <t>P062</t>
        </is>
      </c>
      <c r="B127" s="2338" t="n">
        <v>407</v>
      </c>
      <c r="C127" s="2345" t="inlineStr">
        <is>
          <t>R0200721</t>
        </is>
      </c>
      <c r="D127" s="2345" t="inlineStr">
        <is>
          <t>3420 N Lisbon St</t>
        </is>
      </c>
      <c r="E127" s="2345" t="inlineStr">
        <is>
          <t>Aurora</t>
        </is>
      </c>
      <c r="F127" s="2345" t="inlineStr">
        <is>
          <t>CO</t>
        </is>
      </c>
      <c r="G127" s="2345" t="inlineStr">
        <is>
          <t>Industrial</t>
        </is>
      </c>
      <c r="H127" s="2345" t="inlineStr">
        <is>
          <t>Single-Tenant Industrial NNN</t>
        </is>
      </c>
      <c r="I127" s="2345" t="n">
        <v>2019</v>
      </c>
      <c r="J127" s="2345" t="n">
        <v>36212</v>
      </c>
      <c r="K127" s="2345" t="n">
        <v>2024</v>
      </c>
      <c r="L127" s="2356" t="n">
        <v>280448</v>
      </c>
      <c r="M127" s="2345" t="n"/>
      <c r="N127" s="2356" t="n">
        <v>280448</v>
      </c>
      <c r="O127" s="2345" t="n"/>
      <c r="P127" s="2345" t="n"/>
      <c r="Q127" s="2345" t="n"/>
      <c r="R127" s="2345" t="n"/>
      <c r="S127" s="2345" t="n"/>
      <c r="T127" s="2345" t="n"/>
      <c r="U127" s="2345" t="n"/>
      <c r="V127" s="2345" t="n"/>
      <c r="W127" s="2345" t="n"/>
      <c r="X127" s="2345" t="n"/>
      <c r="Y127" s="2345" t="n"/>
      <c r="Z127" s="2345" t="n"/>
      <c r="AA127" s="2345" t="n"/>
      <c r="AB127" s="2345" t="n"/>
      <c r="AC127" s="2345" t="n"/>
      <c r="AD127" s="2345" t="n"/>
      <c r="AE127" s="2345" t="n"/>
      <c r="AF127" s="2345" t="n"/>
      <c r="AG127" s="2345" t="n"/>
      <c r="AH127" s="2345" t="n"/>
      <c r="AI127" s="2345" t="n"/>
      <c r="AJ127" s="2345" t="n"/>
      <c r="AK127" s="2345" t="n"/>
      <c r="AL127" s="2345" t="n"/>
      <c r="AM127" s="2345" t="inlineStr">
        <is>
          <t>NNN absolute; tenant pays all opex; owner income = rent only; $7.75/SF</t>
        </is>
      </c>
    </row>
    <row r="128">
      <c r="A128" s="2345" t="inlineStr">
        <is>
          <t>P063</t>
        </is>
      </c>
      <c r="B128" s="2338" t="n">
        <v>344</v>
      </c>
      <c r="C128" s="2345" t="inlineStr">
        <is>
          <t>R0040581</t>
        </is>
      </c>
      <c r="D128" s="2345" t="inlineStr">
        <is>
          <t>2090 E 104th Ave</t>
        </is>
      </c>
      <c r="E128" s="2345" t="inlineStr">
        <is>
          <t>Thornton</t>
        </is>
      </c>
      <c r="F128" s="2345" t="inlineStr">
        <is>
          <t>CO</t>
        </is>
      </c>
      <c r="G128" s="2345" t="inlineStr">
        <is>
          <t>Office</t>
        </is>
      </c>
      <c r="H128" s="2345" t="inlineStr">
        <is>
          <t>Multi-Tenant Office</t>
        </is>
      </c>
      <c r="I128" s="2345" t="n"/>
      <c r="J128" s="2345" t="n">
        <v>19764</v>
      </c>
      <c r="K128" s="2345" t="n">
        <v>2023</v>
      </c>
      <c r="L128" s="2345" t="n"/>
      <c r="M128" s="2345" t="n"/>
      <c r="N128" s="2345" t="n"/>
      <c r="O128" s="2356" t="n">
        <v>3132</v>
      </c>
      <c r="P128" s="2356" t="n">
        <v>9187</v>
      </c>
      <c r="Q128" s="2345" t="n"/>
      <c r="R128" s="2345" t="n"/>
      <c r="S128" s="2345" t="n"/>
      <c r="T128" s="2345" t="n"/>
      <c r="U128" s="2345" t="n"/>
      <c r="V128" s="2345" t="n"/>
      <c r="W128" s="2345" t="n"/>
      <c r="X128" s="2356" t="n">
        <v>48128</v>
      </c>
      <c r="Y128" s="2356" t="n">
        <v>48128</v>
      </c>
      <c r="Z128" s="2345" t="n"/>
      <c r="AA128" s="2356" t="n">
        <v>9835</v>
      </c>
      <c r="AB128" s="2345" t="n"/>
      <c r="AC128" s="2356" t="n">
        <v>9835</v>
      </c>
      <c r="AD128" s="2345" t="n"/>
      <c r="AE128" s="2345" t="n"/>
      <c r="AF128" s="2356" t="n">
        <v>37547</v>
      </c>
      <c r="AG128" s="2356" t="n">
        <v>8244</v>
      </c>
      <c r="AH128" s="2356" t="n">
        <v>133351</v>
      </c>
      <c r="AI128" s="2356" t="n">
        <v>40716</v>
      </c>
      <c r="AJ128" s="2356" t="n">
        <v>174067</v>
      </c>
      <c r="AK128" s="2356" t="n">
        <v>54413</v>
      </c>
      <c r="AL128" s="2345" t="n"/>
      <c r="AM128" s="2345" t="inlineStr">
        <is>
          <t>Office; expenses only; GRI est. ~$228k at $11.56/SF 100% occ</t>
        </is>
      </c>
    </row>
    <row r="129">
      <c r="A129" s="2345" t="inlineStr">
        <is>
          <t>P063</t>
        </is>
      </c>
      <c r="B129" s="2338" t="n">
        <v>344</v>
      </c>
      <c r="C129" s="2345" t="inlineStr">
        <is>
          <t>R0040581</t>
        </is>
      </c>
      <c r="D129" s="2345" t="inlineStr">
        <is>
          <t>2090 E 104th Ave</t>
        </is>
      </c>
      <c r="E129" s="2345" t="inlineStr">
        <is>
          <t>Thornton</t>
        </is>
      </c>
      <c r="F129" s="2345" t="inlineStr">
        <is>
          <t>CO</t>
        </is>
      </c>
      <c r="G129" s="2345" t="inlineStr">
        <is>
          <t>Office</t>
        </is>
      </c>
      <c r="H129" s="2345" t="inlineStr">
        <is>
          <t>Multi-Tenant Office</t>
        </is>
      </c>
      <c r="I129" s="2345" t="n"/>
      <c r="J129" s="2345" t="n">
        <v>19764</v>
      </c>
      <c r="K129" s="2345" t="n">
        <v>2024</v>
      </c>
      <c r="L129" s="2345" t="n"/>
      <c r="M129" s="2345" t="n"/>
      <c r="N129" s="2345" t="n"/>
      <c r="O129" s="2356" t="n">
        <v>11171</v>
      </c>
      <c r="P129" s="2356" t="n">
        <v>9000</v>
      </c>
      <c r="Q129" s="2345" t="n"/>
      <c r="R129" s="2345" t="n"/>
      <c r="S129" s="2345" t="n"/>
      <c r="T129" s="2345" t="n"/>
      <c r="U129" s="2345" t="n"/>
      <c r="V129" s="2345" t="n"/>
      <c r="W129" s="2345" t="n"/>
      <c r="X129" s="2356" t="n">
        <v>48665</v>
      </c>
      <c r="Y129" s="2356" t="n">
        <v>48665</v>
      </c>
      <c r="Z129" s="2345" t="n"/>
      <c r="AA129" s="2356" t="n">
        <v>11638</v>
      </c>
      <c r="AB129" s="2345" t="n"/>
      <c r="AC129" s="2356" t="n">
        <v>11638</v>
      </c>
      <c r="AD129" s="2345" t="n"/>
      <c r="AE129" s="2345" t="n"/>
      <c r="AF129" s="2356" t="n">
        <v>47748</v>
      </c>
      <c r="AG129" s="2356" t="n">
        <v>6178</v>
      </c>
      <c r="AH129" s="2356" t="n">
        <v>134405</v>
      </c>
      <c r="AI129" s="2356" t="n">
        <v>40064</v>
      </c>
      <c r="AJ129" s="2356" t="n">
        <v>174469</v>
      </c>
      <c r="AK129" s="2356" t="n">
        <v>54011</v>
      </c>
      <c r="AL129" s="2345" t="n"/>
      <c r="AM129" s="2345" t="inlineStr">
        <is>
          <t>Office; expenses only; GRI est. ~$228k</t>
        </is>
      </c>
    </row>
    <row r="130">
      <c r="A130" s="2345" t="inlineStr">
        <is>
          <t>P064</t>
        </is>
      </c>
      <c r="B130" s="2338" t="n">
        <v>344</v>
      </c>
      <c r="C130" s="2345" t="inlineStr">
        <is>
          <t>R0050977</t>
        </is>
      </c>
      <c r="D130" s="2345" t="inlineStr">
        <is>
          <t>9351 Grant St</t>
        </is>
      </c>
      <c r="E130" s="2345" t="inlineStr">
        <is>
          <t>Thornton</t>
        </is>
      </c>
      <c r="F130" s="2345" t="inlineStr">
        <is>
          <t>CO</t>
        </is>
      </c>
      <c r="G130" s="2345" t="inlineStr">
        <is>
          <t>Office</t>
        </is>
      </c>
      <c r="H130" s="2345" t="inlineStr">
        <is>
          <t>Multi-Tenant Office</t>
        </is>
      </c>
      <c r="I130" s="2345" t="n"/>
      <c r="J130" s="2345" t="n"/>
      <c r="K130" s="2345" t="n">
        <v>2023</v>
      </c>
      <c r="L130" s="2356" t="n">
        <v>2011958</v>
      </c>
      <c r="M130" s="2345" t="n"/>
      <c r="N130" s="2356" t="n">
        <v>2239234</v>
      </c>
      <c r="O130" s="2345" t="n"/>
      <c r="P130" s="2345" t="n"/>
      <c r="Q130" s="2345" t="n"/>
      <c r="R130" s="2345" t="n"/>
      <c r="S130" s="2345" t="n"/>
      <c r="T130" s="2345" t="n"/>
      <c r="U130" s="2345" t="n"/>
      <c r="V130" s="2345" t="n"/>
      <c r="W130" s="2345" t="n"/>
      <c r="X130" s="2356" t="n">
        <v>144543</v>
      </c>
      <c r="Y130" s="2356" t="n">
        <v>144543</v>
      </c>
      <c r="Z130" s="2345" t="n"/>
      <c r="AA130" s="2345" t="n"/>
      <c r="AB130" s="2345" t="n"/>
      <c r="AC130" s="2345" t="n"/>
      <c r="AD130" s="2345" t="n"/>
      <c r="AE130" s="2345" t="n"/>
      <c r="AF130" s="2356" t="n">
        <v>240350</v>
      </c>
      <c r="AG130" s="2356" t="n">
        <v>279549</v>
      </c>
      <c r="AH130" s="2356" t="n">
        <v>719555</v>
      </c>
      <c r="AI130" s="2356" t="n">
        <v>497852</v>
      </c>
      <c r="AJ130" s="2356" t="n">
        <v>1217407</v>
      </c>
      <c r="AK130" s="2356" t="n">
        <v>1021827</v>
      </c>
      <c r="AL130" s="2345" t="n"/>
      <c r="AM130" s="2345" t="inlineStr">
        <is>
          <t>Actual P&amp;L; Crown RE Group; RE Tax + Ins combined in $497,852 line; large office property</t>
        </is>
      </c>
    </row>
    <row r="131">
      <c r="A131" s="2345" t="inlineStr">
        <is>
          <t>P065</t>
        </is>
      </c>
      <c r="B131" s="2338" t="n">
        <v>344</v>
      </c>
      <c r="C131" s="2345" t="inlineStr">
        <is>
          <t>R0069041</t>
        </is>
      </c>
      <c r="D131" s="2345" t="inlineStr">
        <is>
          <t>7475 Dakin St (Turnpike Tower)</t>
        </is>
      </c>
      <c r="E131" s="2345" t="inlineStr">
        <is>
          <t>Denver</t>
        </is>
      </c>
      <c r="F131" s="2345" t="inlineStr">
        <is>
          <t>CO</t>
        </is>
      </c>
      <c r="G131" s="2345" t="inlineStr">
        <is>
          <t>Office</t>
        </is>
      </c>
      <c r="H131" s="2345" t="inlineStr">
        <is>
          <t>Multi-Tenant Office</t>
        </is>
      </c>
      <c r="I131" s="2345" t="n"/>
      <c r="J131" s="2345" t="n">
        <v>114843</v>
      </c>
      <c r="K131" s="2345" t="n">
        <v>2023</v>
      </c>
      <c r="L131" s="2345" t="n"/>
      <c r="M131" s="2345" t="n"/>
      <c r="N131" s="2356" t="n">
        <v>618988</v>
      </c>
      <c r="O131" s="2345" t="n"/>
      <c r="P131" s="2345" t="n"/>
      <c r="Q131" s="2345" t="n"/>
      <c r="R131" s="2345" t="n"/>
      <c r="S131" s="2345" t="n"/>
      <c r="T131" s="2345" t="n"/>
      <c r="U131" s="2345" t="n"/>
      <c r="V131" s="2345" t="n"/>
      <c r="W131" s="2345" t="n"/>
      <c r="X131" s="2345" t="n"/>
      <c r="Y131" s="2345" t="n"/>
      <c r="Z131" s="2345" t="n"/>
      <c r="AA131" s="2356" t="n">
        <v>10029</v>
      </c>
      <c r="AB131" s="2345" t="n"/>
      <c r="AC131" s="2345" t="n"/>
      <c r="AD131" s="2345" t="n"/>
      <c r="AE131" s="2345" t="n"/>
      <c r="AF131" s="2345" t="n"/>
      <c r="AG131" s="2345" t="n"/>
      <c r="AH131" s="2356" t="n">
        <v>303578</v>
      </c>
      <c r="AI131" s="2356" t="n">
        <v>262422</v>
      </c>
      <c r="AJ131" s="2356" t="n">
        <v>566000</v>
      </c>
      <c r="AK131" s="2356" t="n">
        <v>53141</v>
      </c>
      <c r="AL131" s="2345" t="n"/>
      <c r="AM131" s="2345" t="inlineStr">
        <is>
          <t>Actual; 87.7% occ; NNN/Modified leases; RE Tax heavy; approx figures</t>
        </is>
      </c>
    </row>
    <row r="132">
      <c r="A132" s="2345" t="inlineStr">
        <is>
          <t>P065</t>
        </is>
      </c>
      <c r="B132" s="2338" t="n">
        <v>344</v>
      </c>
      <c r="C132" s="2345" t="inlineStr">
        <is>
          <t>R0069041</t>
        </is>
      </c>
      <c r="D132" s="2345" t="inlineStr">
        <is>
          <t>7475 Dakin St (Turnpike Tower)</t>
        </is>
      </c>
      <c r="E132" s="2345" t="inlineStr">
        <is>
          <t>Denver</t>
        </is>
      </c>
      <c r="F132" s="2345" t="inlineStr">
        <is>
          <t>CO</t>
        </is>
      </c>
      <c r="G132" s="2345" t="inlineStr">
        <is>
          <t>Office</t>
        </is>
      </c>
      <c r="H132" s="2345" t="inlineStr">
        <is>
          <t>Multi-Tenant Office</t>
        </is>
      </c>
      <c r="I132" s="2345" t="n"/>
      <c r="J132" s="2345" t="n">
        <v>114843</v>
      </c>
      <c r="K132" s="2345" t="n">
        <v>2024</v>
      </c>
      <c r="L132" s="2345" t="n"/>
      <c r="M132" s="2345" t="n"/>
      <c r="N132" s="2356" t="n">
        <v>1353745</v>
      </c>
      <c r="O132" s="2345" t="n"/>
      <c r="P132" s="2345" t="n"/>
      <c r="Q132" s="2345" t="n"/>
      <c r="R132" s="2345" t="n"/>
      <c r="S132" s="2345" t="n"/>
      <c r="T132" s="2345" t="n"/>
      <c r="U132" s="2345" t="n"/>
      <c r="V132" s="2345" t="n"/>
      <c r="W132" s="2345" t="n"/>
      <c r="X132" s="2345" t="n"/>
      <c r="Y132" s="2345" t="n"/>
      <c r="Z132" s="2345" t="n"/>
      <c r="AA132" s="2345" t="n"/>
      <c r="AB132" s="2345" t="n"/>
      <c r="AC132" s="2345" t="n"/>
      <c r="AD132" s="2345" t="n"/>
      <c r="AE132" s="2345" t="n"/>
      <c r="AF132" s="2345" t="n"/>
      <c r="AG132" s="2345" t="n"/>
      <c r="AH132" s="2356" t="n">
        <v>1025000</v>
      </c>
      <c r="AI132" s="2345" t="n"/>
      <c r="AJ132" s="2356" t="n">
        <v>1287000</v>
      </c>
      <c r="AK132" s="2356" t="n">
        <v>66677</v>
      </c>
      <c r="AL132" s="2345" t="n"/>
      <c r="AM132" s="2345" t="inlineStr">
        <is>
          <t>Actual 2024; approx figures; RE Tax est. ~$262k</t>
        </is>
      </c>
    </row>
    <row r="133">
      <c r="A133" s="2345" t="inlineStr">
        <is>
          <t>P066</t>
        </is>
      </c>
      <c r="B133" s="2338" t="n">
        <v>344</v>
      </c>
      <c r="C133" s="2345" t="inlineStr">
        <is>
          <t>R0079409</t>
        </is>
      </c>
      <c r="D133" s="2345" t="inlineStr">
        <is>
          <t>6401 E 72nd Ave</t>
        </is>
      </c>
      <c r="E133" s="2345" t="inlineStr">
        <is>
          <t>Commerce City</t>
        </is>
      </c>
      <c r="F133" s="2345" t="inlineStr">
        <is>
          <t>CO</t>
        </is>
      </c>
      <c r="G133" s="2345" t="inlineStr">
        <is>
          <t>Office</t>
        </is>
      </c>
      <c r="H133" s="2345" t="inlineStr">
        <is>
          <t>Multi-Tenant Office</t>
        </is>
      </c>
      <c r="I133" s="2345" t="n"/>
      <c r="J133" s="2345" t="n">
        <v>8218</v>
      </c>
      <c r="K133" s="2345" t="n">
        <v>2023</v>
      </c>
      <c r="L133" s="2356" t="n">
        <v>96674</v>
      </c>
      <c r="M133" s="2345" t="n"/>
      <c r="N133" s="2356" t="n">
        <v>109164</v>
      </c>
      <c r="O133" s="2356" t="n">
        <v>2384</v>
      </c>
      <c r="P133" s="2356" t="n">
        <v>5400</v>
      </c>
      <c r="Q133" s="2345" t="n"/>
      <c r="R133" s="2345" t="n"/>
      <c r="S133" s="2345" t="n"/>
      <c r="T133" s="2345" t="n"/>
      <c r="U133" s="2345" t="n"/>
      <c r="V133" s="2345" t="n"/>
      <c r="W133" s="2345" t="n"/>
      <c r="X133" s="2356" t="n">
        <v>18169</v>
      </c>
      <c r="Y133" s="2356" t="n">
        <v>18169</v>
      </c>
      <c r="Z133" s="2345" t="n"/>
      <c r="AA133" s="2345" t="n"/>
      <c r="AB133" s="2345" t="n"/>
      <c r="AC133" s="2345" t="n"/>
      <c r="AD133" s="2345" t="n"/>
      <c r="AE133" s="2345" t="n"/>
      <c r="AF133" s="2356" t="n">
        <v>12971</v>
      </c>
      <c r="AG133" s="2356" t="n">
        <v>4012</v>
      </c>
      <c r="AH133" s="2356" t="n">
        <v>39724</v>
      </c>
      <c r="AI133" s="2356" t="n">
        <v>16276</v>
      </c>
      <c r="AJ133" s="2356" t="n">
        <v>56000</v>
      </c>
      <c r="AK133" s="2356" t="n">
        <v>53000</v>
      </c>
      <c r="AL133" s="2345" t="n"/>
      <c r="AM133" s="2345" t="inlineStr">
        <is>
          <t>Actual 2023; 9 tenants small multi-tenant office; approx total OPX/NOI</t>
        </is>
      </c>
    </row>
    <row r="134">
      <c r="A134" s="2345" t="inlineStr">
        <is>
          <t>P067</t>
        </is>
      </c>
      <c r="B134" s="2338" t="n">
        <v>344</v>
      </c>
      <c r="C134" s="2345" t="inlineStr">
        <is>
          <t>R0189338</t>
        </is>
      </c>
      <c r="D134" s="2345" t="inlineStr">
        <is>
          <t>203 Telluride St</t>
        </is>
      </c>
      <c r="E134" s="2345" t="inlineStr">
        <is>
          <t>Aurora</t>
        </is>
      </c>
      <c r="F134" s="2345" t="inlineStr">
        <is>
          <t>CO</t>
        </is>
      </c>
      <c r="G134" s="2345" t="inlineStr">
        <is>
          <t>Office</t>
        </is>
      </c>
      <c r="H134" s="2345" t="inlineStr">
        <is>
          <t>Multi-Tenant Office</t>
        </is>
      </c>
      <c r="I134" s="2345" t="n"/>
      <c r="J134" s="2345" t="n"/>
      <c r="K134" s="2345" t="n">
        <v>2023</v>
      </c>
      <c r="L134" s="2356" t="n">
        <v>326779</v>
      </c>
      <c r="M134" s="2345" t="n"/>
      <c r="N134" s="2356" t="n">
        <v>315661</v>
      </c>
      <c r="O134" s="2345" t="n"/>
      <c r="P134" s="2345" t="n"/>
      <c r="Q134" s="2345" t="n"/>
      <c r="R134" s="2345" t="n"/>
      <c r="S134" s="2345" t="n"/>
      <c r="T134" s="2345" t="n"/>
      <c r="U134" s="2345" t="n"/>
      <c r="V134" s="2345" t="n"/>
      <c r="W134" s="2345" t="n"/>
      <c r="X134" s="2345" t="n"/>
      <c r="Y134" s="2345" t="n"/>
      <c r="Z134" s="2345" t="n"/>
      <c r="AA134" s="2356" t="n">
        <v>16009</v>
      </c>
      <c r="AB134" s="2345" t="n"/>
      <c r="AC134" s="2345" t="n"/>
      <c r="AD134" s="2345" t="n"/>
      <c r="AE134" s="2345" t="n"/>
      <c r="AF134" s="2345" t="n"/>
      <c r="AG134" s="2345" t="n"/>
      <c r="AH134" s="2356" t="n">
        <v>78034</v>
      </c>
      <c r="AI134" s="2356" t="n">
        <v>66966</v>
      </c>
      <c r="AJ134" s="2356" t="n">
        <v>145000</v>
      </c>
      <c r="AK134" s="2356" t="n">
        <v>170661</v>
      </c>
      <c r="AL134" s="2345" t="n"/>
      <c r="AM134" s="2345" t="inlineStr">
        <is>
          <t>Actual 2023; SF not stated; approx total OPX</t>
        </is>
      </c>
    </row>
    <row r="135">
      <c r="A135" s="2345" t="inlineStr">
        <is>
          <t>P067</t>
        </is>
      </c>
      <c r="B135" s="2338" t="n">
        <v>344</v>
      </c>
      <c r="C135" s="2345" t="inlineStr">
        <is>
          <t>R0189338</t>
        </is>
      </c>
      <c r="D135" s="2345" t="inlineStr">
        <is>
          <t>203 Telluride St</t>
        </is>
      </c>
      <c r="E135" s="2345" t="inlineStr">
        <is>
          <t>Aurora</t>
        </is>
      </c>
      <c r="F135" s="2345" t="inlineStr">
        <is>
          <t>CO</t>
        </is>
      </c>
      <c r="G135" s="2345" t="inlineStr">
        <is>
          <t>Office</t>
        </is>
      </c>
      <c r="H135" s="2345" t="inlineStr">
        <is>
          <t>Multi-Tenant Office</t>
        </is>
      </c>
      <c r="I135" s="2345" t="n"/>
      <c r="J135" s="2345" t="n"/>
      <c r="K135" s="2345" t="n">
        <v>2024</v>
      </c>
      <c r="L135" s="2356" t="n">
        <v>357674</v>
      </c>
      <c r="M135" s="2345" t="n"/>
      <c r="N135" s="2356" t="n">
        <v>335977</v>
      </c>
      <c r="O135" s="2356" t="n">
        <v>9791</v>
      </c>
      <c r="P135" s="2356" t="n">
        <v>7884</v>
      </c>
      <c r="Q135" s="2345" t="n"/>
      <c r="R135" s="2345" t="n"/>
      <c r="S135" s="2345" t="n"/>
      <c r="T135" s="2345" t="n"/>
      <c r="U135" s="2345" t="n"/>
      <c r="V135" s="2345" t="n"/>
      <c r="W135" s="2345" t="n"/>
      <c r="X135" s="2356" t="n">
        <v>41510</v>
      </c>
      <c r="Y135" s="2356" t="n">
        <v>41510</v>
      </c>
      <c r="Z135" s="2345" t="n"/>
      <c r="AA135" s="2356" t="n">
        <v>12092</v>
      </c>
      <c r="AB135" s="2345" t="n"/>
      <c r="AC135" s="2345" t="n"/>
      <c r="AD135" s="2345" t="n"/>
      <c r="AE135" s="2345" t="n"/>
      <c r="AF135" s="2356" t="n">
        <v>9302</v>
      </c>
      <c r="AG135" s="2356" t="n">
        <v>10772</v>
      </c>
      <c r="AH135" s="2356" t="n">
        <v>109544</v>
      </c>
      <c r="AI135" s="2356" t="n">
        <v>68307</v>
      </c>
      <c r="AJ135" s="2356" t="n">
        <v>177851</v>
      </c>
      <c r="AK135" s="2356" t="n">
        <v>158126</v>
      </c>
      <c r="AL135" s="2345" t="n"/>
      <c r="AM135" s="2345" t="inlineStr">
        <is>
          <t>Actual 2024; SF not stated</t>
        </is>
      </c>
    </row>
    <row r="136">
      <c r="A136" s="2345" t="inlineStr">
        <is>
          <t>P068</t>
        </is>
      </c>
      <c r="B136" s="2338" t="n">
        <v>344</v>
      </c>
      <c r="C136" s="2345" t="inlineStr">
        <is>
          <t>R0193830</t>
        </is>
      </c>
      <c r="D136" s="2345" t="inlineStr">
        <is>
          <t>Justice Center Office Plaza</t>
        </is>
      </c>
      <c r="E136" s="2345" t="inlineStr">
        <is>
          <t>Denver</t>
        </is>
      </c>
      <c r="F136" s="2345" t="inlineStr">
        <is>
          <t>CO</t>
        </is>
      </c>
      <c r="G136" s="2345" t="inlineStr">
        <is>
          <t>Office</t>
        </is>
      </c>
      <c r="H136" s="2345" t="inlineStr">
        <is>
          <t>Multi-Tenant Office NNN</t>
        </is>
      </c>
      <c r="I136" s="2345" t="n"/>
      <c r="J136" s="2345" t="n">
        <v>41979</v>
      </c>
      <c r="K136" s="2345" t="n">
        <v>2023</v>
      </c>
      <c r="L136" s="2356" t="n">
        <v>975573</v>
      </c>
      <c r="M136" s="2345" t="n"/>
      <c r="N136" s="2356" t="n">
        <v>1351329</v>
      </c>
      <c r="O136" s="2356" t="n">
        <v>30649</v>
      </c>
      <c r="P136" s="2356" t="n">
        <v>86480</v>
      </c>
      <c r="Q136" s="2345" t="n"/>
      <c r="R136" s="2345" t="n"/>
      <c r="S136" s="2345" t="n"/>
      <c r="T136" s="2345" t="n"/>
      <c r="U136" s="2345" t="n"/>
      <c r="V136" s="2345" t="n"/>
      <c r="W136" s="2345" t="n"/>
      <c r="X136" s="2356" t="n">
        <v>136077</v>
      </c>
      <c r="Y136" s="2356" t="n">
        <v>136077</v>
      </c>
      <c r="Z136" s="2345" t="n"/>
      <c r="AA136" s="2345" t="n"/>
      <c r="AB136" s="2345" t="n"/>
      <c r="AC136" s="2345" t="n"/>
      <c r="AD136" s="2345" t="n"/>
      <c r="AE136" s="2345" t="n"/>
      <c r="AF136" s="2356" t="n">
        <v>144650</v>
      </c>
      <c r="AG136" s="2356" t="n">
        <v>24922</v>
      </c>
      <c r="AH136" s="2356" t="n">
        <v>422677</v>
      </c>
      <c r="AI136" s="2356" t="n">
        <v>86236</v>
      </c>
      <c r="AJ136" s="2356" t="n">
        <v>508913</v>
      </c>
      <c r="AK136" s="2356" t="n">
        <v>842416</v>
      </c>
      <c r="AL136" s="2345" t="n"/>
      <c r="AM136" s="2345" t="inlineStr">
        <is>
          <t>Actual accrual; govt tenants; 100% occ NNN; special assessments in Other</t>
        </is>
      </c>
    </row>
    <row r="137">
      <c r="A137" s="2345" t="inlineStr">
        <is>
          <t>P068</t>
        </is>
      </c>
      <c r="B137" s="2338" t="n">
        <v>344</v>
      </c>
      <c r="C137" s="2345" t="inlineStr">
        <is>
          <t>R0193830</t>
        </is>
      </c>
      <c r="D137" s="2345" t="inlineStr">
        <is>
          <t>Justice Center Office Plaza</t>
        </is>
      </c>
      <c r="E137" s="2345" t="inlineStr">
        <is>
          <t>Denver</t>
        </is>
      </c>
      <c r="F137" s="2345" t="inlineStr">
        <is>
          <t>CO</t>
        </is>
      </c>
      <c r="G137" s="2345" t="inlineStr">
        <is>
          <t>Office</t>
        </is>
      </c>
      <c r="H137" s="2345" t="inlineStr">
        <is>
          <t>Multi-Tenant Office NNN</t>
        </is>
      </c>
      <c r="I137" s="2345" t="n"/>
      <c r="J137" s="2345" t="n">
        <v>41979</v>
      </c>
      <c r="K137" s="2345" t="n">
        <v>2024</v>
      </c>
      <c r="L137" s="2356" t="n">
        <v>858704</v>
      </c>
      <c r="M137" s="2345" t="n"/>
      <c r="N137" s="2356" t="n">
        <v>1393201</v>
      </c>
      <c r="O137" s="2356" t="n">
        <v>34798</v>
      </c>
      <c r="P137" s="2356" t="n">
        <v>89439</v>
      </c>
      <c r="Q137" s="2345" t="n"/>
      <c r="R137" s="2345" t="n"/>
      <c r="S137" s="2345" t="n"/>
      <c r="T137" s="2345" t="n"/>
      <c r="U137" s="2345" t="n"/>
      <c r="V137" s="2345" t="n"/>
      <c r="W137" s="2345" t="n"/>
      <c r="X137" s="2356" t="n">
        <v>116522</v>
      </c>
      <c r="Y137" s="2356" t="n">
        <v>116522</v>
      </c>
      <c r="Z137" s="2345" t="n"/>
      <c r="AA137" s="2345" t="n"/>
      <c r="AB137" s="2345" t="n"/>
      <c r="AC137" s="2345" t="n"/>
      <c r="AD137" s="2345" t="n"/>
      <c r="AE137" s="2345" t="n"/>
      <c r="AF137" s="2356" t="n">
        <v>150007</v>
      </c>
      <c r="AG137" s="2356" t="n">
        <v>29708</v>
      </c>
      <c r="AH137" s="2356" t="n">
        <v>425475</v>
      </c>
      <c r="AI137" s="2356" t="n">
        <v>86738</v>
      </c>
      <c r="AJ137" s="2356" t="n">
        <v>512213</v>
      </c>
      <c r="AK137" s="2356" t="n">
        <v>880988</v>
      </c>
      <c r="AL137" s="2345" t="n"/>
      <c r="AM137" s="2345" t="inlineStr">
        <is>
          <t>Actual accrual; govt tenants; 100% occ NNN; special assessments in Other</t>
        </is>
      </c>
    </row>
    <row r="138">
      <c r="A138" s="2345" t="inlineStr">
        <is>
          <t>P069</t>
        </is>
      </c>
      <c r="B138" s="2338" t="n">
        <v>210</v>
      </c>
      <c r="C138" s="2345" t="inlineStr">
        <is>
          <t>R0098223</t>
        </is>
      </c>
      <c r="D138" s="2345" t="inlineStr">
        <is>
          <t>Washington Commerce Center</t>
        </is>
      </c>
      <c r="E138" s="2345" t="inlineStr">
        <is>
          <t>Commerce City</t>
        </is>
      </c>
      <c r="F138" s="2345" t="inlineStr">
        <is>
          <t>CO</t>
        </is>
      </c>
      <c r="G138" s="2345" t="inlineStr">
        <is>
          <t>Office/Industrial</t>
        </is>
      </c>
      <c r="H138" s="2345" t="inlineStr">
        <is>
          <t>Multi-Tenant Office/Industrial</t>
        </is>
      </c>
      <c r="I138" s="2345" t="n"/>
      <c r="J138" s="2345" t="n">
        <v>278538</v>
      </c>
      <c r="K138" s="2345" t="n">
        <v>2023</v>
      </c>
      <c r="L138" s="2356" t="n">
        <v>1636029</v>
      </c>
      <c r="M138" s="2345" t="n"/>
      <c r="N138" s="2356" t="n">
        <v>1610567</v>
      </c>
      <c r="O138" s="2356" t="n">
        <v>5093</v>
      </c>
      <c r="P138" s="2356" t="n">
        <v>21945</v>
      </c>
      <c r="Q138" s="2345" t="n"/>
      <c r="R138" s="2345" t="n"/>
      <c r="S138" s="2345" t="n"/>
      <c r="T138" s="2345" t="n"/>
      <c r="U138" s="2345" t="n"/>
      <c r="V138" s="2345" t="n"/>
      <c r="W138" s="2345" t="n"/>
      <c r="X138" s="2356" t="n">
        <v>256338</v>
      </c>
      <c r="Y138" s="2356" t="n">
        <v>256338</v>
      </c>
      <c r="Z138" s="2345" t="n"/>
      <c r="AA138" s="2356" t="n">
        <v>58025</v>
      </c>
      <c r="AB138" s="2356" t="n">
        <v>3239</v>
      </c>
      <c r="AC138" s="2356" t="n">
        <v>61264</v>
      </c>
      <c r="AD138" s="2345" t="n"/>
      <c r="AE138" s="2345" t="n"/>
      <c r="AF138" s="2356" t="n">
        <v>31915</v>
      </c>
      <c r="AG138" s="2345" t="n"/>
      <c r="AH138" s="2356" t="n">
        <v>375619</v>
      </c>
      <c r="AI138" s="2356" t="n">
        <v>0</v>
      </c>
      <c r="AJ138" s="2356" t="n">
        <v>375619</v>
      </c>
      <c r="AK138" s="2356" t="n">
        <v>76629</v>
      </c>
      <c r="AL138" s="2345" t="n"/>
      <c r="AM138" s="2345" t="inlineStr">
        <is>
          <t>Actual; tenants pay RE tax; high R&amp;M 2023 ($127k major maint); SF est.</t>
        </is>
      </c>
    </row>
    <row r="139">
      <c r="A139" s="2345" t="inlineStr">
        <is>
          <t>P069</t>
        </is>
      </c>
      <c r="B139" s="2338" t="n">
        <v>210</v>
      </c>
      <c r="C139" s="2345" t="inlineStr">
        <is>
          <t>R0098223</t>
        </is>
      </c>
      <c r="D139" s="2345" t="inlineStr">
        <is>
          <t>Washington Commerce Center</t>
        </is>
      </c>
      <c r="E139" s="2345" t="inlineStr">
        <is>
          <t>Commerce City</t>
        </is>
      </c>
      <c r="F139" s="2345" t="inlineStr">
        <is>
          <t>CO</t>
        </is>
      </c>
      <c r="G139" s="2345" t="inlineStr">
        <is>
          <t>Office/Industrial</t>
        </is>
      </c>
      <c r="H139" s="2345" t="inlineStr">
        <is>
          <t>Multi-Tenant Office/Industrial</t>
        </is>
      </c>
      <c r="I139" s="2345" t="n"/>
      <c r="J139" s="2345" t="n">
        <v>278538</v>
      </c>
      <c r="K139" s="2345" t="n">
        <v>2024</v>
      </c>
      <c r="L139" s="2356" t="n">
        <v>1520916</v>
      </c>
      <c r="M139" s="2345" t="n"/>
      <c r="N139" s="2356" t="n">
        <v>1520916</v>
      </c>
      <c r="O139" s="2356" t="n">
        <v>8912</v>
      </c>
      <c r="P139" s="2356" t="n">
        <v>25573</v>
      </c>
      <c r="Q139" s="2345" t="n"/>
      <c r="R139" s="2345" t="n"/>
      <c r="S139" s="2345" t="n"/>
      <c r="T139" s="2345" t="n"/>
      <c r="U139" s="2345" t="n"/>
      <c r="V139" s="2345" t="n"/>
      <c r="W139" s="2345" t="n"/>
      <c r="X139" s="2356" t="n">
        <v>125263</v>
      </c>
      <c r="Y139" s="2356" t="n">
        <v>125263</v>
      </c>
      <c r="Z139" s="2345" t="n"/>
      <c r="AA139" s="2356" t="n">
        <v>58025</v>
      </c>
      <c r="AB139" s="2356" t="n">
        <v>9957</v>
      </c>
      <c r="AC139" s="2356" t="n">
        <v>67982</v>
      </c>
      <c r="AD139" s="2345" t="n"/>
      <c r="AE139" s="2345" t="n"/>
      <c r="AF139" s="2356" t="n">
        <v>31915</v>
      </c>
      <c r="AG139" s="2345" t="n"/>
      <c r="AH139" s="2356" t="n">
        <v>259645</v>
      </c>
      <c r="AI139" s="2356" t="n">
        <v>0</v>
      </c>
      <c r="AJ139" s="2356" t="n">
        <v>259645</v>
      </c>
      <c r="AK139" s="2356" t="n">
        <v>93985</v>
      </c>
      <c r="AL139" s="2345" t="n"/>
      <c r="AM139" s="2345" t="inlineStr">
        <is>
          <t>Actual; tenants pay RE tax; lower R&amp;M 2024; SF est.</t>
        </is>
      </c>
    </row>
    <row r="140">
      <c r="A140" s="2345" t="inlineStr">
        <is>
          <t>P070</t>
        </is>
      </c>
      <c r="B140" s="2338" t="n">
        <v>210</v>
      </c>
      <c r="C140" s="2345" t="inlineStr">
        <is>
          <t>R0084242</t>
        </is>
      </c>
      <c r="D140" s="2345" t="inlineStr">
        <is>
          <t>Upland Dist Ctr I (Bldg 1)</t>
        </is>
      </c>
      <c r="E140" s="2345" t="inlineStr">
        <is>
          <t>Aurora</t>
        </is>
      </c>
      <c r="F140" s="2345" t="inlineStr">
        <is>
          <t>CO</t>
        </is>
      </c>
      <c r="G140" s="2345" t="inlineStr">
        <is>
          <t>Industrial</t>
        </is>
      </c>
      <c r="H140" s="2345" t="inlineStr">
        <is>
          <t>Multi-Tenant Industrial NNN</t>
        </is>
      </c>
      <c r="I140" s="2345" t="n"/>
      <c r="J140" s="2345" t="n"/>
      <c r="K140" s="2345" t="n">
        <v>2024</v>
      </c>
      <c r="L140" s="2356" t="n">
        <v>693913</v>
      </c>
      <c r="M140" s="2345" t="n"/>
      <c r="N140" s="2356" t="n">
        <v>1038740</v>
      </c>
      <c r="O140" s="2356" t="n">
        <v>10142</v>
      </c>
      <c r="P140" s="2356" t="n">
        <v>11589</v>
      </c>
      <c r="Q140" s="2345" t="n"/>
      <c r="R140" s="2345" t="n"/>
      <c r="S140" s="2356" t="n">
        <v>10801</v>
      </c>
      <c r="T140" s="2356" t="n">
        <v>2121</v>
      </c>
      <c r="U140" s="2345" t="n"/>
      <c r="V140" s="2345" t="n"/>
      <c r="W140" s="2345" t="n"/>
      <c r="X140" s="2356" t="n">
        <v>1602</v>
      </c>
      <c r="Y140" s="2356" t="n">
        <v>14524</v>
      </c>
      <c r="Z140" s="2345" t="n"/>
      <c r="AA140" s="2356" t="n">
        <v>10822</v>
      </c>
      <c r="AB140" s="2356" t="n">
        <v>32162</v>
      </c>
      <c r="AC140" s="2356" t="n">
        <v>3096</v>
      </c>
      <c r="AD140" s="2356" t="n">
        <v>10863</v>
      </c>
      <c r="AE140" s="2345" t="n"/>
      <c r="AF140" s="2356" t="n">
        <v>10863</v>
      </c>
      <c r="AG140" s="2345" t="n"/>
      <c r="AH140" s="2356" t="n">
        <v>103843</v>
      </c>
      <c r="AI140" s="2356" t="n">
        <v>285245</v>
      </c>
      <c r="AJ140" s="2356" t="n">
        <v>389088</v>
      </c>
      <c r="AK140" s="2356" t="n">
        <v>649652</v>
      </c>
      <c r="AL140" s="2345" t="n"/>
      <c r="AM140" s="2345" t="inlineStr">
        <is>
          <t>Link Logistics actual accrual; security $3,096 in contract; mgmt non-billable</t>
        </is>
      </c>
    </row>
    <row r="141">
      <c r="A141" s="2345" t="inlineStr">
        <is>
          <t>P070</t>
        </is>
      </c>
      <c r="B141" s="2338" t="n">
        <v>210</v>
      </c>
      <c r="C141" s="2345" t="inlineStr">
        <is>
          <t>R0084242</t>
        </is>
      </c>
      <c r="D141" s="2345" t="inlineStr">
        <is>
          <t>Upland Dist Ctr I (Bldg 1)</t>
        </is>
      </c>
      <c r="E141" s="2345" t="inlineStr">
        <is>
          <t>Aurora</t>
        </is>
      </c>
      <c r="F141" s="2345" t="inlineStr">
        <is>
          <t>CO</t>
        </is>
      </c>
      <c r="G141" s="2345" t="inlineStr">
        <is>
          <t>Industrial</t>
        </is>
      </c>
      <c r="H141" s="2345" t="inlineStr">
        <is>
          <t>Multi-Tenant Industrial NNN</t>
        </is>
      </c>
      <c r="I141" s="2345" t="n"/>
      <c r="J141" s="2345" t="n"/>
      <c r="K141" s="2345" t="n">
        <v>2023</v>
      </c>
      <c r="L141" s="2356" t="n">
        <v>636291</v>
      </c>
      <c r="M141" s="2345" t="n"/>
      <c r="N141" s="2356" t="n">
        <v>1062200</v>
      </c>
      <c r="O141" s="2356" t="n">
        <v>7751</v>
      </c>
      <c r="P141" s="2356" t="n">
        <v>9831</v>
      </c>
      <c r="Q141" s="2345" t="n"/>
      <c r="R141" s="2345" t="n"/>
      <c r="S141" s="2356" t="n">
        <v>6802</v>
      </c>
      <c r="T141" s="2356" t="n">
        <v>2340</v>
      </c>
      <c r="U141" s="2345" t="n"/>
      <c r="V141" s="2345" t="n"/>
      <c r="W141" s="2345" t="n"/>
      <c r="X141" s="2356" t="n">
        <v>1498</v>
      </c>
      <c r="Y141" s="2356" t="n">
        <v>10640</v>
      </c>
      <c r="Z141" s="2345" t="n"/>
      <c r="AA141" s="2356" t="n">
        <v>12695</v>
      </c>
      <c r="AB141" s="2356" t="n">
        <v>15327</v>
      </c>
      <c r="AC141" s="2356" t="n">
        <v>3871</v>
      </c>
      <c r="AD141" s="2356" t="n">
        <v>18104</v>
      </c>
      <c r="AE141" s="2345" t="n"/>
      <c r="AF141" s="2356" t="n">
        <v>18104</v>
      </c>
      <c r="AG141" s="2345" t="n"/>
      <c r="AH141" s="2356" t="n">
        <v>93172</v>
      </c>
      <c r="AI141" s="2356" t="n">
        <v>284308</v>
      </c>
      <c r="AJ141" s="2356" t="n">
        <v>377480</v>
      </c>
      <c r="AK141" s="2356" t="n">
        <v>684720</v>
      </c>
      <c r="AL141" s="2345" t="n"/>
      <c r="AM141" s="2345" t="inlineStr">
        <is>
          <t>Link Logistics actual accrual; security $3,871 in contract; mgmt non-billable</t>
        </is>
      </c>
    </row>
    <row r="142">
      <c r="A142" s="2345" t="inlineStr">
        <is>
          <t>P071</t>
        </is>
      </c>
      <c r="B142" s="2338" t="n">
        <v>210</v>
      </c>
      <c r="C142" s="2345" t="inlineStr">
        <is>
          <t>R0084243</t>
        </is>
      </c>
      <c r="D142" s="2345" t="inlineStr">
        <is>
          <t>Upland Dist Ctr I (Bldg 2)</t>
        </is>
      </c>
      <c r="E142" s="2345" t="inlineStr">
        <is>
          <t>Aurora</t>
        </is>
      </c>
      <c r="F142" s="2345" t="inlineStr">
        <is>
          <t>CO</t>
        </is>
      </c>
      <c r="G142" s="2345" t="inlineStr">
        <is>
          <t>Industrial</t>
        </is>
      </c>
      <c r="H142" s="2345" t="inlineStr">
        <is>
          <t>Multi-Tenant Industrial NNN</t>
        </is>
      </c>
      <c r="I142" s="2345" t="n"/>
      <c r="J142" s="2345" t="n"/>
      <c r="K142" s="2345" t="n">
        <v>2024</v>
      </c>
      <c r="L142" s="2356" t="n">
        <v>559154</v>
      </c>
      <c r="M142" s="2345" t="n"/>
      <c r="N142" s="2356" t="n">
        <v>904777</v>
      </c>
      <c r="O142" s="2356" t="n">
        <v>9318</v>
      </c>
      <c r="P142" s="2356" t="n">
        <v>8966</v>
      </c>
      <c r="Q142" s="2345" t="n"/>
      <c r="R142" s="2345" t="n"/>
      <c r="S142" s="2356" t="n">
        <v>5962</v>
      </c>
      <c r="T142" s="2356" t="n">
        <v>2221</v>
      </c>
      <c r="U142" s="2356" t="n">
        <v>2465</v>
      </c>
      <c r="V142" s="2345" t="n"/>
      <c r="W142" s="2345" t="n"/>
      <c r="X142" s="2356" t="n">
        <v>1589</v>
      </c>
      <c r="Y142" s="2356" t="n">
        <v>12237</v>
      </c>
      <c r="Z142" s="2345" t="n"/>
      <c r="AA142" s="2356" t="n">
        <v>11302</v>
      </c>
      <c r="AB142" s="2356" t="n">
        <v>32413</v>
      </c>
      <c r="AC142" s="2356" t="n">
        <v>3096</v>
      </c>
      <c r="AD142" s="2356" t="n">
        <v>23773</v>
      </c>
      <c r="AE142" s="2345" t="n"/>
      <c r="AF142" s="2356" t="n">
        <v>23773</v>
      </c>
      <c r="AG142" s="2345" t="n"/>
      <c r="AH142" s="2356" t="n">
        <v>130296</v>
      </c>
      <c r="AI142" s="2356" t="n">
        <v>265848</v>
      </c>
      <c r="AJ142" s="2356" t="n">
        <v>396144</v>
      </c>
      <c r="AK142" s="2356" t="n">
        <v>508633</v>
      </c>
      <c r="AL142" s="2345" t="n"/>
      <c r="AM142" s="2345" t="inlineStr">
        <is>
          <t>Link Logistics actual accrual</t>
        </is>
      </c>
    </row>
    <row r="143">
      <c r="A143" s="2345" t="inlineStr">
        <is>
          <t>P071</t>
        </is>
      </c>
      <c r="B143" s="2338" t="n">
        <v>210</v>
      </c>
      <c r="C143" s="2345" t="inlineStr">
        <is>
          <t>R0084243</t>
        </is>
      </c>
      <c r="D143" s="2345" t="inlineStr">
        <is>
          <t>Upland Dist Ctr I (Bldg 2)</t>
        </is>
      </c>
      <c r="E143" s="2345" t="inlineStr">
        <is>
          <t>Aurora</t>
        </is>
      </c>
      <c r="F143" s="2345" t="inlineStr">
        <is>
          <t>CO</t>
        </is>
      </c>
      <c r="G143" s="2345" t="inlineStr">
        <is>
          <t>Industrial</t>
        </is>
      </c>
      <c r="H143" s="2345" t="inlineStr">
        <is>
          <t>Multi-Tenant Industrial NNN</t>
        </is>
      </c>
      <c r="I143" s="2345" t="n"/>
      <c r="J143" s="2345" t="n"/>
      <c r="K143" s="2345" t="n">
        <v>2023</v>
      </c>
      <c r="L143" s="2356" t="n">
        <v>671895</v>
      </c>
      <c r="M143" s="2345" t="n"/>
      <c r="N143" s="2356" t="n">
        <v>1034507</v>
      </c>
      <c r="O143" s="2356" t="n">
        <v>7124</v>
      </c>
      <c r="P143" s="2356" t="n">
        <v>9660</v>
      </c>
      <c r="Q143" s="2345" t="n"/>
      <c r="R143" s="2345" t="n"/>
      <c r="S143" s="2356" t="n">
        <v>5338</v>
      </c>
      <c r="T143" s="2356" t="n">
        <v>2480</v>
      </c>
      <c r="U143" s="2356" t="n">
        <v>875</v>
      </c>
      <c r="V143" s="2345" t="n"/>
      <c r="W143" s="2345" t="n"/>
      <c r="X143" s="2356" t="n">
        <v>1484</v>
      </c>
      <c r="Y143" s="2356" t="n">
        <v>10177</v>
      </c>
      <c r="Z143" s="2345" t="n"/>
      <c r="AA143" s="2356" t="n">
        <v>8120</v>
      </c>
      <c r="AB143" s="2356" t="n">
        <v>15088</v>
      </c>
      <c r="AC143" s="2356" t="n">
        <v>3871</v>
      </c>
      <c r="AD143" s="2356" t="n">
        <v>13983</v>
      </c>
      <c r="AE143" s="2345" t="n"/>
      <c r="AF143" s="2356" t="n">
        <v>13983</v>
      </c>
      <c r="AG143" s="2345" t="n"/>
      <c r="AH143" s="2356" t="n">
        <v>29277</v>
      </c>
      <c r="AI143" s="2356" t="n">
        <v>265936</v>
      </c>
      <c r="AJ143" s="2356" t="n">
        <v>295213</v>
      </c>
      <c r="AK143" s="2356" t="n">
        <v>739294</v>
      </c>
      <c r="AL143" s="2345" t="n"/>
      <c r="AM143" s="2345" t="inlineStr">
        <is>
          <t>Link Logistics actual accrual</t>
        </is>
      </c>
    </row>
    <row r="144">
      <c r="A144" s="2345" t="inlineStr">
        <is>
          <t>P072</t>
        </is>
      </c>
      <c r="B144" s="2338" t="n">
        <v>210</v>
      </c>
      <c r="C144" s="2345" t="inlineStr">
        <is>
          <t>R0084244</t>
        </is>
      </c>
      <c r="D144" s="2345" t="inlineStr">
        <is>
          <t>Upland Dist Ctr I (Bldg 3)</t>
        </is>
      </c>
      <c r="E144" s="2345" t="inlineStr">
        <is>
          <t>Aurora</t>
        </is>
      </c>
      <c r="F144" s="2345" t="inlineStr">
        <is>
          <t>CO</t>
        </is>
      </c>
      <c r="G144" s="2345" t="inlineStr">
        <is>
          <t>Industrial</t>
        </is>
      </c>
      <c r="H144" s="2345" t="inlineStr">
        <is>
          <t>Multi-Tenant Industrial NNN</t>
        </is>
      </c>
      <c r="I144" s="2345" t="n"/>
      <c r="J144" s="2345" t="n"/>
      <c r="K144" s="2345" t="n">
        <v>2023</v>
      </c>
      <c r="L144" s="2356" t="n">
        <v>633240</v>
      </c>
      <c r="M144" s="2345" t="n"/>
      <c r="N144" s="2356" t="n">
        <v>1026818</v>
      </c>
      <c r="O144" s="2356" t="n">
        <v>6101</v>
      </c>
      <c r="P144" s="2356" t="n">
        <v>8518</v>
      </c>
      <c r="Q144" s="2345" t="n"/>
      <c r="R144" s="2345" t="n"/>
      <c r="S144" s="2356" t="n">
        <v>32990</v>
      </c>
      <c r="T144" s="2356" t="n">
        <v>1965</v>
      </c>
      <c r="U144" s="2345" t="n"/>
      <c r="V144" s="2345" t="n"/>
      <c r="W144" s="2345" t="n"/>
      <c r="X144" s="2356" t="n">
        <v>1498</v>
      </c>
      <c r="Y144" s="2356" t="n">
        <v>34453</v>
      </c>
      <c r="Z144" s="2345" t="n"/>
      <c r="AA144" s="2356" t="n">
        <v>11861</v>
      </c>
      <c r="AB144" s="2356" t="n">
        <v>15620</v>
      </c>
      <c r="AC144" s="2356" t="n">
        <v>3871</v>
      </c>
      <c r="AD144" s="2356" t="n">
        <v>5672</v>
      </c>
      <c r="AE144" s="2356" t="n">
        <v>3430</v>
      </c>
      <c r="AF144" s="2356" t="n">
        <v>9102</v>
      </c>
      <c r="AG144" s="2345" t="n"/>
      <c r="AH144" s="2356" t="n">
        <v>107544</v>
      </c>
      <c r="AI144" s="2356" t="n">
        <v>284308</v>
      </c>
      <c r="AJ144" s="2356" t="n">
        <v>391852</v>
      </c>
      <c r="AK144" s="2356" t="n">
        <v>634966</v>
      </c>
      <c r="AL144" s="2345" t="n"/>
      <c r="AM144" s="2345" t="inlineStr">
        <is>
          <t>Link Logistics 2023 only; large warehouse; notable free rent ($111k) and lease-up period</t>
        </is>
      </c>
    </row>
    <row r="145">
      <c r="A145" s="2345" t="inlineStr">
        <is>
          <t>P073</t>
        </is>
      </c>
      <c r="B145" s="2338" t="n">
        <v>210</v>
      </c>
      <c r="C145" s="2345" t="inlineStr">
        <is>
          <t>R0084247</t>
        </is>
      </c>
      <c r="D145" s="2345" t="inlineStr">
        <is>
          <t>13802 E 33rd Place</t>
        </is>
      </c>
      <c r="E145" s="2345" t="inlineStr">
        <is>
          <t>Aurora</t>
        </is>
      </c>
      <c r="F145" s="2345" t="inlineStr">
        <is>
          <t>CO</t>
        </is>
      </c>
      <c r="G145" s="2345" t="inlineStr">
        <is>
          <t>Industrial</t>
        </is>
      </c>
      <c r="H145" s="2345" t="inlineStr">
        <is>
          <t>Multi-Tenant Industrial NNN</t>
        </is>
      </c>
      <c r="I145" s="2345" t="n"/>
      <c r="J145" s="2345" t="n"/>
      <c r="K145" s="2345" t="n">
        <v>2024</v>
      </c>
      <c r="L145" s="2356" t="n">
        <v>318721</v>
      </c>
      <c r="M145" s="2345" t="n"/>
      <c r="N145" s="2356" t="n">
        <v>578332</v>
      </c>
      <c r="O145" s="2356" t="n">
        <v>7156</v>
      </c>
      <c r="P145" s="2356" t="n">
        <v>5471</v>
      </c>
      <c r="Q145" s="2345" t="n"/>
      <c r="R145" s="2345" t="n"/>
      <c r="S145" s="2356" t="n">
        <v>8874</v>
      </c>
      <c r="T145" s="2356" t="n">
        <v>1655</v>
      </c>
      <c r="U145" s="2345" t="n"/>
      <c r="V145" s="2345" t="n"/>
      <c r="W145" s="2345" t="n"/>
      <c r="X145" s="2356" t="n">
        <v>1556</v>
      </c>
      <c r="Y145" s="2356" t="n">
        <v>12085</v>
      </c>
      <c r="Z145" s="2345" t="n"/>
      <c r="AA145" s="2356" t="n">
        <v>9686</v>
      </c>
      <c r="AB145" s="2356" t="n">
        <v>20653</v>
      </c>
      <c r="AC145" s="2356" t="n">
        <v>6987</v>
      </c>
      <c r="AD145" s="2356" t="n">
        <v>10547</v>
      </c>
      <c r="AE145" s="2356" t="n">
        <v>1600</v>
      </c>
      <c r="AF145" s="2356" t="n">
        <v>12147</v>
      </c>
      <c r="AG145" s="2345" t="n"/>
      <c r="AH145" s="2356" t="n">
        <v>91002</v>
      </c>
      <c r="AI145" s="2356" t="n">
        <v>204010</v>
      </c>
      <c r="AJ145" s="2356" t="n">
        <v>295012</v>
      </c>
      <c r="AK145" s="2356" t="n">
        <v>283320</v>
      </c>
      <c r="AL145" s="2345" t="n"/>
      <c r="AM145" s="2345" t="inlineStr">
        <is>
          <t>Link Logistics actual accrual</t>
        </is>
      </c>
    </row>
    <row r="146">
      <c r="A146" s="2345" t="inlineStr">
        <is>
          <t>P073</t>
        </is>
      </c>
      <c r="B146" s="2338" t="n">
        <v>210</v>
      </c>
      <c r="C146" s="2345" t="inlineStr">
        <is>
          <t>R0084247</t>
        </is>
      </c>
      <c r="D146" s="2345" t="inlineStr">
        <is>
          <t>13802 E 33rd Place</t>
        </is>
      </c>
      <c r="E146" s="2345" t="inlineStr">
        <is>
          <t>Aurora</t>
        </is>
      </c>
      <c r="F146" s="2345" t="inlineStr">
        <is>
          <t>CO</t>
        </is>
      </c>
      <c r="G146" s="2345" t="inlineStr">
        <is>
          <t>Industrial</t>
        </is>
      </c>
      <c r="H146" s="2345" t="inlineStr">
        <is>
          <t>Multi-Tenant Industrial NNN</t>
        </is>
      </c>
      <c r="I146" s="2345" t="n"/>
      <c r="J146" s="2345" t="n"/>
      <c r="K146" s="2345" t="n">
        <v>2023</v>
      </c>
      <c r="L146" s="2356" t="n">
        <v>394581</v>
      </c>
      <c r="M146" s="2345" t="n"/>
      <c r="N146" s="2356" t="n">
        <v>671481</v>
      </c>
      <c r="O146" s="2356" t="n">
        <v>6075</v>
      </c>
      <c r="P146" s="2356" t="n">
        <v>5987</v>
      </c>
      <c r="Q146" s="2345" t="n"/>
      <c r="R146" s="2345" t="n"/>
      <c r="S146" s="2356" t="n">
        <v>7762</v>
      </c>
      <c r="T146" s="2356" t="n">
        <v>1575</v>
      </c>
      <c r="U146" s="2345" t="n"/>
      <c r="V146" s="2345" t="n"/>
      <c r="W146" s="2345" t="n"/>
      <c r="X146" s="2356" t="n">
        <v>1452</v>
      </c>
      <c r="Y146" s="2356" t="n">
        <v>10789</v>
      </c>
      <c r="Z146" s="2345" t="n"/>
      <c r="AA146" s="2356" t="n">
        <v>11249</v>
      </c>
      <c r="AB146" s="2356" t="n">
        <v>12318</v>
      </c>
      <c r="AC146" s="2356" t="n">
        <v>6967</v>
      </c>
      <c r="AD146" s="2356" t="n">
        <v>11424</v>
      </c>
      <c r="AE146" s="2356" t="n">
        <v>1898</v>
      </c>
      <c r="AF146" s="2356" t="n">
        <v>13322</v>
      </c>
      <c r="AG146" s="2345" t="n"/>
      <c r="AH146" s="2356" t="n">
        <v>37127</v>
      </c>
      <c r="AI146" s="2356" t="n">
        <v>204497</v>
      </c>
      <c r="AJ146" s="2356" t="n">
        <v>241624</v>
      </c>
      <c r="AK146" s="2356" t="n">
        <v>429857</v>
      </c>
      <c r="AL146" s="2345" t="n"/>
      <c r="AM146" s="2345" t="inlineStr">
        <is>
          <t>Link Logistics actual accrual</t>
        </is>
      </c>
    </row>
    <row r="147">
      <c r="A147" s="2345" t="inlineStr">
        <is>
          <t>P074</t>
        </is>
      </c>
      <c r="B147" s="2338" t="n">
        <v>210</v>
      </c>
      <c r="C147" s="2345" t="inlineStr">
        <is>
          <t>R0084248</t>
        </is>
      </c>
      <c r="D147" s="2345" t="inlineStr">
        <is>
          <t>14002 E 33rd Place</t>
        </is>
      </c>
      <c r="E147" s="2345" t="inlineStr">
        <is>
          <t>Aurora</t>
        </is>
      </c>
      <c r="F147" s="2345" t="inlineStr">
        <is>
          <t>CO</t>
        </is>
      </c>
      <c r="G147" s="2345" t="inlineStr">
        <is>
          <t>Industrial</t>
        </is>
      </c>
      <c r="H147" s="2345" t="inlineStr">
        <is>
          <t>Multi-Tenant Industrial NNN</t>
        </is>
      </c>
      <c r="I147" s="2345" t="n"/>
      <c r="J147" s="2345" t="n"/>
      <c r="K147" s="2345" t="n">
        <v>2024</v>
      </c>
      <c r="L147" s="2356" t="n">
        <v>352733</v>
      </c>
      <c r="M147" s="2345" t="n"/>
      <c r="N147" s="2356" t="n">
        <v>649568</v>
      </c>
      <c r="O147" s="2356" t="n">
        <v>6988</v>
      </c>
      <c r="P147" s="2356" t="n">
        <v>6207</v>
      </c>
      <c r="Q147" s="2345" t="n"/>
      <c r="R147" s="2345" t="n"/>
      <c r="S147" s="2356" t="n">
        <v>16981</v>
      </c>
      <c r="T147" s="2356" t="n">
        <v>1800</v>
      </c>
      <c r="U147" s="2345" t="n"/>
      <c r="V147" s="2345" t="n"/>
      <c r="W147" s="2345" t="n"/>
      <c r="X147" s="2356" t="n">
        <v>1556</v>
      </c>
      <c r="Y147" s="2356" t="n">
        <v>20337</v>
      </c>
      <c r="Z147" s="2345" t="n"/>
      <c r="AA147" s="2356" t="n">
        <v>8036</v>
      </c>
      <c r="AB147" s="2356" t="n">
        <v>22795</v>
      </c>
      <c r="AC147" s="2356" t="n">
        <v>6988</v>
      </c>
      <c r="AD147" s="2356" t="n">
        <v>8875</v>
      </c>
      <c r="AE147" s="2345" t="n"/>
      <c r="AF147" s="2356" t="n">
        <v>8875</v>
      </c>
      <c r="AG147" s="2345" t="n"/>
      <c r="AH147" s="2356" t="n">
        <v>94654</v>
      </c>
      <c r="AI147" s="2356" t="n">
        <v>204010</v>
      </c>
      <c r="AJ147" s="2356" t="n">
        <v>298664</v>
      </c>
      <c r="AK147" s="2356" t="n">
        <v>350904</v>
      </c>
      <c r="AL147" s="2345" t="n"/>
      <c r="AM147" s="2345" t="inlineStr">
        <is>
          <t>Link Logistics actual; 2023 RE tax net $53k refund; 2024 normal rate</t>
        </is>
      </c>
    </row>
    <row r="148">
      <c r="A148" s="2345" t="inlineStr">
        <is>
          <t>P074</t>
        </is>
      </c>
      <c r="B148" s="2338" t="n">
        <v>210</v>
      </c>
      <c r="C148" s="2345" t="inlineStr">
        <is>
          <t>R0084248</t>
        </is>
      </c>
      <c r="D148" s="2345" t="inlineStr">
        <is>
          <t>14002 E 33rd Place</t>
        </is>
      </c>
      <c r="E148" s="2345" t="inlineStr">
        <is>
          <t>Aurora</t>
        </is>
      </c>
      <c r="F148" s="2345" t="inlineStr">
        <is>
          <t>CO</t>
        </is>
      </c>
      <c r="G148" s="2345" t="inlineStr">
        <is>
          <t>Industrial</t>
        </is>
      </c>
      <c r="H148" s="2345" t="inlineStr">
        <is>
          <t>Multi-Tenant Industrial NNN</t>
        </is>
      </c>
      <c r="I148" s="2345" t="n"/>
      <c r="J148" s="2345" t="n"/>
      <c r="K148" s="2345" t="n">
        <v>2023</v>
      </c>
      <c r="L148" s="2356" t="n">
        <v>345583</v>
      </c>
      <c r="M148" s="2345" t="n"/>
      <c r="N148" s="2356" t="n">
        <v>582999</v>
      </c>
      <c r="O148" s="2356" t="n">
        <v>6051</v>
      </c>
      <c r="P148" s="2356" t="n">
        <v>6115</v>
      </c>
      <c r="Q148" s="2345" t="n"/>
      <c r="R148" s="2345" t="n"/>
      <c r="S148" s="2356" t="n">
        <v>4932</v>
      </c>
      <c r="T148" s="2356" t="n">
        <v>1822</v>
      </c>
      <c r="U148" s="2345" t="n"/>
      <c r="V148" s="2345" t="n"/>
      <c r="W148" s="2345" t="n"/>
      <c r="X148" s="2356" t="n">
        <v>1452</v>
      </c>
      <c r="Y148" s="2356" t="n">
        <v>8206</v>
      </c>
      <c r="Z148" s="2345" t="n"/>
      <c r="AA148" s="2356" t="n">
        <v>6275</v>
      </c>
      <c r="AB148" s="2356" t="n">
        <v>13573</v>
      </c>
      <c r="AC148" s="2356" t="n">
        <v>6967</v>
      </c>
      <c r="AD148" s="2356" t="n">
        <v>11933</v>
      </c>
      <c r="AE148" s="2345" t="n"/>
      <c r="AF148" s="2356" t="n">
        <v>11933</v>
      </c>
      <c r="AG148" s="2345" t="n"/>
      <c r="AH148" s="2356" t="n">
        <v>71541</v>
      </c>
      <c r="AI148" s="2356" t="n">
        <v>162088</v>
      </c>
      <c r="AJ148" s="2356" t="n">
        <v>233629</v>
      </c>
      <c r="AK148" s="2356" t="n">
        <v>349370</v>
      </c>
      <c r="AL148" s="2345" t="n"/>
      <c r="AM148" s="2345" t="inlineStr">
        <is>
          <t>Link Logistics actual; 2023 RE tax net $53k refund; 2024 normal rate</t>
        </is>
      </c>
    </row>
    <row r="149">
      <c r="A149" s="2345" t="inlineStr">
        <is>
          <t>P075</t>
        </is>
      </c>
      <c r="B149" s="2338" t="n">
        <v>210</v>
      </c>
      <c r="C149" s="2345" t="inlineStr">
        <is>
          <t>R0084250</t>
        </is>
      </c>
      <c r="D149" s="2345" t="inlineStr">
        <is>
          <t>3250 Abilene Street</t>
        </is>
      </c>
      <c r="E149" s="2345" t="inlineStr">
        <is>
          <t>Aurora</t>
        </is>
      </c>
      <c r="F149" s="2345" t="inlineStr">
        <is>
          <t>CO</t>
        </is>
      </c>
      <c r="G149" s="2345" t="inlineStr">
        <is>
          <t>Industrial</t>
        </is>
      </c>
      <c r="H149" s="2345" t="inlineStr">
        <is>
          <t>Multi-Tenant Industrial NNN</t>
        </is>
      </c>
      <c r="I149" s="2345" t="n"/>
      <c r="J149" s="2345" t="n"/>
      <c r="K149" s="2345" t="n">
        <v>2024</v>
      </c>
      <c r="L149" s="2356" t="n">
        <v>406844</v>
      </c>
      <c r="M149" s="2345" t="n"/>
      <c r="N149" s="2356" t="n">
        <v>797212</v>
      </c>
      <c r="O149" s="2356" t="n">
        <v>45992</v>
      </c>
      <c r="P149" s="2356" t="n">
        <v>6921</v>
      </c>
      <c r="Q149" s="2345" t="n"/>
      <c r="R149" s="2345" t="n"/>
      <c r="S149" s="2356" t="n">
        <v>10380</v>
      </c>
      <c r="T149" s="2356" t="n">
        <v>3470</v>
      </c>
      <c r="U149" s="2356" t="n">
        <v>2000</v>
      </c>
      <c r="V149" s="2345" t="n"/>
      <c r="W149" s="2345" t="n"/>
      <c r="X149" s="2356" t="n">
        <v>1676</v>
      </c>
      <c r="Y149" s="2356" t="n">
        <v>17526</v>
      </c>
      <c r="Z149" s="2345" t="n"/>
      <c r="AA149" s="2356" t="n">
        <v>8417</v>
      </c>
      <c r="AB149" s="2356" t="n">
        <v>30101</v>
      </c>
      <c r="AC149" s="2356" t="n">
        <v>8211</v>
      </c>
      <c r="AD149" s="2356" t="n">
        <v>12042</v>
      </c>
      <c r="AE149" s="2356" t="n">
        <v>3218</v>
      </c>
      <c r="AF149" s="2356" t="n">
        <v>15260</v>
      </c>
      <c r="AG149" s="2345" t="n"/>
      <c r="AH149" s="2356" t="n">
        <v>180865</v>
      </c>
      <c r="AI149" s="2356" t="n">
        <v>410137</v>
      </c>
      <c r="AJ149" s="2356" t="n">
        <v>591002</v>
      </c>
      <c r="AK149" s="2356" t="n">
        <v>206210</v>
      </c>
      <c r="AL149" s="2345" t="n"/>
      <c r="AM149" s="2345" t="inlineStr">
        <is>
          <t>Link Logistics actual; 2024 tenant turnover – NOI depressed; base rent $787k→$407k; 2024 ins inflated by $25k deductible</t>
        </is>
      </c>
    </row>
    <row r="150">
      <c r="A150" s="2345" t="inlineStr">
        <is>
          <t>P075</t>
        </is>
      </c>
      <c r="B150" s="2338" t="n">
        <v>210</v>
      </c>
      <c r="C150" s="2345" t="inlineStr">
        <is>
          <t>R0084250</t>
        </is>
      </c>
      <c r="D150" s="2345" t="inlineStr">
        <is>
          <t>3250 Abilene Street</t>
        </is>
      </c>
      <c r="E150" s="2345" t="inlineStr">
        <is>
          <t>Aurora</t>
        </is>
      </c>
      <c r="F150" s="2345" t="inlineStr">
        <is>
          <t>CO</t>
        </is>
      </c>
      <c r="G150" s="2345" t="inlineStr">
        <is>
          <t>Industrial</t>
        </is>
      </c>
      <c r="H150" s="2345" t="inlineStr">
        <is>
          <t>Multi-Tenant Industrial NNN</t>
        </is>
      </c>
      <c r="I150" s="2345" t="n"/>
      <c r="J150" s="2345" t="n"/>
      <c r="K150" s="2345" t="n">
        <v>2023</v>
      </c>
      <c r="L150" s="2356" t="n">
        <v>787792</v>
      </c>
      <c r="M150" s="2345" t="n"/>
      <c r="N150" s="2356" t="n">
        <v>1333856</v>
      </c>
      <c r="O150" s="2356" t="n">
        <v>12351</v>
      </c>
      <c r="P150" s="2356" t="n">
        <v>13140</v>
      </c>
      <c r="Q150" s="2345" t="n"/>
      <c r="R150" s="2345" t="n"/>
      <c r="S150" s="2356" t="n">
        <v>10370</v>
      </c>
      <c r="T150" s="2356" t="n">
        <v>3061</v>
      </c>
      <c r="U150" s="2356" t="n">
        <v>0</v>
      </c>
      <c r="V150" s="2345" t="n"/>
      <c r="W150" s="2345" t="n"/>
      <c r="X150" s="2356" t="n">
        <v>1572</v>
      </c>
      <c r="Y150" s="2356" t="n">
        <v>15003</v>
      </c>
      <c r="Z150" s="2345" t="n"/>
      <c r="AA150" s="2356" t="n">
        <v>24879</v>
      </c>
      <c r="AB150" s="2356" t="n">
        <v>16871</v>
      </c>
      <c r="AC150" s="2356" t="n">
        <v>7678</v>
      </c>
      <c r="AD150" s="2356" t="n">
        <v>12785</v>
      </c>
      <c r="AE150" s="2345" t="n"/>
      <c r="AF150" s="2356" t="n">
        <v>12785</v>
      </c>
      <c r="AG150" s="2345" t="n"/>
      <c r="AH150" s="2356" t="n">
        <v>123031</v>
      </c>
      <c r="AI150" s="2356" t="n">
        <v>409295</v>
      </c>
      <c r="AJ150" s="2356" t="n">
        <v>532326</v>
      </c>
      <c r="AK150" s="2356" t="n">
        <v>801530</v>
      </c>
      <c r="AL150" s="2345" t="n"/>
      <c r="AM150" s="2345" t="inlineStr">
        <is>
          <t>Link Logistics actual; 2023 stable; 2024 ins inflated by $25k deductible</t>
        </is>
      </c>
    </row>
    <row r="151">
      <c r="A151" s="2345" t="inlineStr">
        <is>
          <t>P076</t>
        </is>
      </c>
      <c r="B151" s="2338" t="n">
        <v>210</v>
      </c>
      <c r="C151" s="2345" t="inlineStr">
        <is>
          <t>R0084253</t>
        </is>
      </c>
      <c r="D151" s="2345" t="inlineStr">
        <is>
          <t>14509 E 33rd Place</t>
        </is>
      </c>
      <c r="E151" s="2345" t="inlineStr">
        <is>
          <t>Aurora</t>
        </is>
      </c>
      <c r="F151" s="2345" t="inlineStr">
        <is>
          <t>CO</t>
        </is>
      </c>
      <c r="G151" s="2345" t="inlineStr">
        <is>
          <t>Industrial</t>
        </is>
      </c>
      <c r="H151" s="2345" t="inlineStr">
        <is>
          <t>Multi-Tenant Industrial NNN</t>
        </is>
      </c>
      <c r="I151" s="2345" t="n"/>
      <c r="J151" s="2345" t="n"/>
      <c r="K151" s="2345" t="n">
        <v>2024</v>
      </c>
      <c r="L151" s="2356" t="n">
        <v>987101</v>
      </c>
      <c r="M151" s="2345" t="n"/>
      <c r="N151" s="2356" t="n">
        <v>1613814</v>
      </c>
      <c r="O151" s="2356" t="n">
        <v>26027</v>
      </c>
      <c r="P151" s="2356" t="n">
        <v>17785</v>
      </c>
      <c r="Q151" s="2345" t="n"/>
      <c r="R151" s="2345" t="n"/>
      <c r="S151" s="2356" t="n">
        <v>9496</v>
      </c>
      <c r="T151" s="2356" t="n">
        <v>2104</v>
      </c>
      <c r="U151" s="2345" t="n"/>
      <c r="V151" s="2345" t="n"/>
      <c r="W151" s="2345" t="n"/>
      <c r="X151" s="2356" t="n">
        <v>1676</v>
      </c>
      <c r="Y151" s="2356" t="n">
        <v>13276</v>
      </c>
      <c r="Z151" s="2345" t="n"/>
      <c r="AA151" s="2356" t="n">
        <v>11885</v>
      </c>
      <c r="AB151" s="2356" t="n">
        <v>37419</v>
      </c>
      <c r="AC151" s="2356" t="n">
        <v>5705</v>
      </c>
      <c r="AD151" s="2356" t="n">
        <v>39182</v>
      </c>
      <c r="AE151" s="2356" t="n">
        <v>1573</v>
      </c>
      <c r="AF151" s="2356" t="n">
        <v>40755</v>
      </c>
      <c r="AG151" s="2345" t="n"/>
      <c r="AH151" s="2356" t="n">
        <v>178810</v>
      </c>
      <c r="AI151" s="2356" t="n">
        <v>442744</v>
      </c>
      <c r="AJ151" s="2356" t="n">
        <v>621554</v>
      </c>
      <c r="AK151" s="2356" t="n">
        <v>992260</v>
      </c>
      <c r="AL151" s="2345" t="n"/>
      <c r="AM151" s="2345" t="inlineStr">
        <is>
          <t>Link Logistics actual; 2023 security includes one-time $54k</t>
        </is>
      </c>
    </row>
    <row r="152">
      <c r="A152" s="2345" t="inlineStr">
        <is>
          <t>P076</t>
        </is>
      </c>
      <c r="B152" s="2338" t="n">
        <v>210</v>
      </c>
      <c r="C152" s="2345" t="inlineStr">
        <is>
          <t>R0084253</t>
        </is>
      </c>
      <c r="D152" s="2345" t="inlineStr">
        <is>
          <t>14509 E 33rd Place</t>
        </is>
      </c>
      <c r="E152" s="2345" t="inlineStr">
        <is>
          <t>Aurora</t>
        </is>
      </c>
      <c r="F152" s="2345" t="inlineStr">
        <is>
          <t>CO</t>
        </is>
      </c>
      <c r="G152" s="2345" t="inlineStr">
        <is>
          <t>Industrial</t>
        </is>
      </c>
      <c r="H152" s="2345" t="inlineStr">
        <is>
          <t>Multi-Tenant Industrial NNN</t>
        </is>
      </c>
      <c r="I152" s="2345" t="n"/>
      <c r="J152" s="2345" t="n"/>
      <c r="K152" s="2345" t="n">
        <v>2023</v>
      </c>
      <c r="L152" s="2356" t="n">
        <v>932587</v>
      </c>
      <c r="M152" s="2345" t="n"/>
      <c r="N152" s="2356" t="n">
        <v>1610926</v>
      </c>
      <c r="O152" s="2356" t="n">
        <v>12903</v>
      </c>
      <c r="P152" s="2356" t="n">
        <v>15271</v>
      </c>
      <c r="Q152" s="2345" t="n"/>
      <c r="R152" s="2345" t="n"/>
      <c r="S152" s="2356" t="n">
        <v>16438</v>
      </c>
      <c r="T152" s="2356" t="n">
        <v>17000</v>
      </c>
      <c r="U152" s="2345" t="n"/>
      <c r="V152" s="2345" t="n"/>
      <c r="W152" s="2345" t="n"/>
      <c r="X152" s="2356" t="n">
        <v>1572</v>
      </c>
      <c r="Y152" s="2356" t="n">
        <v>35010</v>
      </c>
      <c r="Z152" s="2345" t="n"/>
      <c r="AA152" s="2356" t="n">
        <v>11941</v>
      </c>
      <c r="AB152" s="2356" t="n">
        <v>21409</v>
      </c>
      <c r="AC152" s="2356" t="n">
        <v>54490</v>
      </c>
      <c r="AD152" s="2356" t="n">
        <v>34733</v>
      </c>
      <c r="AE152" s="2356" t="n">
        <v>1638</v>
      </c>
      <c r="AF152" s="2356" t="n">
        <v>36371</v>
      </c>
      <c r="AG152" s="2345" t="n"/>
      <c r="AH152" s="2356" t="n">
        <v>211012</v>
      </c>
      <c r="AI152" s="2356" t="n">
        <v>441491</v>
      </c>
      <c r="AJ152" s="2356" t="n">
        <v>652503</v>
      </c>
      <c r="AK152" s="2356" t="n">
        <v>958423</v>
      </c>
      <c r="AL152" s="2345" t="n"/>
      <c r="AM152" s="2345" t="inlineStr">
        <is>
          <t>Link Logistics actual; 2023 security includes one-time $54k</t>
        </is>
      </c>
    </row>
    <row r="153">
      <c r="A153" s="2345" t="inlineStr">
        <is>
          <t>P077</t>
        </is>
      </c>
      <c r="B153" s="2338" t="n">
        <v>210</v>
      </c>
      <c r="C153" s="2345" t="inlineStr">
        <is>
          <t>R0084253</t>
        </is>
      </c>
      <c r="D153" s="2345" t="inlineStr">
        <is>
          <t>14704 E 33rd Place</t>
        </is>
      </c>
      <c r="E153" s="2345" t="inlineStr">
        <is>
          <t>Aurora</t>
        </is>
      </c>
      <c r="F153" s="2345" t="inlineStr">
        <is>
          <t>CO</t>
        </is>
      </c>
      <c r="G153" s="2345" t="inlineStr">
        <is>
          <t>Industrial</t>
        </is>
      </c>
      <c r="H153" s="2345" t="inlineStr">
        <is>
          <t>Multi-Tenant Industrial NNN</t>
        </is>
      </c>
      <c r="I153" s="2345" t="n"/>
      <c r="J153" s="2345" t="n"/>
      <c r="K153" s="2345" t="n">
        <v>2024</v>
      </c>
      <c r="L153" s="2356" t="n">
        <v>977394</v>
      </c>
      <c r="M153" s="2345" t="n"/>
      <c r="N153" s="2356" t="n">
        <v>1537076</v>
      </c>
      <c r="O153" s="2356" t="n">
        <v>12170</v>
      </c>
      <c r="P153" s="2356" t="n">
        <v>17077</v>
      </c>
      <c r="Q153" s="2345" t="n"/>
      <c r="R153" s="2345" t="n"/>
      <c r="S153" s="2356" t="n">
        <v>10377</v>
      </c>
      <c r="T153" s="2356" t="n">
        <v>1760</v>
      </c>
      <c r="U153" s="2356" t="n">
        <v>265</v>
      </c>
      <c r="V153" s="2345" t="n"/>
      <c r="W153" s="2345" t="n"/>
      <c r="X153" s="2356" t="n">
        <v>1636</v>
      </c>
      <c r="Y153" s="2356" t="n">
        <v>13036</v>
      </c>
      <c r="Z153" s="2345" t="n"/>
      <c r="AA153" s="2356" t="n">
        <v>10043</v>
      </c>
      <c r="AB153" s="2356" t="n">
        <v>41626</v>
      </c>
      <c r="AC153" s="2356" t="n">
        <v>5705</v>
      </c>
      <c r="AD153" s="2356" t="n">
        <v>19336</v>
      </c>
      <c r="AE153" s="2356" t="n">
        <v>2462</v>
      </c>
      <c r="AF153" s="2356" t="n">
        <v>21798</v>
      </c>
      <c r="AG153" s="2345" t="n"/>
      <c r="AH153" s="2356" t="n">
        <v>228019</v>
      </c>
      <c r="AI153" s="2356" t="n">
        <v>364330</v>
      </c>
      <c r="AJ153" s="2356" t="n">
        <v>592349</v>
      </c>
      <c r="AK153" s="2356" t="n">
        <v>944727</v>
      </c>
      <c r="AL153" s="2345" t="n"/>
      <c r="AM153" s="2345" t="inlineStr">
        <is>
          <t>Link Logistics 2024; partial vacancy (elec/gas $124k); NOI understated excl vacancy costs</t>
        </is>
      </c>
    </row>
    <row r="154">
      <c r="A154" s="2345" t="inlineStr">
        <is>
          <t>P078</t>
        </is>
      </c>
      <c r="B154" s="2338" t="n">
        <v>210</v>
      </c>
      <c r="C154" s="2345" t="inlineStr">
        <is>
          <t>R0084253</t>
        </is>
      </c>
      <c r="D154" s="2345" t="inlineStr">
        <is>
          <t>14705 E 33rd Place</t>
        </is>
      </c>
      <c r="E154" s="2345" t="inlineStr">
        <is>
          <t>Aurora</t>
        </is>
      </c>
      <c r="F154" s="2345" t="inlineStr">
        <is>
          <t>CO</t>
        </is>
      </c>
      <c r="G154" s="2345" t="inlineStr">
        <is>
          <t>Industrial</t>
        </is>
      </c>
      <c r="H154" s="2345" t="inlineStr">
        <is>
          <t>Multi-Tenant Industrial NNN</t>
        </is>
      </c>
      <c r="I154" s="2345" t="n"/>
      <c r="J154" s="2345" t="n"/>
      <c r="K154" s="2345" t="n">
        <v>2024</v>
      </c>
      <c r="L154" s="2356" t="n">
        <v>436928</v>
      </c>
      <c r="M154" s="2345" t="n"/>
      <c r="N154" s="2356" t="n">
        <v>714461</v>
      </c>
      <c r="O154" s="2356" t="n">
        <v>6456</v>
      </c>
      <c r="P154" s="2356" t="n">
        <v>6962</v>
      </c>
      <c r="Q154" s="2345" t="n"/>
      <c r="R154" s="2345" t="n"/>
      <c r="S154" s="2356" t="n">
        <v>6889</v>
      </c>
      <c r="T154" s="2356" t="n">
        <v>1125</v>
      </c>
      <c r="U154" s="2356" t="n">
        <v>285</v>
      </c>
      <c r="V154" s="2345" t="n"/>
      <c r="W154" s="2345" t="n"/>
      <c r="X154" s="2356" t="n">
        <v>1546</v>
      </c>
      <c r="Y154" s="2356" t="n">
        <v>9845</v>
      </c>
      <c r="Z154" s="2345" t="n"/>
      <c r="AA154" s="2356" t="n">
        <v>6931</v>
      </c>
      <c r="AB154" s="2356" t="n">
        <v>27052</v>
      </c>
      <c r="AC154" s="2356" t="n">
        <v>5705</v>
      </c>
      <c r="AD154" s="2345" t="n"/>
      <c r="AE154" s="2356" t="n">
        <v>929</v>
      </c>
      <c r="AF154" s="2356" t="n">
        <v>929</v>
      </c>
      <c r="AG154" s="2345" t="n"/>
      <c r="AH154" s="2356" t="n">
        <v>77944</v>
      </c>
      <c r="AI154" s="2356" t="n">
        <v>188633</v>
      </c>
      <c r="AJ154" s="2356" t="n">
        <v>266577</v>
      </c>
      <c r="AK154" s="2356" t="n">
        <v>447884</v>
      </c>
      <c r="AL154" s="2345" t="n"/>
      <c r="AM154" s="2345" t="inlineStr">
        <is>
          <t>Link Logistics 2024; partial free rent ($38k); lease-up period</t>
        </is>
      </c>
    </row>
    <row r="155">
      <c r="A155" s="2345" t="inlineStr">
        <is>
          <t>P079</t>
        </is>
      </c>
      <c r="B155" s="2338" t="n">
        <v>584</v>
      </c>
      <c r="C155" s="2345" t="inlineStr">
        <is>
          <t>R0086214</t>
        </is>
      </c>
      <c r="D155" s="2345" t="inlineStr">
        <is>
          <t>Aurora Warehouse (Polar)</t>
        </is>
      </c>
      <c r="E155" s="2345" t="inlineStr">
        <is>
          <t>Aurora</t>
        </is>
      </c>
      <c r="F155" s="2345" t="inlineStr">
        <is>
          <t>CO</t>
        </is>
      </c>
      <c r="G155" s="2345" t="inlineStr">
        <is>
          <t>Industrial</t>
        </is>
      </c>
      <c r="H155" s="2345" t="inlineStr">
        <is>
          <t>Mega Warehouse NNN</t>
        </is>
      </c>
      <c r="I155" s="2345" t="n"/>
      <c r="J155" s="2345" t="n"/>
      <c r="K155" s="2345" t="n">
        <v>2024</v>
      </c>
      <c r="L155" s="2356" t="n">
        <v>3771986</v>
      </c>
      <c r="M155" s="2345" t="n"/>
      <c r="N155" s="2356" t="n">
        <v>7045455</v>
      </c>
      <c r="O155" s="2356" t="n">
        <v>83764</v>
      </c>
      <c r="P155" s="2356" t="n">
        <v>67999</v>
      </c>
      <c r="Q155" s="2345" t="n"/>
      <c r="R155" s="2345" t="n"/>
      <c r="S155" s="2345" t="n"/>
      <c r="T155" s="2345" t="n"/>
      <c r="U155" s="2345" t="n"/>
      <c r="V155" s="2345" t="n"/>
      <c r="W155" s="2345" t="n"/>
      <c r="X155" s="2356" t="n">
        <v>5829</v>
      </c>
      <c r="Y155" s="2356" t="n">
        <v>5829</v>
      </c>
      <c r="Z155" s="2345" t="n"/>
      <c r="AA155" s="2345" t="n"/>
      <c r="AB155" s="2345" t="n"/>
      <c r="AC155" s="2345" t="n"/>
      <c r="AD155" s="2345" t="n"/>
      <c r="AE155" s="2345" t="n"/>
      <c r="AF155" s="2345" t="n"/>
      <c r="AG155" s="2345" t="n"/>
      <c r="AH155" s="2356" t="n">
        <v>381011</v>
      </c>
      <c r="AI155" s="2356" t="n">
        <v>2407392</v>
      </c>
      <c r="AJ155" s="2356" t="n">
        <v>2788403</v>
      </c>
      <c r="AK155" s="2356" t="n">
        <v>4257052</v>
      </c>
      <c r="AL155" s="2345" t="n"/>
      <c r="AM155" s="2345" t="inlineStr">
        <is>
          <t>Link Logistics; very large – RE tax $2.2-2.4M; minimal CAM (near-absolute NNN); SF not confirmed</t>
        </is>
      </c>
    </row>
    <row r="156">
      <c r="A156" s="2345" t="inlineStr">
        <is>
          <t>P079</t>
        </is>
      </c>
      <c r="B156" s="2338" t="n">
        <v>584</v>
      </c>
      <c r="C156" s="2345" t="inlineStr">
        <is>
          <t>R0086214</t>
        </is>
      </c>
      <c r="D156" s="2345" t="inlineStr">
        <is>
          <t>Aurora Warehouse (Polar)</t>
        </is>
      </c>
      <c r="E156" s="2345" t="inlineStr">
        <is>
          <t>Aurora</t>
        </is>
      </c>
      <c r="F156" s="2345" t="inlineStr">
        <is>
          <t>CO</t>
        </is>
      </c>
      <c r="G156" s="2345" t="inlineStr">
        <is>
          <t>Industrial</t>
        </is>
      </c>
      <c r="H156" s="2345" t="inlineStr">
        <is>
          <t>Mega Warehouse NNN</t>
        </is>
      </c>
      <c r="I156" s="2345" t="n"/>
      <c r="J156" s="2345" t="n"/>
      <c r="K156" s="2345" t="n">
        <v>2023</v>
      </c>
      <c r="L156" s="2356" t="n">
        <v>3679986</v>
      </c>
      <c r="M156" s="2345" t="n"/>
      <c r="N156" s="2356" t="n">
        <v>6546351</v>
      </c>
      <c r="O156" s="2356" t="n">
        <v>60105</v>
      </c>
      <c r="P156" s="2356" t="n">
        <v>54144</v>
      </c>
      <c r="Q156" s="2345" t="n"/>
      <c r="R156" s="2345" t="n"/>
      <c r="S156" s="2345" t="n"/>
      <c r="T156" s="2345" t="n"/>
      <c r="U156" s="2345" t="n"/>
      <c r="V156" s="2345" t="n"/>
      <c r="W156" s="2345" t="n"/>
      <c r="X156" s="2356" t="n">
        <v>4184</v>
      </c>
      <c r="Y156" s="2356" t="n">
        <v>4184</v>
      </c>
      <c r="Z156" s="2345" t="n"/>
      <c r="AA156" s="2345" t="n"/>
      <c r="AB156" s="2345" t="n"/>
      <c r="AC156" s="2345" t="n"/>
      <c r="AD156" s="2345" t="n"/>
      <c r="AE156" s="2345" t="n"/>
      <c r="AF156" s="2345" t="n"/>
      <c r="AG156" s="2345" t="n"/>
      <c r="AH156" s="2356" t="n">
        <v>101213</v>
      </c>
      <c r="AI156" s="2356" t="n">
        <v>2175995</v>
      </c>
      <c r="AJ156" s="2356" t="n">
        <v>2277208</v>
      </c>
      <c r="AK156" s="2356" t="n">
        <v>4269143</v>
      </c>
      <c r="AL156" s="2345" t="n"/>
      <c r="AM156" s="2345" t="inlineStr">
        <is>
          <t>Link Logistics; very large – RE tax $2.2-2.4M; minimal CAM (near-absolute NNN); SF not confirmed</t>
        </is>
      </c>
    </row>
    <row r="157">
      <c r="A157" s="2345" t="inlineStr">
        <is>
          <t>P080</t>
        </is>
      </c>
      <c r="B157" s="2338" t="n">
        <v>407</v>
      </c>
      <c r="C157" s="2345" t="inlineStr">
        <is>
          <t>R0194277</t>
        </is>
      </c>
      <c r="D157" s="2345" t="inlineStr">
        <is>
          <t>8251 Quintero St</t>
        </is>
      </c>
      <c r="E157" s="2345" t="inlineStr">
        <is>
          <t>Commerce City</t>
        </is>
      </c>
      <c r="F157" s="2345" t="inlineStr">
        <is>
          <t>CO</t>
        </is>
      </c>
      <c r="G157" s="2345" t="inlineStr">
        <is>
          <t>Industrial</t>
        </is>
      </c>
      <c r="H157" s="2345" t="inlineStr">
        <is>
          <t>Industrial Warehouse NNN</t>
        </is>
      </c>
      <c r="I157" s="2345" t="n"/>
      <c r="J157" s="2345" t="n"/>
      <c r="K157" s="2345" t="n">
        <v>2024</v>
      </c>
      <c r="L157" s="2356" t="n">
        <v>2966529</v>
      </c>
      <c r="M157" s="2345" t="n"/>
      <c r="N157" s="2356" t="n">
        <v>7433451</v>
      </c>
      <c r="O157" s="2356" t="n">
        <v>32539</v>
      </c>
      <c r="P157" s="2356" t="n">
        <v>86633</v>
      </c>
      <c r="Q157" s="2345" t="n"/>
      <c r="R157" s="2345" t="n"/>
      <c r="S157" s="2356" t="n">
        <v>21784</v>
      </c>
      <c r="T157" s="2345" t="n"/>
      <c r="U157" s="2345" t="n"/>
      <c r="V157" s="2345" t="n"/>
      <c r="W157" s="2345" t="n"/>
      <c r="X157" s="2345" t="n"/>
      <c r="Y157" s="2356" t="n">
        <v>21784</v>
      </c>
      <c r="Z157" s="2345" t="n"/>
      <c r="AA157" s="2356" t="n">
        <v>30810</v>
      </c>
      <c r="AB157" s="2356" t="n">
        <v>188483</v>
      </c>
      <c r="AC157" s="2345" t="n"/>
      <c r="AD157" s="2356" t="n">
        <v>29080</v>
      </c>
      <c r="AE157" s="2345" t="n"/>
      <c r="AF157" s="2356" t="n">
        <v>29080</v>
      </c>
      <c r="AG157" s="2345" t="n"/>
      <c r="AH157" s="2356" t="n">
        <v>1433299</v>
      </c>
      <c r="AI157" s="2356" t="n">
        <v>3137254</v>
      </c>
      <c r="AJ157" s="2356" t="n">
        <v>4570553</v>
      </c>
      <c r="AK157" s="2356" t="n">
        <v>2862898</v>
      </c>
      <c r="AL157" s="2345" t="n"/>
      <c r="AM157" s="2345" t="inlineStr">
        <is>
          <t>Becknell Industrial; 2024 EGI/OPX inflated by $967k PY RE tax true-up; normalized NOI ~$2.86M</t>
        </is>
      </c>
    </row>
    <row r="158">
      <c r="A158" s="2345" t="inlineStr">
        <is>
          <t>P080</t>
        </is>
      </c>
      <c r="B158" s="2338" t="n">
        <v>407</v>
      </c>
      <c r="C158" s="2345" t="inlineStr">
        <is>
          <t>R0194277</t>
        </is>
      </c>
      <c r="D158" s="2345" t="inlineStr">
        <is>
          <t>8251 Quintero St</t>
        </is>
      </c>
      <c r="E158" s="2345" t="inlineStr">
        <is>
          <t>Commerce City</t>
        </is>
      </c>
      <c r="F158" s="2345" t="inlineStr">
        <is>
          <t>CO</t>
        </is>
      </c>
      <c r="G158" s="2345" t="inlineStr">
        <is>
          <t>Industrial</t>
        </is>
      </c>
      <c r="H158" s="2345" t="inlineStr">
        <is>
          <t>Industrial Warehouse NNN</t>
        </is>
      </c>
      <c r="I158" s="2345" t="n"/>
      <c r="J158" s="2345" t="n"/>
      <c r="K158" s="2345" t="n">
        <v>2023</v>
      </c>
      <c r="L158" s="2356" t="n">
        <v>2897673</v>
      </c>
      <c r="M158" s="2345" t="n"/>
      <c r="N158" s="2356" t="n">
        <v>5335437</v>
      </c>
      <c r="O158" s="2356" t="n">
        <v>29390</v>
      </c>
      <c r="P158" s="2356" t="n">
        <v>83488</v>
      </c>
      <c r="Q158" s="2345" t="n"/>
      <c r="R158" s="2345" t="n"/>
      <c r="S158" s="2356" t="n">
        <v>35137</v>
      </c>
      <c r="T158" s="2345" t="n"/>
      <c r="U158" s="2345" t="n"/>
      <c r="V158" s="2345" t="n"/>
      <c r="W158" s="2345" t="n"/>
      <c r="X158" s="2345" t="n"/>
      <c r="Y158" s="2356" t="n">
        <v>35137</v>
      </c>
      <c r="Z158" s="2345" t="n"/>
      <c r="AA158" s="2356" t="n">
        <v>33419</v>
      </c>
      <c r="AB158" s="2356" t="n">
        <v>151223</v>
      </c>
      <c r="AC158" s="2345" t="n"/>
      <c r="AD158" s="2356" t="n">
        <v>24034</v>
      </c>
      <c r="AE158" s="2345" t="n"/>
      <c r="AF158" s="2356" t="n">
        <v>24034</v>
      </c>
      <c r="AG158" s="2345" t="n"/>
      <c r="AH158" s="2356" t="n">
        <v>541522</v>
      </c>
      <c r="AI158" s="2356" t="n">
        <v>2045093</v>
      </c>
      <c r="AJ158" s="2356" t="n">
        <v>2586615</v>
      </c>
      <c r="AK158" s="2356" t="n">
        <v>2748822</v>
      </c>
      <c r="AL158" s="2345" t="n"/>
      <c r="AM158" s="2345" t="inlineStr">
        <is>
          <t>Becknell Industrial; actual accrual</t>
        </is>
      </c>
    </row>
    <row r="159">
      <c r="A159" s="2345" t="inlineStr">
        <is>
          <t>P081</t>
        </is>
      </c>
      <c r="B159" s="2338" t="n">
        <v>407</v>
      </c>
      <c r="C159" s="2345" t="inlineStr">
        <is>
          <t>R0198176</t>
        </is>
      </c>
      <c r="D159" s="2345" t="inlineStr">
        <is>
          <t>21800 E 19th Ave</t>
        </is>
      </c>
      <c r="E159" s="2345" t="inlineStr">
        <is>
          <t>Aurora</t>
        </is>
      </c>
      <c r="F159" s="2345" t="inlineStr">
        <is>
          <t>CO</t>
        </is>
      </c>
      <c r="G159" s="2345" t="inlineStr">
        <is>
          <t>Industrial</t>
        </is>
      </c>
      <c r="H159" s="2345" t="inlineStr">
        <is>
          <t>Industrial Warehouse NNN</t>
        </is>
      </c>
      <c r="I159" s="2345" t="n"/>
      <c r="J159" s="2345" t="n"/>
      <c r="K159" s="2345" t="n">
        <v>2024</v>
      </c>
      <c r="L159" s="2356" t="n">
        <v>1502445</v>
      </c>
      <c r="M159" s="2345" t="n"/>
      <c r="N159" s="2356" t="n">
        <v>1698847</v>
      </c>
      <c r="O159" s="2356" t="n">
        <v>18279</v>
      </c>
      <c r="P159" s="2356" t="n">
        <v>45073</v>
      </c>
      <c r="Q159" s="2345" t="n"/>
      <c r="R159" s="2345" t="n"/>
      <c r="S159" s="2356" t="n">
        <v>14583</v>
      </c>
      <c r="T159" s="2345" t="n"/>
      <c r="U159" s="2345" t="n"/>
      <c r="V159" s="2345" t="n"/>
      <c r="W159" s="2345" t="n"/>
      <c r="X159" s="2345" t="n"/>
      <c r="Y159" s="2356" t="n">
        <v>14583</v>
      </c>
      <c r="Z159" s="2345" t="n"/>
      <c r="AA159" s="2356" t="n">
        <v>30156</v>
      </c>
      <c r="AB159" s="2356" t="n">
        <v>117922</v>
      </c>
      <c r="AC159" s="2345" t="n"/>
      <c r="AD159" s="2345" t="n"/>
      <c r="AE159" s="2345" t="n"/>
      <c r="AF159" s="2345" t="n"/>
      <c r="AG159" s="2345" t="n"/>
      <c r="AH159" s="2356" t="n">
        <v>268829</v>
      </c>
      <c r="AI159" s="2356" t="n">
        <v>0</v>
      </c>
      <c r="AJ159" s="2356" t="n">
        <v>268829</v>
      </c>
      <c r="AK159" s="2356" t="n">
        <v>1430018</v>
      </c>
      <c r="AL159" s="2345" t="n"/>
      <c r="AM159" s="2345" t="inlineStr">
        <is>
          <t>Becknell; absolute NNN – tenant pays RE taxes directly; opex = CAM only</t>
        </is>
      </c>
    </row>
    <row r="160">
      <c r="A160" s="2345" t="inlineStr">
        <is>
          <t>P081</t>
        </is>
      </c>
      <c r="B160" s="2338" t="n">
        <v>407</v>
      </c>
      <c r="C160" s="2345" t="inlineStr">
        <is>
          <t>R0198176</t>
        </is>
      </c>
      <c r="D160" s="2345" t="inlineStr">
        <is>
          <t>21800 E 19th Ave</t>
        </is>
      </c>
      <c r="E160" s="2345" t="inlineStr">
        <is>
          <t>Aurora</t>
        </is>
      </c>
      <c r="F160" s="2345" t="inlineStr">
        <is>
          <t>CO</t>
        </is>
      </c>
      <c r="G160" s="2345" t="inlineStr">
        <is>
          <t>Industrial</t>
        </is>
      </c>
      <c r="H160" s="2345" t="inlineStr">
        <is>
          <t>Industrial Warehouse NNN</t>
        </is>
      </c>
      <c r="I160" s="2345" t="n"/>
      <c r="J160" s="2345" t="n"/>
      <c r="K160" s="2345" t="n">
        <v>2023</v>
      </c>
      <c r="L160" s="2356" t="n">
        <v>1458685</v>
      </c>
      <c r="M160" s="2345" t="n"/>
      <c r="N160" s="2356" t="n">
        <v>1647477</v>
      </c>
      <c r="O160" s="2356" t="n">
        <v>15865</v>
      </c>
      <c r="P160" s="2356" t="n">
        <v>43761</v>
      </c>
      <c r="Q160" s="2345" t="n"/>
      <c r="R160" s="2345" t="n"/>
      <c r="S160" s="2356" t="n">
        <v>12850</v>
      </c>
      <c r="T160" s="2345" t="n"/>
      <c r="U160" s="2345" t="n"/>
      <c r="V160" s="2345" t="n"/>
      <c r="W160" s="2345" t="n"/>
      <c r="X160" s="2345" t="n"/>
      <c r="Y160" s="2356" t="n">
        <v>12850</v>
      </c>
      <c r="Z160" s="2345" t="n"/>
      <c r="AA160" s="2356" t="n">
        <v>31555</v>
      </c>
      <c r="AB160" s="2356" t="n">
        <v>112261</v>
      </c>
      <c r="AC160" s="2345" t="n"/>
      <c r="AD160" s="2345" t="n"/>
      <c r="AE160" s="2345" t="n"/>
      <c r="AF160" s="2345" t="n"/>
      <c r="AG160" s="2345" t="n"/>
      <c r="AH160" s="2356" t="n">
        <v>238940</v>
      </c>
      <c r="AI160" s="2356" t="n">
        <v>0</v>
      </c>
      <c r="AJ160" s="2356" t="n">
        <v>238940</v>
      </c>
      <c r="AK160" s="2356" t="n">
        <v>1408537</v>
      </c>
      <c r="AL160" s="2345" t="n"/>
      <c r="AM160" s="2345" t="inlineStr">
        <is>
          <t>Becknell; absolute NNN – tenant pays RE taxes directly; opex = CAM only</t>
        </is>
      </c>
    </row>
    <row r="161">
      <c r="A161" s="2345" t="inlineStr">
        <is>
          <t>P082</t>
        </is>
      </c>
      <c r="B161" s="2338" t="n">
        <v>407</v>
      </c>
      <c r="C161" s="2345" t="inlineStr">
        <is>
          <t>R0201311</t>
        </is>
      </c>
      <c r="D161" s="2345" t="inlineStr">
        <is>
          <t>Ascent Commerce Center Bldg I</t>
        </is>
      </c>
      <c r="E161" s="2345" t="inlineStr">
        <is>
          <t>Aurora</t>
        </is>
      </c>
      <c r="F161" s="2345" t="inlineStr">
        <is>
          <t>CO</t>
        </is>
      </c>
      <c r="G161" s="2345" t="inlineStr">
        <is>
          <t>Industrial</t>
        </is>
      </c>
      <c r="H161" s="2345" t="inlineStr">
        <is>
          <t>Industrial Warehouse NNN</t>
        </is>
      </c>
      <c r="I161" s="2345" t="n"/>
      <c r="J161" s="2345" t="n"/>
      <c r="K161" s="2345" t="n">
        <v>2024</v>
      </c>
      <c r="L161" s="2356" t="n">
        <v>187536</v>
      </c>
      <c r="M161" s="2345" t="n"/>
      <c r="N161" s="2356" t="n">
        <v>335936</v>
      </c>
      <c r="O161" s="2356" t="n">
        <v>185</v>
      </c>
      <c r="P161" s="2356" t="n">
        <v>6539</v>
      </c>
      <c r="Q161" s="2345" t="n"/>
      <c r="R161" s="2345" t="n"/>
      <c r="S161" s="2356" t="n">
        <v>6694</v>
      </c>
      <c r="T161" s="2345" t="n"/>
      <c r="U161" s="2345" t="n"/>
      <c r="V161" s="2345" t="n"/>
      <c r="W161" s="2345" t="n"/>
      <c r="X161" s="2345" t="n"/>
      <c r="Y161" s="2356" t="n">
        <v>6694</v>
      </c>
      <c r="Z161" s="2345" t="n"/>
      <c r="AA161" s="2356" t="n">
        <v>1378</v>
      </c>
      <c r="AB161" s="2356" t="n">
        <v>13095</v>
      </c>
      <c r="AC161" s="2345" t="n"/>
      <c r="AD161" s="2356" t="n">
        <v>52</v>
      </c>
      <c r="AE161" s="2356" t="n">
        <v>6714</v>
      </c>
      <c r="AF161" s="2356" t="n">
        <v>6766</v>
      </c>
      <c r="AG161" s="2345" t="n"/>
      <c r="AH161" s="2356" t="n">
        <v>42252</v>
      </c>
      <c r="AI161" s="2356" t="n">
        <v>100794</v>
      </c>
      <c r="AJ161" s="2356" t="n">
        <v>143046</v>
      </c>
      <c r="AK161" s="2356" t="n">
        <v>181918</v>
      </c>
      <c r="AL161" s="2345" t="n"/>
      <c r="AM161" s="2345" t="inlineStr">
        <is>
          <t>Ambrose; Q4 2024 ONLY (Oct–Dec, 3 months); lease-up/stabilizing; DO NOT use for annual PSF</t>
        </is>
      </c>
    </row>
    <row r="162">
      <c r="A162" s="2345" t="inlineStr">
        <is>
          <t>P083</t>
        </is>
      </c>
      <c r="B162" s="2338" t="n">
        <v>407</v>
      </c>
      <c r="C162" s="2345" t="inlineStr">
        <is>
          <t>R0201311</t>
        </is>
      </c>
      <c r="D162" s="2345" t="inlineStr">
        <is>
          <t>Ascent Commerce Center Bldg II</t>
        </is>
      </c>
      <c r="E162" s="2345" t="inlineStr">
        <is>
          <t>Aurora</t>
        </is>
      </c>
      <c r="F162" s="2345" t="inlineStr">
        <is>
          <t>CO</t>
        </is>
      </c>
      <c r="G162" s="2345" t="inlineStr">
        <is>
          <t>Industrial</t>
        </is>
      </c>
      <c r="H162" s="2345" t="inlineStr">
        <is>
          <t>Industrial Warehouse NNN</t>
        </is>
      </c>
      <c r="I162" s="2345" t="n"/>
      <c r="J162" s="2345" t="n"/>
      <c r="K162" s="2345" t="n">
        <v>2024</v>
      </c>
      <c r="L162" s="2356" t="n">
        <v>143974</v>
      </c>
      <c r="M162" s="2345" t="n"/>
      <c r="N162" s="2356" t="n">
        <v>314952</v>
      </c>
      <c r="O162" s="2356" t="n">
        <v>375</v>
      </c>
      <c r="P162" s="2356" t="n">
        <v>6224</v>
      </c>
      <c r="Q162" s="2345" t="n"/>
      <c r="R162" s="2345" t="n"/>
      <c r="S162" s="2356" t="n">
        <v>13434</v>
      </c>
      <c r="T162" s="2345" t="n"/>
      <c r="U162" s="2345" t="n"/>
      <c r="V162" s="2345" t="n"/>
      <c r="W162" s="2345" t="n"/>
      <c r="X162" s="2345" t="n"/>
      <c r="Y162" s="2356" t="n">
        <v>13434</v>
      </c>
      <c r="Z162" s="2345" t="n"/>
      <c r="AA162" s="2356" t="n">
        <v>1877</v>
      </c>
      <c r="AB162" s="2356" t="n">
        <v>25288</v>
      </c>
      <c r="AC162" s="2345" t="n"/>
      <c r="AD162" s="2356" t="n">
        <v>104</v>
      </c>
      <c r="AE162" s="2356" t="n">
        <v>11552</v>
      </c>
      <c r="AF162" s="2356" t="n">
        <v>11656</v>
      </c>
      <c r="AG162" s="2345" t="n"/>
      <c r="AH162" s="2356" t="n">
        <v>70908</v>
      </c>
      <c r="AI162" s="2356" t="n">
        <v>203797</v>
      </c>
      <c r="AJ162" s="2356" t="n">
        <v>274705</v>
      </c>
      <c r="AK162" s="2356" t="n">
        <v>22624</v>
      </c>
      <c r="AL162" s="2345" t="n"/>
      <c r="AM162" s="2345" t="inlineStr">
        <is>
          <t>Ambrose; Q4 2024 ONLY (Oct–Dec, 3 months); lease-up/stabilizing; DO NOT use for annual PSF</t>
        </is>
      </c>
    </row>
    <row r="163">
      <c r="A163" s="2345" t="inlineStr">
        <is>
          <t>P084</t>
        </is>
      </c>
      <c r="B163" s="2338" t="n">
        <v>407</v>
      </c>
      <c r="C163" s="2345" t="inlineStr">
        <is>
          <t>R0201311</t>
        </is>
      </c>
      <c r="D163" s="2345" t="inlineStr">
        <is>
          <t>Ascent Commerce Center Bldg III</t>
        </is>
      </c>
      <c r="E163" s="2345" t="inlineStr">
        <is>
          <t>Aurora</t>
        </is>
      </c>
      <c r="F163" s="2345" t="inlineStr">
        <is>
          <t>CO</t>
        </is>
      </c>
      <c r="G163" s="2345" t="inlineStr">
        <is>
          <t>Industrial</t>
        </is>
      </c>
      <c r="H163" s="2345" t="inlineStr">
        <is>
          <t>Industrial Warehouse NNN</t>
        </is>
      </c>
      <c r="I163" s="2345" t="n"/>
      <c r="J163" s="2345" t="n"/>
      <c r="K163" s="2345" t="n">
        <v>2024</v>
      </c>
      <c r="L163" s="2356" t="n">
        <v>49334</v>
      </c>
      <c r="M163" s="2345" t="n"/>
      <c r="N163" s="2356" t="n">
        <v>85139</v>
      </c>
      <c r="O163" s="2356" t="n">
        <v>153</v>
      </c>
      <c r="P163" s="2356" t="n">
        <v>5032</v>
      </c>
      <c r="Q163" s="2345" t="n"/>
      <c r="R163" s="2345" t="n"/>
      <c r="S163" s="2356" t="n">
        <v>10772</v>
      </c>
      <c r="T163" s="2345" t="n"/>
      <c r="U163" s="2345" t="n"/>
      <c r="V163" s="2345" t="n"/>
      <c r="W163" s="2345" t="n"/>
      <c r="X163" s="2345" t="n"/>
      <c r="Y163" s="2356" t="n">
        <v>10772</v>
      </c>
      <c r="Z163" s="2345" t="n"/>
      <c r="AA163" s="2356" t="n">
        <v>949</v>
      </c>
      <c r="AB163" s="2356" t="n">
        <v>10894</v>
      </c>
      <c r="AC163" s="2345" t="n"/>
      <c r="AD163" s="2356" t="n">
        <v>207</v>
      </c>
      <c r="AE163" s="2356" t="n">
        <v>8484</v>
      </c>
      <c r="AF163" s="2356" t="n">
        <v>8691</v>
      </c>
      <c r="AG163" s="2345" t="n"/>
      <c r="AH163" s="2356" t="n">
        <v>57603</v>
      </c>
      <c r="AI163" s="2356" t="n">
        <v>83077</v>
      </c>
      <c r="AJ163" s="2356" t="n">
        <v>140680</v>
      </c>
      <c r="AK163" s="2356" t="n">
        <v>-69674</v>
      </c>
      <c r="AL163" s="2345" t="n"/>
      <c r="AM163" s="2345" t="inlineStr">
        <is>
          <t>Ambrose; Q4 2024 ONLY (Oct–Dec, 3 months); lease-up/stabilizing; DO NOT use for annual PSF</t>
        </is>
      </c>
    </row>
    <row r="164">
      <c r="A164" s="2345" t="inlineStr">
        <is>
          <t>P085</t>
        </is>
      </c>
      <c r="B164" s="2338" t="n">
        <v>210</v>
      </c>
      <c r="C164" s="2345" t="inlineStr">
        <is>
          <t>R0093018</t>
        </is>
      </c>
      <c r="D164" s="2345" t="inlineStr">
        <is>
          <t>3350 Peoria St</t>
        </is>
      </c>
      <c r="E164" s="2345" t="inlineStr">
        <is>
          <t>Denver</t>
        </is>
      </c>
      <c r="F164" s="2345" t="inlineStr">
        <is>
          <t>CO</t>
        </is>
      </c>
      <c r="G164" s="2345" t="inlineStr">
        <is>
          <t>Industrial</t>
        </is>
      </c>
      <c r="H164" s="2345" t="inlineStr">
        <is>
          <t>Office/Industrial Flex</t>
        </is>
      </c>
      <c r="I164" s="2345" t="n"/>
      <c r="J164" s="2345" t="n">
        <v>33057</v>
      </c>
      <c r="K164" s="2345" t="n">
        <v>2024</v>
      </c>
      <c r="L164" s="2345" t="n"/>
      <c r="M164" s="2345" t="n"/>
      <c r="N164" s="2356" t="n">
        <v>388335</v>
      </c>
      <c r="O164" s="2356" t="n">
        <v>27979</v>
      </c>
      <c r="P164" s="2356" t="n">
        <v>15595</v>
      </c>
      <c r="Q164" s="2345" t="n"/>
      <c r="R164" s="2345" t="n"/>
      <c r="S164" s="2345" t="n"/>
      <c r="T164" s="2345" t="n"/>
      <c r="U164" s="2356" t="n">
        <v>8229</v>
      </c>
      <c r="V164" s="2345" t="n"/>
      <c r="W164" s="2345" t="n"/>
      <c r="X164" s="2356" t="n">
        <v>91284</v>
      </c>
      <c r="Y164" s="2345" t="n"/>
      <c r="Z164" s="2345" t="n"/>
      <c r="AA164" s="2356" t="n">
        <v>4573</v>
      </c>
      <c r="AB164" s="2356" t="n">
        <v>2505</v>
      </c>
      <c r="AC164" s="2356" t="n">
        <v>52966</v>
      </c>
      <c r="AD164" s="2345" t="n"/>
      <c r="AE164" s="2345" t="n"/>
      <c r="AF164" s="2356" t="n">
        <v>53314</v>
      </c>
      <c r="AG164" s="2345" t="n"/>
      <c r="AH164" s="2356" t="n">
        <v>247389</v>
      </c>
      <c r="AI164" s="2345" t="n"/>
      <c r="AJ164" s="2356" t="n">
        <v>247389</v>
      </c>
      <c r="AK164" s="2356" t="n">
        <v>140946</v>
      </c>
      <c r="AL164" s="2345" t="n"/>
      <c r="AM164" s="2345" t="inlineStr">
        <is>
          <t>Owner P&amp;L 2024; RE taxes not broken out separately; contracts incl HVAC $8,229/alarm $9,124/landscape $4,573/snow $2,505</t>
        </is>
      </c>
    </row>
    <row r="165">
      <c r="A165" s="2345" t="inlineStr">
        <is>
          <t>P086</t>
        </is>
      </c>
      <c r="B165" s="2338" t="n">
        <v>406</v>
      </c>
      <c r="C165" s="2345" t="inlineStr">
        <is>
          <t>R0210684</t>
        </is>
      </c>
      <c r="D165" s="2345" t="inlineStr">
        <is>
          <t>14200 E Moncrieff Place</t>
        </is>
      </c>
      <c r="E165" s="2345" t="inlineStr">
        <is>
          <t>Aurora</t>
        </is>
      </c>
      <c r="F165" s="2345" t="inlineStr">
        <is>
          <t>CO</t>
        </is>
      </c>
      <c r="G165" s="2345" t="inlineStr">
        <is>
          <t>Industrial</t>
        </is>
      </c>
      <c r="H165" s="2345" t="inlineStr">
        <is>
          <t>Industrial Warehouse</t>
        </is>
      </c>
      <c r="I165" s="2345" t="n">
        <v>1980</v>
      </c>
      <c r="J165" s="2345" t="n">
        <v>233808</v>
      </c>
      <c r="K165" s="2345" t="n">
        <v>2023</v>
      </c>
      <c r="L165" s="2345" t="n"/>
      <c r="M165" s="2345" t="n"/>
      <c r="N165" s="2356" t="n">
        <v>2012921</v>
      </c>
      <c r="O165" s="2356" t="n">
        <v>12170</v>
      </c>
      <c r="P165" s="2356" t="n">
        <v>39036</v>
      </c>
      <c r="Q165" s="2345" t="n"/>
      <c r="R165" s="2345" t="n"/>
      <c r="S165" s="2345" t="n"/>
      <c r="T165" s="2345" t="n"/>
      <c r="U165" s="2345" t="n"/>
      <c r="V165" s="2345" t="n"/>
      <c r="W165" s="2345" t="n"/>
      <c r="X165" s="2356" t="n">
        <v>43894</v>
      </c>
      <c r="Y165" s="2356" t="n">
        <v>43894</v>
      </c>
      <c r="Z165" s="2345" t="n"/>
      <c r="AA165" s="2356" t="n">
        <v>12324</v>
      </c>
      <c r="AB165" s="2356" t="n">
        <v>32256</v>
      </c>
      <c r="AC165" s="2356" t="n">
        <v>50799</v>
      </c>
      <c r="AD165" s="2356" t="n">
        <v>28587</v>
      </c>
      <c r="AE165" s="2345" t="n"/>
      <c r="AF165" s="2356" t="n">
        <v>28587</v>
      </c>
      <c r="AG165" s="2345" t="n"/>
      <c r="AH165" s="2356" t="n">
        <v>184120</v>
      </c>
      <c r="AI165" s="2356" t="n">
        <v>608865</v>
      </c>
      <c r="AJ165" s="2356" t="n">
        <v>792985</v>
      </c>
      <c r="AK165" s="2356" t="n">
        <v>1219936</v>
      </c>
      <c r="AL165" s="2345" t="n"/>
      <c r="AM165" s="2345" t="inlineStr">
        <is>
          <t>Owner P&amp;L 2023; large industrial 233,808 SF; 1980 YOC; landscape $12,324/snow $32,256 in CAM</t>
        </is>
      </c>
    </row>
    <row r="166">
      <c r="A166" s="2345" t="inlineStr">
        <is>
          <t>P086</t>
        </is>
      </c>
      <c r="B166" s="2338" t="n">
        <v>406</v>
      </c>
      <c r="C166" s="2345" t="inlineStr">
        <is>
          <t>R0210684</t>
        </is>
      </c>
      <c r="D166" s="2345" t="inlineStr">
        <is>
          <t>14200 E Moncrieff Place</t>
        </is>
      </c>
      <c r="E166" s="2345" t="inlineStr">
        <is>
          <t>Aurora</t>
        </is>
      </c>
      <c r="F166" s="2345" t="inlineStr">
        <is>
          <t>CO</t>
        </is>
      </c>
      <c r="G166" s="2345" t="inlineStr">
        <is>
          <t>Industrial</t>
        </is>
      </c>
      <c r="H166" s="2345" t="inlineStr">
        <is>
          <t>Industrial Warehouse</t>
        </is>
      </c>
      <c r="I166" s="2345" t="n">
        <v>1980</v>
      </c>
      <c r="J166" s="2345" t="n">
        <v>233808</v>
      </c>
      <c r="K166" s="2345" t="n">
        <v>2024</v>
      </c>
      <c r="L166" s="2345" t="n"/>
      <c r="M166" s="2345" t="n"/>
      <c r="N166" s="2356" t="n">
        <v>2041933</v>
      </c>
      <c r="O166" s="2345" t="n"/>
      <c r="P166" s="2345" t="n"/>
      <c r="Q166" s="2345" t="n"/>
      <c r="R166" s="2345" t="n"/>
      <c r="S166" s="2345" t="n"/>
      <c r="T166" s="2345" t="n"/>
      <c r="U166" s="2345" t="n"/>
      <c r="V166" s="2345" t="n"/>
      <c r="W166" s="2345" t="n"/>
      <c r="X166" s="2345" t="n"/>
      <c r="Y166" s="2345" t="n"/>
      <c r="Z166" s="2345" t="n"/>
      <c r="AA166" s="2345" t="n"/>
      <c r="AB166" s="2345" t="n"/>
      <c r="AC166" s="2345" t="n"/>
      <c r="AD166" s="2345" t="n"/>
      <c r="AE166" s="2345" t="n"/>
      <c r="AF166" s="2345" t="n"/>
      <c r="AG166" s="2345" t="n"/>
      <c r="AH166" s="2345" t="n"/>
      <c r="AI166" s="2345" t="n"/>
      <c r="AJ166" s="2356" t="n">
        <v>835113</v>
      </c>
      <c r="AK166" s="2356" t="n">
        <v>1206819</v>
      </c>
      <c r="AL166" s="2345" t="n"/>
      <c r="AM166" s="2345" t="inlineStr">
        <is>
          <t>Owner P&amp;L 2024; total OPX only – line items not fully detailed for 2024</t>
        </is>
      </c>
    </row>
    <row r="167">
      <c r="A167" s="2345" t="inlineStr">
        <is>
          <t>P087</t>
        </is>
      </c>
      <c r="B167" s="2338" t="n">
        <v>407</v>
      </c>
      <c r="C167" s="2345" t="inlineStr">
        <is>
          <t>R0102985</t>
        </is>
      </c>
      <c r="D167" s="2345" t="inlineStr">
        <is>
          <t>5861 Tennyson St</t>
        </is>
      </c>
      <c r="E167" s="2345" t="inlineStr">
        <is>
          <t>Arvada</t>
        </is>
      </c>
      <c r="F167" s="2345" t="inlineStr">
        <is>
          <t>CO</t>
        </is>
      </c>
      <c r="G167" s="2345" t="inlineStr">
        <is>
          <t>Industrial</t>
        </is>
      </c>
      <c r="H167" s="2345" t="inlineStr">
        <is>
          <t>Industrial NNN</t>
        </is>
      </c>
      <c r="I167" s="2345" t="n">
        <v>2000</v>
      </c>
      <c r="J167" s="2345" t="n">
        <v>80640</v>
      </c>
      <c r="K167" s="2345" t="n">
        <v>2023</v>
      </c>
      <c r="L167" s="2356" t="n">
        <v>503016</v>
      </c>
      <c r="M167" s="2345" t="n"/>
      <c r="N167" s="2345" t="n"/>
      <c r="O167" s="2345" t="n"/>
      <c r="P167" s="2345" t="n"/>
      <c r="Q167" s="2345" t="n"/>
      <c r="R167" s="2345" t="n"/>
      <c r="S167" s="2345" t="n"/>
      <c r="T167" s="2345" t="n"/>
      <c r="U167" s="2345" t="n"/>
      <c r="V167" s="2345" t="n"/>
      <c r="W167" s="2345" t="n"/>
      <c r="X167" s="2345" t="n"/>
      <c r="Y167" s="2345" t="n"/>
      <c r="Z167" s="2345" t="n"/>
      <c r="AA167" s="2345" t="n"/>
      <c r="AB167" s="2345" t="n"/>
      <c r="AC167" s="2345" t="n"/>
      <c r="AD167" s="2345" t="n"/>
      <c r="AE167" s="2345" t="n"/>
      <c r="AF167" s="2345" t="n"/>
      <c r="AG167" s="2345" t="n"/>
      <c r="AH167" s="2356" t="n">
        <v>16587</v>
      </c>
      <c r="AI167" s="2345" t="n"/>
      <c r="AJ167" s="2356" t="n">
        <v>16587</v>
      </c>
      <c r="AK167" s="2356" t="n">
        <v>486429</v>
      </c>
      <c r="AL167" s="2345" t="n"/>
      <c r="AM167" s="2345" t="inlineStr">
        <is>
          <t>NNN; landlord expenses only; tenant pays RE taxes; 2023</t>
        </is>
      </c>
    </row>
    <row r="168">
      <c r="A168" s="2345" t="inlineStr">
        <is>
          <t>P087</t>
        </is>
      </c>
      <c r="B168" s="2338" t="n">
        <v>407</v>
      </c>
      <c r="C168" s="2345" t="inlineStr">
        <is>
          <t>R0102985</t>
        </is>
      </c>
      <c r="D168" s="2345" t="inlineStr">
        <is>
          <t>5861 Tennyson St</t>
        </is>
      </c>
      <c r="E168" s="2345" t="inlineStr">
        <is>
          <t>Arvada</t>
        </is>
      </c>
      <c r="F168" s="2345" t="inlineStr">
        <is>
          <t>CO</t>
        </is>
      </c>
      <c r="G168" s="2345" t="inlineStr">
        <is>
          <t>Industrial</t>
        </is>
      </c>
      <c r="H168" s="2345" t="inlineStr">
        <is>
          <t>Industrial NNN</t>
        </is>
      </c>
      <c r="I168" s="2345" t="n">
        <v>2000</v>
      </c>
      <c r="J168" s="2345" t="n">
        <v>80640</v>
      </c>
      <c r="K168" s="2345" t="n">
        <v>2024</v>
      </c>
      <c r="L168" s="2356" t="n">
        <v>513072</v>
      </c>
      <c r="M168" s="2345" t="n"/>
      <c r="N168" s="2345" t="n"/>
      <c r="O168" s="2345" t="n"/>
      <c r="P168" s="2345" t="n"/>
      <c r="Q168" s="2345" t="n"/>
      <c r="R168" s="2345" t="n"/>
      <c r="S168" s="2345" t="n"/>
      <c r="T168" s="2345" t="n"/>
      <c r="U168" s="2345" t="n"/>
      <c r="V168" s="2345" t="n"/>
      <c r="W168" s="2345" t="n"/>
      <c r="X168" s="2345" t="n"/>
      <c r="Y168" s="2345" t="n"/>
      <c r="Z168" s="2345" t="n"/>
      <c r="AA168" s="2345" t="n"/>
      <c r="AB168" s="2345" t="n"/>
      <c r="AC168" s="2345" t="n"/>
      <c r="AD168" s="2345" t="n"/>
      <c r="AE168" s="2345" t="n"/>
      <c r="AF168" s="2345" t="n"/>
      <c r="AG168" s="2345" t="n"/>
      <c r="AH168" s="2356" t="n">
        <v>15492</v>
      </c>
      <c r="AI168" s="2345" t="n"/>
      <c r="AJ168" s="2356" t="n">
        <v>15492</v>
      </c>
      <c r="AK168" s="2356" t="n">
        <v>497580</v>
      </c>
      <c r="AL168" s="2345" t="n"/>
      <c r="AM168" s="2345" t="inlineStr">
        <is>
          <t>NNN; landlord expenses only; tenant pays RE taxes; 2024</t>
        </is>
      </c>
    </row>
    <row r="169">
      <c r="A169" s="2345" t="inlineStr">
        <is>
          <t>P088</t>
        </is>
      </c>
      <c r="B169" s="2338" t="n">
        <v>210</v>
      </c>
      <c r="C169" s="2345" t="inlineStr">
        <is>
          <t>R0090973</t>
        </is>
      </c>
      <c r="D169" s="2345" t="inlineStr">
        <is>
          <t>3975 E 56th Ave</t>
        </is>
      </c>
      <c r="E169" s="2345" t="inlineStr">
        <is>
          <t>Commerce City</t>
        </is>
      </c>
      <c r="F169" s="2345" t="inlineStr">
        <is>
          <t>CO</t>
        </is>
      </c>
      <c r="G169" s="2345" t="inlineStr">
        <is>
          <t>Industrial</t>
        </is>
      </c>
      <c r="H169" s="2345" t="inlineStr">
        <is>
          <t>Multi-Tenant Industrial</t>
        </is>
      </c>
      <c r="I169" s="2345" t="n"/>
      <c r="J169" s="2345" t="n">
        <v>42299</v>
      </c>
      <c r="K169" s="2345" t="n">
        <v>2024</v>
      </c>
      <c r="L169" s="2345" t="n"/>
      <c r="M169" s="2345" t="n"/>
      <c r="N169" s="2356" t="n">
        <v>391669</v>
      </c>
      <c r="O169" s="2345" t="n"/>
      <c r="P169" s="2345" t="n"/>
      <c r="Q169" s="2345" t="n"/>
      <c r="R169" s="2345" t="n"/>
      <c r="S169" s="2345" t="n"/>
      <c r="T169" s="2345" t="n"/>
      <c r="U169" s="2345" t="n"/>
      <c r="V169" s="2345" t="n"/>
      <c r="W169" s="2345" t="n"/>
      <c r="X169" s="2345" t="n"/>
      <c r="Y169" s="2345" t="n"/>
      <c r="Z169" s="2345" t="n"/>
      <c r="AA169" s="2345" t="n"/>
      <c r="AB169" s="2345" t="n"/>
      <c r="AC169" s="2345" t="n"/>
      <c r="AD169" s="2345" t="n"/>
      <c r="AE169" s="2345" t="n"/>
      <c r="AF169" s="2345" t="n"/>
      <c r="AG169" s="2345" t="n"/>
      <c r="AH169" s="2356" t="n">
        <v>31334</v>
      </c>
      <c r="AI169" s="2345" t="n"/>
      <c r="AJ169" s="2356" t="n">
        <v>31334</v>
      </c>
      <c r="AK169" s="2356" t="n">
        <v>360335</v>
      </c>
      <c r="AL169" s="2345" t="n"/>
      <c r="AM169" s="2345" t="inlineStr">
        <is>
          <t>Sand Creek Business Park; owner P&amp;L 2024; limited line-item detail</t>
        </is>
      </c>
    </row>
    <row r="170">
      <c r="A170" s="2345" t="inlineStr">
        <is>
          <t>P089</t>
        </is>
      </c>
      <c r="B170" s="2338" t="n">
        <v>407</v>
      </c>
      <c r="C170" s="2345" t="inlineStr">
        <is>
          <t>R0180951</t>
        </is>
      </c>
      <c r="D170" s="2345" t="inlineStr">
        <is>
          <t>(Address TBD – R0180951)</t>
        </is>
      </c>
      <c r="E170" s="2345" t="inlineStr">
        <is>
          <t>Adams County</t>
        </is>
      </c>
      <c r="F170" s="2345" t="inlineStr">
        <is>
          <t>CO</t>
        </is>
      </c>
      <c r="G170" s="2345" t="inlineStr">
        <is>
          <t>Industrial</t>
        </is>
      </c>
      <c r="H170" s="2345" t="inlineStr">
        <is>
          <t>Industrial NNN</t>
        </is>
      </c>
      <c r="I170" s="2345" t="n">
        <v>2016</v>
      </c>
      <c r="J170" s="2345" t="n">
        <v>122106</v>
      </c>
      <c r="K170" s="2345" t="n">
        <v>2023</v>
      </c>
      <c r="L170" s="2345" t="n"/>
      <c r="M170" s="2345" t="n"/>
      <c r="N170" s="2345" t="n"/>
      <c r="O170" s="2356" t="n">
        <v>7435</v>
      </c>
      <c r="P170" s="2345" t="n"/>
      <c r="Q170" s="2345" t="n"/>
      <c r="R170" s="2345" t="n"/>
      <c r="S170" s="2345" t="n"/>
      <c r="T170" s="2345" t="n"/>
      <c r="U170" s="2345" t="n"/>
      <c r="V170" s="2345" t="n"/>
      <c r="W170" s="2345" t="n"/>
      <c r="X170" s="2345" t="n"/>
      <c r="Y170" s="2345" t="n"/>
      <c r="Z170" s="2345" t="n"/>
      <c r="AA170" s="2345" t="n"/>
      <c r="AB170" s="2345" t="n"/>
      <c r="AC170" s="2356" t="n">
        <v>50680</v>
      </c>
      <c r="AD170" s="2356" t="n">
        <v>58541</v>
      </c>
      <c r="AE170" s="2345" t="n"/>
      <c r="AF170" s="2356" t="n">
        <v>58541</v>
      </c>
      <c r="AG170" s="2345" t="n"/>
      <c r="AH170" s="2345" t="n"/>
      <c r="AI170" s="2356" t="n">
        <v>394774</v>
      </c>
      <c r="AJ170" s="2356" t="n">
        <v>511430</v>
      </c>
      <c r="AK170" s="2345" t="n"/>
      <c r="AL170" s="2345" t="n"/>
      <c r="AM170" s="2345" t="inlineStr">
        <is>
          <t>NNN; landlord expenses only from WH Expenses 2026; 2016 YOC; 2023: RE Tax $394,774/Ins $7,435/Utils $58,541/CAM $50,680</t>
        </is>
      </c>
    </row>
    <row r="171">
      <c r="A171" s="2345" t="inlineStr">
        <is>
          <t>P089</t>
        </is>
      </c>
      <c r="B171" s="2338" t="n">
        <v>407</v>
      </c>
      <c r="C171" s="2345" t="inlineStr">
        <is>
          <t>R0180951</t>
        </is>
      </c>
      <c r="D171" s="2345" t="inlineStr">
        <is>
          <t>(Address TBD – R0180951)</t>
        </is>
      </c>
      <c r="E171" s="2345" t="inlineStr">
        <is>
          <t>Adams County</t>
        </is>
      </c>
      <c r="F171" s="2345" t="inlineStr">
        <is>
          <t>CO</t>
        </is>
      </c>
      <c r="G171" s="2345" t="inlineStr">
        <is>
          <t>Industrial</t>
        </is>
      </c>
      <c r="H171" s="2345" t="inlineStr">
        <is>
          <t>Industrial NNN</t>
        </is>
      </c>
      <c r="I171" s="2345" t="n">
        <v>2016</v>
      </c>
      <c r="J171" s="2345" t="n">
        <v>122106</v>
      </c>
      <c r="K171" s="2345" t="n">
        <v>2024</v>
      </c>
      <c r="L171" s="2345" t="n"/>
      <c r="M171" s="2345" t="n"/>
      <c r="N171" s="2345" t="n"/>
      <c r="O171" s="2356" t="n">
        <v>7635</v>
      </c>
      <c r="P171" s="2345" t="n"/>
      <c r="Q171" s="2345" t="n"/>
      <c r="R171" s="2345" t="n"/>
      <c r="S171" s="2345" t="n"/>
      <c r="T171" s="2345" t="n"/>
      <c r="U171" s="2345" t="n"/>
      <c r="V171" s="2345" t="n"/>
      <c r="W171" s="2345" t="n"/>
      <c r="X171" s="2345" t="n"/>
      <c r="Y171" s="2345" t="n"/>
      <c r="Z171" s="2345" t="n"/>
      <c r="AA171" s="2345" t="n"/>
      <c r="AB171" s="2345" t="n"/>
      <c r="AC171" s="2356" t="n">
        <v>64465</v>
      </c>
      <c r="AD171" s="2356" t="n">
        <v>58541</v>
      </c>
      <c r="AE171" s="2345" t="n"/>
      <c r="AF171" s="2356" t="n">
        <v>58541</v>
      </c>
      <c r="AG171" s="2345" t="n"/>
      <c r="AH171" s="2345" t="n"/>
      <c r="AI171" s="2356" t="n">
        <v>532140</v>
      </c>
      <c r="AJ171" s="2356" t="n">
        <v>662781</v>
      </c>
      <c r="AK171" s="2345" t="n"/>
      <c r="AL171" s="2345" t="n"/>
      <c r="AM171" s="2345" t="inlineStr">
        <is>
          <t>NNN; landlord expenses only from WH Expenses 2026; 2024: RE Tax $532,140/Ins $7,635/Utils $58,541/CAM $64,465</t>
        </is>
      </c>
    </row>
    <row r="172">
      <c r="A172" s="2345" t="inlineStr">
        <is>
          <t>P090</t>
        </is>
      </c>
      <c r="B172" s="2338" t="n">
        <v>407</v>
      </c>
      <c r="C172" s="2345" t="inlineStr">
        <is>
          <t>R0110351</t>
        </is>
      </c>
      <c r="D172" s="2345" t="inlineStr">
        <is>
          <t>(Address TBD – R0110351)</t>
        </is>
      </c>
      <c r="E172" s="2345" t="inlineStr">
        <is>
          <t>Adams County</t>
        </is>
      </c>
      <c r="F172" s="2345" t="inlineStr">
        <is>
          <t>CO</t>
        </is>
      </c>
      <c r="G172" s="2345" t="inlineStr">
        <is>
          <t>Industrial</t>
        </is>
      </c>
      <c r="H172" s="2345" t="inlineStr">
        <is>
          <t>Industrial NNN</t>
        </is>
      </c>
      <c r="I172" s="2345" t="n">
        <v>2000</v>
      </c>
      <c r="J172" s="2345" t="n">
        <v>85200</v>
      </c>
      <c r="K172" s="2345" t="n">
        <v>2023</v>
      </c>
      <c r="L172" s="2345" t="n"/>
      <c r="M172" s="2345" t="n"/>
      <c r="N172" s="2345" t="n"/>
      <c r="O172" s="2356" t="n">
        <v>20559</v>
      </c>
      <c r="P172" s="2345" t="n"/>
      <c r="Q172" s="2345" t="n"/>
      <c r="R172" s="2345" t="n"/>
      <c r="S172" s="2345" t="n"/>
      <c r="T172" s="2345" t="n"/>
      <c r="U172" s="2345" t="n"/>
      <c r="V172" s="2345" t="n"/>
      <c r="W172" s="2345" t="n"/>
      <c r="X172" s="2345" t="n"/>
      <c r="Y172" s="2345" t="n"/>
      <c r="Z172" s="2345" t="n"/>
      <c r="AA172" s="2345" t="n"/>
      <c r="AB172" s="2345" t="n"/>
      <c r="AC172" s="2356" t="n">
        <v>18539</v>
      </c>
      <c r="AD172" s="2345" t="n"/>
      <c r="AE172" s="2345" t="n"/>
      <c r="AF172" s="2345" t="n"/>
      <c r="AG172" s="2345" t="n"/>
      <c r="AH172" s="2345" t="n"/>
      <c r="AI172" s="2356" t="n">
        <v>305241</v>
      </c>
      <c r="AJ172" s="2356" t="n">
        <v>344339</v>
      </c>
      <c r="AK172" s="2345" t="n"/>
      <c r="AL172" s="2345" t="n"/>
      <c r="AM172" s="2345" t="inlineStr">
        <is>
          <t>NNN; landlord expenses only from WH Expenses 2026; 2000 YOC; 2023: RE Tax $305,241/Ins $20,559/CAM $18,539</t>
        </is>
      </c>
    </row>
    <row r="173">
      <c r="A173" s="2345" t="inlineStr">
        <is>
          <t>P090</t>
        </is>
      </c>
      <c r="B173" s="2338" t="n">
        <v>407</v>
      </c>
      <c r="C173" s="2345" t="inlineStr">
        <is>
          <t>R0110351</t>
        </is>
      </c>
      <c r="D173" s="2345" t="inlineStr">
        <is>
          <t>(Address TBD – R0110351)</t>
        </is>
      </c>
      <c r="E173" s="2345" t="inlineStr">
        <is>
          <t>Adams County</t>
        </is>
      </c>
      <c r="F173" s="2345" t="inlineStr">
        <is>
          <t>CO</t>
        </is>
      </c>
      <c r="G173" s="2345" t="inlineStr">
        <is>
          <t>Industrial</t>
        </is>
      </c>
      <c r="H173" s="2345" t="inlineStr">
        <is>
          <t>Industrial NNN</t>
        </is>
      </c>
      <c r="I173" s="2345" t="n">
        <v>2000</v>
      </c>
      <c r="J173" s="2345" t="n">
        <v>85200</v>
      </c>
      <c r="K173" s="2345" t="n">
        <v>2024</v>
      </c>
      <c r="L173" s="2345" t="n"/>
      <c r="M173" s="2345" t="n"/>
      <c r="N173" s="2345" t="n"/>
      <c r="O173" s="2356" t="n">
        <v>25578</v>
      </c>
      <c r="P173" s="2345" t="n"/>
      <c r="Q173" s="2345" t="n"/>
      <c r="R173" s="2345" t="n"/>
      <c r="S173" s="2345" t="n"/>
      <c r="T173" s="2345" t="n"/>
      <c r="U173" s="2345" t="n"/>
      <c r="V173" s="2345" t="n"/>
      <c r="W173" s="2345" t="n"/>
      <c r="X173" s="2345" t="n"/>
      <c r="Y173" s="2345" t="n"/>
      <c r="Z173" s="2345" t="n"/>
      <c r="AA173" s="2345" t="n"/>
      <c r="AB173" s="2345" t="n"/>
      <c r="AC173" s="2356" t="n">
        <v>21372</v>
      </c>
      <c r="AD173" s="2345" t="n"/>
      <c r="AE173" s="2345" t="n"/>
      <c r="AF173" s="2345" t="n"/>
      <c r="AG173" s="2345" t="n"/>
      <c r="AH173" s="2345" t="n"/>
      <c r="AI173" s="2356" t="n">
        <v>331811</v>
      </c>
      <c r="AJ173" s="2356" t="n">
        <v>378761</v>
      </c>
      <c r="AK173" s="2345" t="n"/>
      <c r="AL173" s="2345" t="n"/>
      <c r="AM173" s="2345" t="inlineStr">
        <is>
          <t>NNN; landlord expenses only from WH Expenses 2026; 2024: RE Tax $331,811/Ins $25,578/CAM $21,372</t>
        </is>
      </c>
    </row>
    <row r="174">
      <c r="A174" s="2345" t="inlineStr">
        <is>
          <t>P091</t>
        </is>
      </c>
      <c r="B174" s="2338" t="n">
        <v>584</v>
      </c>
      <c r="C174" s="2345" t="inlineStr">
        <is>
          <t>R0198530</t>
        </is>
      </c>
      <c r="D174" s="2345" t="inlineStr">
        <is>
          <t>(Address TBD – R0198530)</t>
        </is>
      </c>
      <c r="E174" s="2345" t="inlineStr">
        <is>
          <t>Adams County</t>
        </is>
      </c>
      <c r="F174" s="2345" t="inlineStr">
        <is>
          <t>CO</t>
        </is>
      </c>
      <c r="G174" s="2345" t="inlineStr">
        <is>
          <t>Industrial</t>
        </is>
      </c>
      <c r="H174" s="2345" t="inlineStr">
        <is>
          <t>Industrial Mega-Warehouse NNN</t>
        </is>
      </c>
      <c r="I174" s="2345" t="n">
        <v>2019</v>
      </c>
      <c r="J174" s="2345" t="n">
        <v>555867</v>
      </c>
      <c r="K174" s="2345" t="n">
        <v>2024</v>
      </c>
      <c r="L174" s="2345" t="n"/>
      <c r="M174" s="2345" t="n"/>
      <c r="N174" s="2345" t="n"/>
      <c r="O174" s="2356" t="n">
        <v>86084</v>
      </c>
      <c r="P174" s="2356" t="n">
        <v>64029</v>
      </c>
      <c r="Q174" s="2345" t="n"/>
      <c r="R174" s="2345" t="n"/>
      <c r="S174" s="2345" t="n"/>
      <c r="T174" s="2345" t="n"/>
      <c r="U174" s="2345" t="n"/>
      <c r="V174" s="2345" t="n"/>
      <c r="W174" s="2345" t="n"/>
      <c r="X174" s="2345" t="n"/>
      <c r="Y174" s="2345" t="n"/>
      <c r="Z174" s="2345" t="n"/>
      <c r="AA174" s="2345" t="n"/>
      <c r="AB174" s="2345" t="n"/>
      <c r="AC174" s="2345" t="n"/>
      <c r="AD174" s="2345" t="n"/>
      <c r="AE174" s="2345" t="n"/>
      <c r="AF174" s="2345" t="n"/>
      <c r="AG174" s="2345" t="n"/>
      <c r="AH174" s="2345" t="n"/>
      <c r="AI174" s="2356" t="n">
        <v>2160792</v>
      </c>
      <c r="AJ174" s="2356" t="n">
        <v>2310905</v>
      </c>
      <c r="AK174" s="2345" t="n"/>
      <c r="AL174" s="2345" t="n"/>
      <c r="AM174" s="2345" t="inlineStr">
        <is>
          <t>Mega-warehouse 555,867 SF; NNN; landlord only: RE Tax $2,160,792/Ins $86,084/Mgmt $64,029; 2019 YOC</t>
        </is>
      </c>
    </row>
    <row r="175">
      <c r="A175" s="2345" t="inlineStr">
        <is>
          <t>P092</t>
        </is>
      </c>
      <c r="B175" s="2338" t="n">
        <v>447</v>
      </c>
      <c r="C175" s="2345" t="inlineStr">
        <is>
          <t>R0180834</t>
        </is>
      </c>
      <c r="D175" s="2345" t="inlineStr">
        <is>
          <t>(Address TBD – R0180834)</t>
        </is>
      </c>
      <c r="E175" s="2345" t="inlineStr">
        <is>
          <t>Adams County</t>
        </is>
      </c>
      <c r="F175" s="2345" t="inlineStr">
        <is>
          <t>CO</t>
        </is>
      </c>
      <c r="G175" s="2345" t="inlineStr">
        <is>
          <t>Industrial</t>
        </is>
      </c>
      <c r="H175" s="2345" t="inlineStr">
        <is>
          <t>Cold Storage/Mega-Warehouse NNN</t>
        </is>
      </c>
      <c r="I175" s="2345" t="n">
        <v>2012</v>
      </c>
      <c r="J175" s="2345" t="n">
        <v>550031</v>
      </c>
      <c r="K175" s="2345" t="n">
        <v>2024</v>
      </c>
      <c r="L175" s="2345" t="n"/>
      <c r="M175" s="2345" t="n"/>
      <c r="N175" s="2345" t="n"/>
      <c r="O175" s="2356" t="n">
        <v>77117</v>
      </c>
      <c r="P175" s="2356" t="n">
        <v>138053</v>
      </c>
      <c r="Q175" s="2345" t="n"/>
      <c r="R175" s="2345" t="n"/>
      <c r="S175" s="2345" t="n"/>
      <c r="T175" s="2345" t="n"/>
      <c r="U175" s="2345" t="n"/>
      <c r="V175" s="2345" t="n"/>
      <c r="W175" s="2345" t="n"/>
      <c r="X175" s="2345" t="n"/>
      <c r="Y175" s="2345" t="n"/>
      <c r="Z175" s="2345" t="n"/>
      <c r="AA175" s="2345" t="n"/>
      <c r="AB175" s="2345" t="n"/>
      <c r="AC175" s="2345" t="n"/>
      <c r="AD175" s="2345" t="n"/>
      <c r="AE175" s="2345" t="n"/>
      <c r="AF175" s="2345" t="n"/>
      <c r="AG175" s="2345" t="n"/>
      <c r="AH175" s="2345" t="n"/>
      <c r="AI175" s="2356" t="n">
        <v>2118655</v>
      </c>
      <c r="AJ175" s="2356" t="n">
        <v>2333825</v>
      </c>
      <c r="AK175" s="2345" t="n"/>
      <c r="AL175" s="2345" t="n"/>
      <c r="AM175" s="2345" t="inlineStr">
        <is>
          <t>Cold storage/mega-WH 550,031 SF; NNN; landlord only: RE Tax $2,118,655/Ins $77,117/Mgmt $138,053; 2012 YOC</t>
        </is>
      </c>
    </row>
    <row r="176">
      <c r="A176" s="2345" t="inlineStr">
        <is>
          <t>P093</t>
        </is>
      </c>
      <c r="B176" s="2338" t="n">
        <v>407</v>
      </c>
      <c r="C176" s="2345" t="inlineStr">
        <is>
          <t>R0114792</t>
        </is>
      </c>
      <c r="D176" s="2345" t="inlineStr">
        <is>
          <t>(Address TBD – R0114792)</t>
        </is>
      </c>
      <c r="E176" s="2345" t="inlineStr">
        <is>
          <t>Adams County</t>
        </is>
      </c>
      <c r="F176" s="2345" t="inlineStr">
        <is>
          <t>CO</t>
        </is>
      </c>
      <c r="G176" s="2345" t="inlineStr">
        <is>
          <t>Industrial</t>
        </is>
      </c>
      <c r="H176" s="2345" t="inlineStr">
        <is>
          <t>Industrial NNN</t>
        </is>
      </c>
      <c r="I176" s="2345" t="n">
        <v>1998</v>
      </c>
      <c r="J176" s="2345" t="n">
        <v>64501</v>
      </c>
      <c r="K176" s="2345" t="n">
        <v>2023</v>
      </c>
      <c r="L176" s="2345" t="n"/>
      <c r="M176" s="2345" t="n"/>
      <c r="N176" s="2345" t="n"/>
      <c r="O176" s="2356" t="n">
        <v>9589</v>
      </c>
      <c r="P176" s="2356" t="n">
        <v>23542</v>
      </c>
      <c r="Q176" s="2345" t="n"/>
      <c r="R176" s="2345" t="n"/>
      <c r="S176" s="2345" t="n"/>
      <c r="T176" s="2345" t="n"/>
      <c r="U176" s="2345" t="n"/>
      <c r="V176" s="2345" t="n"/>
      <c r="W176" s="2345" t="n"/>
      <c r="X176" s="2345" t="n"/>
      <c r="Y176" s="2345" t="n"/>
      <c r="Z176" s="2345" t="n"/>
      <c r="AA176" s="2345" t="n"/>
      <c r="AB176" s="2345" t="n"/>
      <c r="AC176" s="2345" t="n"/>
      <c r="AD176" s="2345" t="n"/>
      <c r="AE176" s="2345" t="n"/>
      <c r="AF176" s="2345" t="n"/>
      <c r="AG176" s="2345" t="n"/>
      <c r="AH176" s="2345" t="n"/>
      <c r="AI176" s="2356" t="n">
        <v>201248</v>
      </c>
      <c r="AJ176" s="2356" t="n">
        <v>234379</v>
      </c>
      <c r="AK176" s="2345" t="n"/>
      <c r="AL176" s="2345" t="n"/>
      <c r="AM176" s="2345" t="inlineStr">
        <is>
          <t>NNN; landlord only: RE Tax $201,248/Ins $9,589/Mgmt $23,542; 1998 YOC</t>
        </is>
      </c>
    </row>
    <row r="177">
      <c r="A177" s="2345" t="inlineStr">
        <is>
          <t>P093</t>
        </is>
      </c>
      <c r="B177" s="2338" t="n">
        <v>407</v>
      </c>
      <c r="C177" s="2345" t="inlineStr">
        <is>
          <t>R0114792</t>
        </is>
      </c>
      <c r="D177" s="2345" t="inlineStr">
        <is>
          <t>(Address TBD – R0114792)</t>
        </is>
      </c>
      <c r="E177" s="2345" t="inlineStr">
        <is>
          <t>Adams County</t>
        </is>
      </c>
      <c r="F177" s="2345" t="inlineStr">
        <is>
          <t>CO</t>
        </is>
      </c>
      <c r="G177" s="2345" t="inlineStr">
        <is>
          <t>Industrial</t>
        </is>
      </c>
      <c r="H177" s="2345" t="inlineStr">
        <is>
          <t>Industrial NNN</t>
        </is>
      </c>
      <c r="I177" s="2345" t="n">
        <v>1998</v>
      </c>
      <c r="J177" s="2345" t="n">
        <v>64501</v>
      </c>
      <c r="K177" s="2345" t="n">
        <v>2024</v>
      </c>
      <c r="L177" s="2345" t="n"/>
      <c r="M177" s="2345" t="n"/>
      <c r="N177" s="2345" t="n"/>
      <c r="O177" s="2356" t="n">
        <v>7536</v>
      </c>
      <c r="P177" s="2356" t="n">
        <v>23889</v>
      </c>
      <c r="Q177" s="2345" t="n"/>
      <c r="R177" s="2345" t="n"/>
      <c r="S177" s="2345" t="n"/>
      <c r="T177" s="2345" t="n"/>
      <c r="U177" s="2345" t="n"/>
      <c r="V177" s="2345" t="n"/>
      <c r="W177" s="2345" t="n"/>
      <c r="X177" s="2345" t="n"/>
      <c r="Y177" s="2345" t="n"/>
      <c r="Z177" s="2345" t="n"/>
      <c r="AA177" s="2345" t="n"/>
      <c r="AB177" s="2345" t="n"/>
      <c r="AC177" s="2345" t="n"/>
      <c r="AD177" s="2345" t="n"/>
      <c r="AE177" s="2345" t="n"/>
      <c r="AF177" s="2345" t="n"/>
      <c r="AG177" s="2345" t="n"/>
      <c r="AH177" s="2345" t="n"/>
      <c r="AI177" s="2356" t="n">
        <v>244551</v>
      </c>
      <c r="AJ177" s="2356" t="n">
        <v>275976</v>
      </c>
      <c r="AK177" s="2345" t="n"/>
      <c r="AL177" s="2345" t="n"/>
      <c r="AM177" s="2345" t="inlineStr">
        <is>
          <t>NNN; landlord only: RE Tax $244,551/Ins $7,536/Mgmt $23,889</t>
        </is>
      </c>
    </row>
    <row r="178">
      <c r="A178" s="2345" t="inlineStr">
        <is>
          <t>P027</t>
        </is>
      </c>
      <c r="B178" s="2338" t="n">
        <v>407</v>
      </c>
      <c r="C178" s="2345" t="inlineStr">
        <is>
          <t>R0132030</t>
        </is>
      </c>
      <c r="D178" s="2345" t="inlineStr">
        <is>
          <t>(R0132030)</t>
        </is>
      </c>
      <c r="E178" s="2345" t="inlineStr">
        <is>
          <t>Adams County</t>
        </is>
      </c>
      <c r="F178" s="2345" t="inlineStr">
        <is>
          <t>CO</t>
        </is>
      </c>
      <c r="G178" s="2345" t="inlineStr">
        <is>
          <t>Industrial</t>
        </is>
      </c>
      <c r="H178" s="2345" t="inlineStr">
        <is>
          <t>Industrial NNN</t>
        </is>
      </c>
      <c r="I178" s="2345" t="n"/>
      <c r="J178" s="2345" t="n">
        <v>200094</v>
      </c>
      <c r="K178" s="2345" t="n">
        <v>2024</v>
      </c>
      <c r="L178" s="2345" t="n"/>
      <c r="M178" s="2345" t="n"/>
      <c r="N178" s="2345" t="n"/>
      <c r="O178" s="2356" t="n">
        <v>26308</v>
      </c>
      <c r="P178" s="2356" t="n">
        <v>48882</v>
      </c>
      <c r="Q178" s="2345" t="n"/>
      <c r="R178" s="2345" t="n"/>
      <c r="S178" s="2345" t="n"/>
      <c r="T178" s="2345" t="n"/>
      <c r="U178" s="2345" t="n"/>
      <c r="V178" s="2345" t="n"/>
      <c r="W178" s="2345" t="n"/>
      <c r="X178" s="2345" t="n"/>
      <c r="Y178" s="2345" t="n"/>
      <c r="Z178" s="2345" t="n"/>
      <c r="AA178" s="2345" t="n"/>
      <c r="AB178" s="2345" t="n"/>
      <c r="AC178" s="2356" t="n">
        <v>80298</v>
      </c>
      <c r="AD178" s="2356" t="n">
        <v>64237</v>
      </c>
      <c r="AE178" s="2345" t="n"/>
      <c r="AF178" s="2356" t="n">
        <v>64237</v>
      </c>
      <c r="AG178" s="2345" t="n"/>
      <c r="AH178" s="2345" t="n"/>
      <c r="AI178" s="2356" t="n">
        <v>440287</v>
      </c>
      <c r="AJ178" s="2356" t="n">
        <v>659712</v>
      </c>
      <c r="AK178" s="2345" t="n"/>
      <c r="AL178" s="2345" t="n"/>
      <c r="AM178" s="2345" t="inlineStr">
        <is>
          <t>NNN; WH Expenses 2026 landlord data: RE Tax $440,287/Ins $26,308/Utils $64,237/Mgmt $48,882/CAM $80,298</t>
        </is>
      </c>
    </row>
    <row r="179">
      <c r="A179" s="2345" t="inlineStr">
        <is>
          <t>P028</t>
        </is>
      </c>
      <c r="B179" s="2338" t="n">
        <v>407</v>
      </c>
      <c r="C179" s="2345" t="inlineStr">
        <is>
          <t>R0084040</t>
        </is>
      </c>
      <c r="D179" s="2345" t="inlineStr">
        <is>
          <t>(R0084040)</t>
        </is>
      </c>
      <c r="E179" s="2345" t="inlineStr">
        <is>
          <t>Adams County</t>
        </is>
      </c>
      <c r="F179" s="2345" t="inlineStr">
        <is>
          <t>CO</t>
        </is>
      </c>
      <c r="G179" s="2345" t="inlineStr">
        <is>
          <t>Industrial</t>
        </is>
      </c>
      <c r="H179" s="2345" t="inlineStr">
        <is>
          <t>Industrial NNN</t>
        </is>
      </c>
      <c r="I179" s="2345" t="n"/>
      <c r="J179" s="2345" t="n"/>
      <c r="K179" s="2345" t="n">
        <v>2024</v>
      </c>
      <c r="L179" s="2345" t="n"/>
      <c r="M179" s="2345" t="n"/>
      <c r="N179" s="2345" t="n"/>
      <c r="O179" s="2356" t="n">
        <v>24025</v>
      </c>
      <c r="P179" s="2356" t="n">
        <v>65817</v>
      </c>
      <c r="Q179" s="2345" t="n"/>
      <c r="R179" s="2345" t="n"/>
      <c r="S179" s="2345" t="n"/>
      <c r="T179" s="2345" t="n"/>
      <c r="U179" s="2345" t="n"/>
      <c r="V179" s="2345" t="n"/>
      <c r="W179" s="2345" t="n"/>
      <c r="X179" s="2345" t="n"/>
      <c r="Y179" s="2345" t="n"/>
      <c r="Z179" s="2345" t="n"/>
      <c r="AA179" s="2345" t="n"/>
      <c r="AB179" s="2345" t="n"/>
      <c r="AC179" s="2356" t="n">
        <v>128840</v>
      </c>
      <c r="AD179" s="2356" t="n">
        <v>69481</v>
      </c>
      <c r="AE179" s="2345" t="n"/>
      <c r="AF179" s="2356" t="n">
        <v>69481</v>
      </c>
      <c r="AG179" s="2345" t="n"/>
      <c r="AH179" s="2345" t="n"/>
      <c r="AI179" s="2356" t="n">
        <v>598274</v>
      </c>
      <c r="AJ179" s="2356" t="n">
        <v>886437</v>
      </c>
      <c r="AK179" s="2345" t="n"/>
      <c r="AL179" s="2345" t="n"/>
      <c r="AM179" s="2345" t="inlineStr">
        <is>
          <t>NNN; WH Expenses 2026 landlord data: RE Tax $598,274/Ins $24,025/Utils $69,481/Mgmt $65,817/CAM $128,840</t>
        </is>
      </c>
    </row>
    <row r="180">
      <c r="A180" s="2345" t="inlineStr">
        <is>
          <t>P034</t>
        </is>
      </c>
      <c r="B180" s="2338" t="n">
        <v>407</v>
      </c>
      <c r="C180" s="2345" t="inlineStr">
        <is>
          <t>R0172865</t>
        </is>
      </c>
      <c r="D180" s="2345" t="inlineStr">
        <is>
          <t>(R0172865)</t>
        </is>
      </c>
      <c r="E180" s="2345" t="inlineStr">
        <is>
          <t>Adams County</t>
        </is>
      </c>
      <c r="F180" s="2345" t="inlineStr">
        <is>
          <t>CO</t>
        </is>
      </c>
      <c r="G180" s="2345" t="inlineStr">
        <is>
          <t>Industrial</t>
        </is>
      </c>
      <c r="H180" s="2345" t="inlineStr">
        <is>
          <t>Industrial NNN</t>
        </is>
      </c>
      <c r="I180" s="2345" t="n"/>
      <c r="J180" s="2345" t="n">
        <v>215461</v>
      </c>
      <c r="K180" s="2345" t="n">
        <v>2024</v>
      </c>
      <c r="L180" s="2345" t="n"/>
      <c r="M180" s="2345" t="n"/>
      <c r="N180" s="2345" t="n"/>
      <c r="O180" s="2356" t="n">
        <v>30832</v>
      </c>
      <c r="P180" s="2356" t="n">
        <v>71321</v>
      </c>
      <c r="Q180" s="2345" t="n"/>
      <c r="R180" s="2345" t="n"/>
      <c r="S180" s="2345" t="n"/>
      <c r="T180" s="2345" t="n"/>
      <c r="U180" s="2345" t="n"/>
      <c r="V180" s="2345" t="n"/>
      <c r="W180" s="2345" t="n"/>
      <c r="X180" s="2345" t="n"/>
      <c r="Y180" s="2345" t="n"/>
      <c r="Z180" s="2345" t="n"/>
      <c r="AA180" s="2345" t="n"/>
      <c r="AB180" s="2345" t="n"/>
      <c r="AC180" s="2356" t="n">
        <v>127177</v>
      </c>
      <c r="AD180" s="2356" t="n">
        <v>101924</v>
      </c>
      <c r="AE180" s="2345" t="n"/>
      <c r="AF180" s="2356" t="n">
        <v>101924</v>
      </c>
      <c r="AG180" s="2345" t="n"/>
      <c r="AH180" s="2345" t="n"/>
      <c r="AI180" s="2356" t="n">
        <v>564450</v>
      </c>
      <c r="AJ180" s="2356" t="n">
        <v>895704</v>
      </c>
      <c r="AK180" s="2345" t="n"/>
      <c r="AL180" s="2345" t="n"/>
      <c r="AM180" s="2345" t="inlineStr">
        <is>
          <t>NNN; WH Expenses 2026 landlord data: RE Tax $564,450/Ins $30,832/Utils $101,924/Mgmt $71,321/CAM $127,177</t>
        </is>
      </c>
    </row>
    <row r="181">
      <c r="A181" s="2345" t="inlineStr">
        <is>
          <t>P036</t>
        </is>
      </c>
      <c r="B181" s="2338" t="n">
        <v>407</v>
      </c>
      <c r="C181" s="2345" t="inlineStr">
        <is>
          <t>R0172868</t>
        </is>
      </c>
      <c r="D181" s="2345" t="inlineStr">
        <is>
          <t>(R0172868)</t>
        </is>
      </c>
      <c r="E181" s="2345" t="inlineStr">
        <is>
          <t>Adams County</t>
        </is>
      </c>
      <c r="F181" s="2345" t="inlineStr">
        <is>
          <t>CO</t>
        </is>
      </c>
      <c r="G181" s="2345" t="inlineStr">
        <is>
          <t>Industrial</t>
        </is>
      </c>
      <c r="H181" s="2345" t="inlineStr">
        <is>
          <t>Industrial NNN</t>
        </is>
      </c>
      <c r="I181" s="2345" t="n"/>
      <c r="J181" s="2345" t="n">
        <v>200000</v>
      </c>
      <c r="K181" s="2345" t="n">
        <v>2024</v>
      </c>
      <c r="L181" s="2345" t="n"/>
      <c r="M181" s="2345" t="n"/>
      <c r="N181" s="2345" t="n"/>
      <c r="O181" s="2356" t="n">
        <v>30594</v>
      </c>
      <c r="P181" s="2356" t="n">
        <v>36085</v>
      </c>
      <c r="Q181" s="2345" t="n"/>
      <c r="R181" s="2345" t="n"/>
      <c r="S181" s="2345" t="n"/>
      <c r="T181" s="2345" t="n"/>
      <c r="U181" s="2345" t="n"/>
      <c r="V181" s="2345" t="n"/>
      <c r="W181" s="2345" t="n"/>
      <c r="X181" s="2345" t="n"/>
      <c r="Y181" s="2345" t="n"/>
      <c r="Z181" s="2345" t="n"/>
      <c r="AA181" s="2345" t="n"/>
      <c r="AB181" s="2345" t="n"/>
      <c r="AC181" s="2356" t="n">
        <v>95792</v>
      </c>
      <c r="AD181" s="2345" t="n"/>
      <c r="AE181" s="2345" t="n"/>
      <c r="AF181" s="2345" t="n"/>
      <c r="AG181" s="2345" t="n"/>
      <c r="AH181" s="2345" t="n"/>
      <c r="AI181" s="2356" t="n">
        <v>608209</v>
      </c>
      <c r="AJ181" s="2356" t="n">
        <v>770680</v>
      </c>
      <c r="AK181" s="2345" t="n"/>
      <c r="AL181" s="2345" t="n"/>
      <c r="AM181" s="2345" t="inlineStr">
        <is>
          <t>NNN; WH Expenses 2026 landlord data: RE Tax $608,209/Ins $30,594/Mgmt $36,085/CAM $95,792</t>
        </is>
      </c>
    </row>
    <row r="182">
      <c r="A182" s="2345" t="inlineStr">
        <is>
          <t>P061</t>
        </is>
      </c>
      <c r="B182" s="2338" t="n">
        <v>584</v>
      </c>
      <c r="C182" s="2345" t="inlineStr">
        <is>
          <t>R0083935</t>
        </is>
      </c>
      <c r="D182" s="2345" t="inlineStr">
        <is>
          <t>(R0083935)</t>
        </is>
      </c>
      <c r="E182" s="2345" t="inlineStr">
        <is>
          <t>Adams County</t>
        </is>
      </c>
      <c r="F182" s="2345" t="inlineStr">
        <is>
          <t>CO</t>
        </is>
      </c>
      <c r="G182" s="2345" t="inlineStr">
        <is>
          <t>Industrial</t>
        </is>
      </c>
      <c r="H182" s="2345" t="inlineStr">
        <is>
          <t>Industrial NNN</t>
        </is>
      </c>
      <c r="I182" s="2345" t="n"/>
      <c r="J182" s="2345" t="n">
        <v>277690</v>
      </c>
      <c r="K182" s="2345" t="n">
        <v>2024</v>
      </c>
      <c r="L182" s="2345" t="n"/>
      <c r="M182" s="2345" t="n"/>
      <c r="N182" s="2345" t="n"/>
      <c r="O182" s="2356" t="n">
        <v>80849</v>
      </c>
      <c r="P182" s="2356" t="n">
        <v>172937</v>
      </c>
      <c r="Q182" s="2345" t="n"/>
      <c r="R182" s="2345" t="n"/>
      <c r="S182" s="2345" t="n"/>
      <c r="T182" s="2345" t="n"/>
      <c r="U182" s="2345" t="n"/>
      <c r="V182" s="2345" t="n"/>
      <c r="W182" s="2345" t="n"/>
      <c r="X182" s="2345" t="n"/>
      <c r="Y182" s="2345" t="n"/>
      <c r="Z182" s="2345" t="n"/>
      <c r="AA182" s="2345" t="n"/>
      <c r="AB182" s="2345" t="n"/>
      <c r="AC182" s="2356" t="n">
        <v>282651</v>
      </c>
      <c r="AD182" s="2356" t="n">
        <v>195945</v>
      </c>
      <c r="AE182" s="2345" t="n"/>
      <c r="AF182" s="2356" t="n">
        <v>195945</v>
      </c>
      <c r="AG182" s="2345" t="n"/>
      <c r="AH182" s="2345" t="n"/>
      <c r="AI182" s="2356" t="n">
        <v>788195</v>
      </c>
      <c r="AJ182" s="2356" t="n">
        <v>1520577</v>
      </c>
      <c r="AK182" s="2345" t="n"/>
      <c r="AL182" s="2345" t="n"/>
      <c r="AM182" s="2345" t="inlineStr">
        <is>
          <t>NNN; WH Expenses 2026 landlord data 2024; ranges used (midpoints): RE Tax ~$788k/Ins ~$81k/Utils $195,945/Mgmt $172,937/CAM ~$283k</t>
        </is>
      </c>
    </row>
    <row r="183">
      <c r="A183" s="2345" t="inlineStr">
        <is>
          <t>P069</t>
        </is>
      </c>
      <c r="B183" s="2338" t="n">
        <v>210</v>
      </c>
      <c r="C183" s="2345" t="inlineStr">
        <is>
          <t>R0098223</t>
        </is>
      </c>
      <c r="D183" s="2345" t="inlineStr">
        <is>
          <t>(R0098223)</t>
        </is>
      </c>
      <c r="E183" s="2345" t="inlineStr">
        <is>
          <t>Adams County</t>
        </is>
      </c>
      <c r="F183" s="2345" t="inlineStr">
        <is>
          <t>CO</t>
        </is>
      </c>
      <c r="G183" s="2345" t="inlineStr">
        <is>
          <t>Industrial</t>
        </is>
      </c>
      <c r="H183" s="2345" t="inlineStr">
        <is>
          <t>Industrial</t>
        </is>
      </c>
      <c r="I183" s="2345" t="n"/>
      <c r="J183" s="2345" t="n"/>
      <c r="K183" s="2345" t="n">
        <v>2023</v>
      </c>
      <c r="L183" s="2345" t="n"/>
      <c r="M183" s="2345" t="n"/>
      <c r="N183" s="2345" t="n"/>
      <c r="O183" s="2345" t="n"/>
      <c r="P183" s="2345" t="n"/>
      <c r="Q183" s="2345" t="n"/>
      <c r="R183" s="2345" t="n"/>
      <c r="S183" s="2345" t="n"/>
      <c r="T183" s="2345" t="n"/>
      <c r="U183" s="2345" t="n"/>
      <c r="V183" s="2345" t="n"/>
      <c r="W183" s="2345" t="n"/>
      <c r="X183" s="2345" t="n"/>
      <c r="Y183" s="2345" t="n"/>
      <c r="Z183" s="2345" t="n"/>
      <c r="AA183" s="2345" t="n"/>
      <c r="AB183" s="2345" t="n"/>
      <c r="AC183" s="2345" t="n"/>
      <c r="AD183" s="2345" t="n"/>
      <c r="AE183" s="2345" t="n"/>
      <c r="AF183" s="2345" t="n"/>
      <c r="AG183" s="2345" t="n"/>
      <c r="AH183" s="2345" t="n"/>
      <c r="AI183" s="2345" t="n"/>
      <c r="AJ183" s="2345" t="n"/>
      <c r="AK183" s="2356" t="n">
        <v>951113</v>
      </c>
      <c r="AL183" s="2345" t="n"/>
      <c r="AM183" s="2345" t="inlineStr">
        <is>
          <t>CORRECTED: previous entry had wrong NOI ($76,629). Correct 2023 NOI = $951,113 per WH Expenses 2026</t>
        </is>
      </c>
    </row>
    <row r="184">
      <c r="A184" s="2345" t="inlineStr">
        <is>
          <t>P069</t>
        </is>
      </c>
      <c r="B184" s="2338" t="n">
        <v>210</v>
      </c>
      <c r="C184" s="2345" t="inlineStr">
        <is>
          <t>R0098223</t>
        </is>
      </c>
      <c r="D184" s="2345" t="inlineStr">
        <is>
          <t>(R0098223)</t>
        </is>
      </c>
      <c r="E184" s="2345" t="inlineStr">
        <is>
          <t>Adams County</t>
        </is>
      </c>
      <c r="F184" s="2345" t="inlineStr">
        <is>
          <t>CO</t>
        </is>
      </c>
      <c r="G184" s="2345" t="inlineStr">
        <is>
          <t>Industrial</t>
        </is>
      </c>
      <c r="H184" s="2345" t="inlineStr">
        <is>
          <t>Industrial</t>
        </is>
      </c>
      <c r="I184" s="2345" t="n"/>
      <c r="J184" s="2345" t="n"/>
      <c r="K184" s="2345" t="n">
        <v>2024</v>
      </c>
      <c r="L184" s="2345" t="n"/>
      <c r="M184" s="2345" t="n"/>
      <c r="N184" s="2345" t="n"/>
      <c r="O184" s="2345" t="n"/>
      <c r="P184" s="2345" t="n"/>
      <c r="Q184" s="2345" t="n"/>
      <c r="R184" s="2345" t="n"/>
      <c r="S184" s="2345" t="n"/>
      <c r="T184" s="2345" t="n"/>
      <c r="U184" s="2345" t="n"/>
      <c r="V184" s="2345" t="n"/>
      <c r="W184" s="2345" t="n"/>
      <c r="X184" s="2345" t="n"/>
      <c r="Y184" s="2345" t="n"/>
      <c r="Z184" s="2345" t="n"/>
      <c r="AA184" s="2345" t="n"/>
      <c r="AB184" s="2345" t="n"/>
      <c r="AC184" s="2345" t="n"/>
      <c r="AD184" s="2345" t="n"/>
      <c r="AE184" s="2345" t="n"/>
      <c r="AF184" s="2345" t="n"/>
      <c r="AG184" s="2345" t="n"/>
      <c r="AH184" s="2345" t="n"/>
      <c r="AI184" s="2345" t="n"/>
      <c r="AJ184" s="2345" t="n"/>
      <c r="AK184" s="2356" t="n">
        <v>1005999</v>
      </c>
      <c r="AL184" s="2345" t="n"/>
      <c r="AM184" s="2345" t="inlineStr">
        <is>
          <t>New 2024 row from WH Expenses 2026; NOI $1,005,999</t>
        </is>
      </c>
    </row>
    <row r="185">
      <c r="A185" s="2345" t="inlineStr">
        <is>
          <t>P094</t>
        </is>
      </c>
      <c r="B185" s="2338" t="n">
        <v>407</v>
      </c>
      <c r="C185" s="2345" t="inlineStr">
        <is>
          <t>R0104122</t>
        </is>
      </c>
      <c r="D185" s="2345" t="inlineStr">
        <is>
          <t>550 W 53rd Pl</t>
        </is>
      </c>
      <c r="E185" s="2345" t="inlineStr">
        <is>
          <t>Denver</t>
        </is>
      </c>
      <c r="F185" s="2345" t="inlineStr">
        <is>
          <t>CO</t>
        </is>
      </c>
      <c r="G185" s="2345" t="inlineStr">
        <is>
          <t>Industrial</t>
        </is>
      </c>
      <c r="H185" s="2345" t="inlineStr">
        <is>
          <t>Distribution Warehouse</t>
        </is>
      </c>
      <c r="I185" s="2345" t="n">
        <v>1971</v>
      </c>
      <c r="J185" s="2345" t="n">
        <v>127900</v>
      </c>
      <c r="K185" s="2345" t="n">
        <v>2024</v>
      </c>
      <c r="L185" s="2356" t="n">
        <v>831350</v>
      </c>
      <c r="M185" s="2345" t="n"/>
      <c r="N185" s="2356" t="n">
        <v>781469</v>
      </c>
      <c r="O185" s="2345" t="n"/>
      <c r="P185" s="2345" t="n"/>
      <c r="Q185" s="2345" t="n"/>
      <c r="R185" s="2345" t="n"/>
      <c r="S185" s="2345" t="n"/>
      <c r="T185" s="2345" t="n"/>
      <c r="U185" s="2345" t="n"/>
      <c r="V185" s="2345" t="n"/>
      <c r="W185" s="2345" t="n"/>
      <c r="X185" s="2345" t="n"/>
      <c r="Y185" s="2345" t="n"/>
      <c r="Z185" s="2345" t="n"/>
      <c r="AA185" s="2345" t="n"/>
      <c r="AB185" s="2345" t="n"/>
      <c r="AC185" s="2345" t="n"/>
      <c r="AD185" s="2345" t="n"/>
      <c r="AE185" s="2345" t="n"/>
      <c r="AF185" s="2345" t="n"/>
      <c r="AG185" s="2345" t="n"/>
      <c r="AH185" s="2356" t="n">
        <v>62518</v>
      </c>
      <c r="AI185" s="2345" t="n"/>
      <c r="AJ185" s="2356" t="n">
        <v>62518</v>
      </c>
      <c r="AK185" s="2356" t="n">
        <v>718951</v>
      </c>
      <c r="AL185" s="2345" t="n"/>
      <c r="AM185" s="2345" t="inlineStr">
        <is>
          <t>Appraiser income approach (CBOE 2024 abatement); market rent $6.50/SF; vac 6%; OPX 5% + reserves 3%; 6.00% OAR; value $11,985,000</t>
        </is>
      </c>
    </row>
    <row r="186">
      <c r="A186" s="2345" t="inlineStr">
        <is>
          <t>P095</t>
        </is>
      </c>
      <c r="B186" s="2338" t="n">
        <v>386</v>
      </c>
      <c r="C186" s="2345" t="inlineStr">
        <is>
          <t>R0086010</t>
        </is>
      </c>
      <c r="D186" s="2345" t="inlineStr">
        <is>
          <t>15413 E 18th Ave</t>
        </is>
      </c>
      <c r="E186" s="2345" t="inlineStr">
        <is>
          <t>Aurora</t>
        </is>
      </c>
      <c r="F186" s="2345" t="inlineStr">
        <is>
          <t>CO</t>
        </is>
      </c>
      <c r="G186" s="2345" t="inlineStr">
        <is>
          <t>Self-Storage</t>
        </is>
      </c>
      <c r="H186" s="2345" t="inlineStr">
        <is>
          <t>Self-Storage</t>
        </is>
      </c>
      <c r="I186" s="2345" t="n">
        <v>1984</v>
      </c>
      <c r="J186" s="2345" t="n">
        <v>63989</v>
      </c>
      <c r="K186" s="2345" t="n">
        <v>2024</v>
      </c>
      <c r="L186" s="2356" t="n">
        <v>963336</v>
      </c>
      <c r="M186" s="2356" t="n">
        <v>12500</v>
      </c>
      <c r="N186" s="2356" t="n">
        <v>831336</v>
      </c>
      <c r="O186" s="2345" t="n"/>
      <c r="P186" s="2345" t="n"/>
      <c r="Q186" s="2345" t="n"/>
      <c r="R186" s="2345" t="n"/>
      <c r="S186" s="2345" t="n"/>
      <c r="T186" s="2345" t="n"/>
      <c r="U186" s="2345" t="n"/>
      <c r="V186" s="2345" t="n"/>
      <c r="W186" s="2345" t="n"/>
      <c r="X186" s="2345" t="n"/>
      <c r="Y186" s="2345" t="n"/>
      <c r="Z186" s="2345" t="n"/>
      <c r="AA186" s="2345" t="n"/>
      <c r="AB186" s="2345" t="n"/>
      <c r="AC186" s="2345" t="n"/>
      <c r="AD186" s="2345" t="n"/>
      <c r="AE186" s="2345" t="n"/>
      <c r="AF186" s="2345" t="n"/>
      <c r="AG186" s="2345" t="n"/>
      <c r="AH186" s="2356" t="n">
        <v>166267</v>
      </c>
      <c r="AI186" s="2345" t="n"/>
      <c r="AJ186" s="2356" t="n">
        <v>199520</v>
      </c>
      <c r="AK186" s="2356" t="n">
        <v>631815</v>
      </c>
      <c r="AL186" s="2356" t="n">
        <v>33253</v>
      </c>
      <c r="AM186" s="2345" t="inlineStr">
        <is>
          <t>Appraiser pro forma (AXG CBOE 2024); NRA 57,754 SF; market rent $1.39/mo/SF NRA; vac 15%; OPX 20% EGI; reserves 4%; 7.90% loaded cap; value $8,000,000</t>
        </is>
      </c>
    </row>
    <row r="187">
      <c r="A187" s="2345" t="inlineStr">
        <is>
          <t>P096</t>
        </is>
      </c>
      <c r="B187" s="2338" t="n">
        <v>407</v>
      </c>
      <c r="C187" s="2345" t="inlineStr">
        <is>
          <t>R0083917</t>
        </is>
      </c>
      <c r="D187" s="2345" t="inlineStr">
        <is>
          <t>14701 E 38th Ave</t>
        </is>
      </c>
      <c r="E187" s="2345" t="inlineStr">
        <is>
          <t>Aurora</t>
        </is>
      </c>
      <c r="F187" s="2345" t="inlineStr">
        <is>
          <t>CO</t>
        </is>
      </c>
      <c r="G187" s="2345" t="inlineStr">
        <is>
          <t>Industrial</t>
        </is>
      </c>
      <c r="H187" s="2345" t="inlineStr">
        <is>
          <t>Industrial Owner-User</t>
        </is>
      </c>
      <c r="I187" s="2345" t="n"/>
      <c r="J187" s="2345" t="n">
        <v>117280</v>
      </c>
      <c r="K187" s="2345" t="n">
        <v>2024</v>
      </c>
      <c r="L187" s="2345" t="n"/>
      <c r="M187" s="2345" t="n"/>
      <c r="N187" s="2345" t="n"/>
      <c r="O187" s="2356" t="n">
        <v>56500</v>
      </c>
      <c r="P187" s="2356" t="n">
        <v>452446</v>
      </c>
      <c r="Q187" s="2345" t="n"/>
      <c r="R187" s="2345" t="n"/>
      <c r="S187" s="2345" t="n"/>
      <c r="T187" s="2345" t="n"/>
      <c r="U187" s="2345" t="n"/>
      <c r="V187" s="2345" t="n"/>
      <c r="W187" s="2345" t="n"/>
      <c r="X187" s="2356" t="n">
        <v>219534</v>
      </c>
      <c r="Y187" s="2356" t="n">
        <v>219534</v>
      </c>
      <c r="Z187" s="2356" t="n">
        <v>13813</v>
      </c>
      <c r="AA187" s="2356" t="n">
        <v>4696</v>
      </c>
      <c r="AB187" s="2345" t="n"/>
      <c r="AC187" s="2356" t="n">
        <v>18509</v>
      </c>
      <c r="AD187" s="2345" t="n"/>
      <c r="AE187" s="2345" t="n"/>
      <c r="AF187" s="2356" t="n">
        <v>371508</v>
      </c>
      <c r="AG187" s="2345" t="n"/>
      <c r="AH187" s="2356" t="n">
        <v>1118497</v>
      </c>
      <c r="AI187" s="2345" t="n"/>
      <c r="AJ187" s="2356" t="n">
        <v>1118497</v>
      </c>
      <c r="AK187" s="2345" t="n"/>
      <c r="AL187" s="2345" t="n"/>
      <c r="AM187" s="2345" t="inlineStr">
        <is>
          <t>I&amp;E Survey 2024; owner-user; CAUTION: expenses likely include non-RE business costs (mgmt $452k + utils $372k very high); 117,280 SF</t>
        </is>
      </c>
    </row>
    <row r="188">
      <c r="A188" s="2345" t="inlineStr">
        <is>
          <t>P097</t>
        </is>
      </c>
      <c r="B188" s="2338" t="n">
        <v>210</v>
      </c>
      <c r="C188" s="2345" t="inlineStr">
        <is>
          <t>R0137586</t>
        </is>
      </c>
      <c r="D188" s="2345" t="inlineStr">
        <is>
          <t>7273-7285 E 96th Ave</t>
        </is>
      </c>
      <c r="E188" s="2345" t="inlineStr">
        <is>
          <t>Commerce City</t>
        </is>
      </c>
      <c r="F188" s="2345" t="inlineStr">
        <is>
          <t>CO</t>
        </is>
      </c>
      <c r="G188" s="2345" t="inlineStr">
        <is>
          <t>Industrial</t>
        </is>
      </c>
      <c r="H188" s="2345" t="inlineStr">
        <is>
          <t>Multi-Tenant Industrial</t>
        </is>
      </c>
      <c r="I188" s="2345" t="n"/>
      <c r="J188" s="2345" t="n">
        <v>57200</v>
      </c>
      <c r="K188" s="2345" t="n">
        <v>2023</v>
      </c>
      <c r="L188" s="2356" t="n">
        <v>803900</v>
      </c>
      <c r="M188" s="2345" t="n"/>
      <c r="N188" s="2345" t="n"/>
      <c r="O188" s="2356" t="n">
        <v>12548</v>
      </c>
      <c r="P188" s="2356" t="n">
        <v>56144</v>
      </c>
      <c r="Q188" s="2345" t="n"/>
      <c r="R188" s="2345" t="n"/>
      <c r="S188" s="2345" t="n"/>
      <c r="T188" s="2345" t="n"/>
      <c r="U188" s="2345" t="n"/>
      <c r="V188" s="2345" t="n"/>
      <c r="W188" s="2345" t="n"/>
      <c r="X188" s="2356" t="n">
        <v>39723</v>
      </c>
      <c r="Y188" s="2356" t="n">
        <v>39723</v>
      </c>
      <c r="Z188" s="2356" t="n">
        <v>22410</v>
      </c>
      <c r="AA188" s="2356" t="n">
        <v>1470</v>
      </c>
      <c r="AB188" s="2345" t="n"/>
      <c r="AC188" s="2356" t="n">
        <v>23880</v>
      </c>
      <c r="AD188" s="2345" t="n"/>
      <c r="AE188" s="2356" t="n">
        <v>6687</v>
      </c>
      <c r="AF188" s="2356" t="n">
        <v>6687</v>
      </c>
      <c r="AG188" s="2345" t="n"/>
      <c r="AH188" s="2356" t="n">
        <v>138802</v>
      </c>
      <c r="AI188" s="2345" t="n"/>
      <c r="AJ188" s="2356" t="n">
        <v>138802</v>
      </c>
      <c r="AK188" s="2345" t="n"/>
      <c r="AL188" s="2345" t="n"/>
      <c r="AM188" s="2345" t="inlineStr">
        <is>
          <t>I&amp;E Survey 2023; modified lease; 57,200 SF; total expenses approx (excludes RE taxes not reported)</t>
        </is>
      </c>
    </row>
    <row r="189">
      <c r="A189" s="2345" t="inlineStr">
        <is>
          <t>P098</t>
        </is>
      </c>
      <c r="B189" s="2338" t="n">
        <v>210</v>
      </c>
      <c r="C189" s="2345" t="inlineStr">
        <is>
          <t>R0187010</t>
        </is>
      </c>
      <c r="D189" s="2345" t="inlineStr">
        <is>
          <t>8020 Steele St</t>
        </is>
      </c>
      <c r="E189" s="2345" t="inlineStr">
        <is>
          <t>Denver</t>
        </is>
      </c>
      <c r="F189" s="2345" t="inlineStr">
        <is>
          <t>CO</t>
        </is>
      </c>
      <c r="G189" s="2345" t="inlineStr">
        <is>
          <t>Industrial</t>
        </is>
      </c>
      <c r="H189" s="2345" t="inlineStr">
        <is>
          <t>Industrial Modified Gross</t>
        </is>
      </c>
      <c r="I189" s="2345" t="n"/>
      <c r="J189" s="2345" t="n">
        <v>70000</v>
      </c>
      <c r="K189" s="2345" t="n">
        <v>2024</v>
      </c>
      <c r="L189" s="2356" t="n">
        <v>539000</v>
      </c>
      <c r="M189" s="2345" t="n"/>
      <c r="N189" s="2345" t="n"/>
      <c r="O189" s="2345" t="n"/>
      <c r="P189" s="2356" t="n">
        <v>16170</v>
      </c>
      <c r="Q189" s="2345" t="n"/>
      <c r="R189" s="2345" t="n"/>
      <c r="S189" s="2345" t="n"/>
      <c r="T189" s="2345" t="n"/>
      <c r="U189" s="2345" t="n"/>
      <c r="V189" s="2345" t="n"/>
      <c r="W189" s="2345" t="n"/>
      <c r="X189" s="2356" t="n">
        <v>3600</v>
      </c>
      <c r="Y189" s="2356" t="n">
        <v>3600</v>
      </c>
      <c r="Z189" s="2345" t="n"/>
      <c r="AA189" s="2356" t="n">
        <v>4000</v>
      </c>
      <c r="AB189" s="2345" t="n"/>
      <c r="AC189" s="2356" t="n">
        <v>4000</v>
      </c>
      <c r="AD189" s="2345" t="n"/>
      <c r="AE189" s="2345" t="n"/>
      <c r="AF189" s="2345" t="n"/>
      <c r="AG189" s="2345" t="n"/>
      <c r="AH189" s="2356" t="n">
        <v>23770</v>
      </c>
      <c r="AI189" s="2345" t="n"/>
      <c r="AJ189" s="2356" t="n">
        <v>23770</v>
      </c>
      <c r="AK189" s="2345" t="n"/>
      <c r="AL189" s="2345" t="n"/>
      <c r="AM189" s="2345" t="inlineStr">
        <is>
          <t>I&amp;E Survey 2024; modified gross; owner pays ins/R&amp;M/mgmt only; tenant pays utils/trash; 70,000 SF; partial expense data</t>
        </is>
      </c>
    </row>
    <row r="190">
      <c r="A190" s="2345" t="inlineStr">
        <is>
          <t>P099</t>
        </is>
      </c>
      <c r="B190" s="2338" t="n">
        <v>210</v>
      </c>
      <c r="C190" s="2345" t="inlineStr">
        <is>
          <t>R0111914</t>
        </is>
      </c>
      <c r="D190" s="2345" t="inlineStr">
        <is>
          <t>1963 Jasper St</t>
        </is>
      </c>
      <c r="E190" s="2345" t="inlineStr">
        <is>
          <t>Aurora</t>
        </is>
      </c>
      <c r="F190" s="2345" t="inlineStr">
        <is>
          <t>CO</t>
        </is>
      </c>
      <c r="G190" s="2345" t="inlineStr">
        <is>
          <t>Industrial</t>
        </is>
      </c>
      <c r="H190" s="2345" t="inlineStr">
        <is>
          <t>Multi-Tenant Industrial Gross</t>
        </is>
      </c>
      <c r="I190" s="2345" t="n"/>
      <c r="J190" s="2345" t="n">
        <v>33574</v>
      </c>
      <c r="K190" s="2345" t="n">
        <v>2024</v>
      </c>
      <c r="L190" s="2356" t="n">
        <v>330000</v>
      </c>
      <c r="M190" s="2345" t="n"/>
      <c r="N190" s="2356" t="n">
        <v>330000</v>
      </c>
      <c r="O190" s="2356" t="n">
        <v>8310</v>
      </c>
      <c r="P190" s="2356" t="n">
        <v>16500</v>
      </c>
      <c r="Q190" s="2345" t="n"/>
      <c r="R190" s="2345" t="n"/>
      <c r="S190" s="2345" t="n"/>
      <c r="T190" s="2345" t="n"/>
      <c r="U190" s="2345" t="n"/>
      <c r="V190" s="2345" t="n"/>
      <c r="W190" s="2345" t="n"/>
      <c r="X190" s="2356" t="n">
        <v>18881</v>
      </c>
      <c r="Y190" s="2356" t="n">
        <v>18881</v>
      </c>
      <c r="Z190" s="2356" t="n">
        <v>9900</v>
      </c>
      <c r="AA190" s="2356" t="n">
        <v>11300</v>
      </c>
      <c r="AB190" s="2345" t="n"/>
      <c r="AC190" s="2356" t="n">
        <v>21200</v>
      </c>
      <c r="AD190" s="2345" t="n"/>
      <c r="AE190" s="2356" t="n">
        <v>11540</v>
      </c>
      <c r="AF190" s="2356" t="n">
        <v>11540</v>
      </c>
      <c r="AG190" s="2345" t="n"/>
      <c r="AH190" s="2356" t="n">
        <v>76431</v>
      </c>
      <c r="AI190" s="2345" t="n"/>
      <c r="AJ190" s="2356" t="n">
        <v>76431</v>
      </c>
      <c r="AK190" s="2356" t="n">
        <v>253569</v>
      </c>
      <c r="AL190" s="2345" t="n"/>
      <c r="AM190" s="2345" t="inlineStr">
        <is>
          <t>I&amp;E Survey 2024; gross lease (tenant pays gas/elec); approx NOI = GRI minus owner expenses; 33,574 SF</t>
        </is>
      </c>
    </row>
    <row r="191">
      <c r="A191" s="2345" t="inlineStr">
        <is>
          <t>P100</t>
        </is>
      </c>
      <c r="B191" s="2338" t="n">
        <v>1332</v>
      </c>
      <c r="C191" s="2345" t="inlineStr">
        <is>
          <t>R0111965</t>
        </is>
      </c>
      <c r="D191" s="2345" t="inlineStr">
        <is>
          <t>12101 Grant St</t>
        </is>
      </c>
      <c r="E191" s="2345" t="inlineStr">
        <is>
          <t>Thornton</t>
        </is>
      </c>
      <c r="F191" s="2345" t="inlineStr">
        <is>
          <t>CO</t>
        </is>
      </c>
      <c r="G191" s="2345" t="inlineStr">
        <is>
          <t>Hospitality</t>
        </is>
      </c>
      <c r="H191" s="2345" t="inlineStr">
        <is>
          <t>Hotel Limited Service</t>
        </is>
      </c>
      <c r="I191" s="2345" t="n">
        <v>1998</v>
      </c>
      <c r="J191" s="2345" t="n"/>
      <c r="K191" s="2345" t="n">
        <v>2024</v>
      </c>
      <c r="L191" s="2356" t="n">
        <v>3007421</v>
      </c>
      <c r="M191" s="2345" t="n"/>
      <c r="N191" s="2356" t="n">
        <v>3007421</v>
      </c>
      <c r="O191" s="2356" t="n">
        <v>45111</v>
      </c>
      <c r="P191" s="2345" t="n"/>
      <c r="Q191" s="2345" t="n"/>
      <c r="R191" s="2345" t="n"/>
      <c r="S191" s="2345" t="n"/>
      <c r="T191" s="2345" t="n"/>
      <c r="U191" s="2345" t="n"/>
      <c r="V191" s="2345" t="n"/>
      <c r="W191" s="2345" t="n"/>
      <c r="X191" s="2345" t="n"/>
      <c r="Y191" s="2345" t="n"/>
      <c r="Z191" s="2345" t="n"/>
      <c r="AA191" s="2345" t="n"/>
      <c r="AB191" s="2345" t="n"/>
      <c r="AC191" s="2345" t="n"/>
      <c r="AD191" s="2345" t="n"/>
      <c r="AE191" s="2345" t="n"/>
      <c r="AF191" s="2345" t="n"/>
      <c r="AG191" s="2356" t="n">
        <v>1975907</v>
      </c>
      <c r="AH191" s="2356" t="n">
        <v>2143856</v>
      </c>
      <c r="AI191" s="2345" t="n"/>
      <c r="AJ191" s="2356" t="n">
        <v>2143856</v>
      </c>
      <c r="AK191" s="2356" t="n">
        <v>863565</v>
      </c>
      <c r="AL191" s="2345" t="n"/>
      <c r="AM191" s="2345" t="inlineStr">
        <is>
          <t>Appraiser Rushmore income approach (AXG CBOE 2024); 100 rooms; ADR $115; occ 70%; RevPAR $80.50; loaded cap 11.30%; RE prop value ~$7.49M. Total Revenue breakout: Rooms+F&amp;B+Other</t>
        </is>
      </c>
    </row>
    <row r="192">
      <c r="A192" s="2345" t="inlineStr">
        <is>
          <t>P101</t>
        </is>
      </c>
      <c r="B192" s="2338" t="n">
        <v>332</v>
      </c>
      <c r="C192" s="2345" t="inlineStr">
        <is>
          <t>R0202410</t>
        </is>
      </c>
      <c r="D192" s="2345" t="inlineStr">
        <is>
          <t>2556 Oswego St</t>
        </is>
      </c>
      <c r="E192" s="2345" t="inlineStr">
        <is>
          <t>Aurora</t>
        </is>
      </c>
      <c r="F192" s="2345" t="inlineStr">
        <is>
          <t>CO</t>
        </is>
      </c>
      <c r="G192" s="2345" t="inlineStr">
        <is>
          <t>Hospitality</t>
        </is>
      </c>
      <c r="H192" s="2345" t="inlineStr">
        <is>
          <t>Hotel Full Service</t>
        </is>
      </c>
      <c r="I192" s="2345" t="n">
        <v>2023</v>
      </c>
      <c r="J192" s="2345" t="n"/>
      <c r="K192" s="2345" t="n">
        <v>2024</v>
      </c>
      <c r="L192" s="2356" t="n">
        <v>11899487</v>
      </c>
      <c r="M192" s="2345" t="n"/>
      <c r="N192" s="2356" t="n">
        <v>11899487</v>
      </c>
      <c r="O192" s="2356" t="n">
        <v>154693</v>
      </c>
      <c r="P192" s="2345" t="n"/>
      <c r="Q192" s="2345" t="n"/>
      <c r="R192" s="2345" t="n"/>
      <c r="S192" s="2345" t="n"/>
      <c r="T192" s="2345" t="n"/>
      <c r="U192" s="2345" t="n"/>
      <c r="V192" s="2345" t="n"/>
      <c r="W192" s="2345" t="n"/>
      <c r="X192" s="2345" t="n"/>
      <c r="Y192" s="2345" t="n"/>
      <c r="Z192" s="2345" t="n"/>
      <c r="AA192" s="2345" t="n"/>
      <c r="AB192" s="2345" t="n"/>
      <c r="AC192" s="2345" t="n"/>
      <c r="AD192" s="2345" t="n"/>
      <c r="AE192" s="2345" t="n"/>
      <c r="AF192" s="2345" t="n"/>
      <c r="AG192" s="2356" t="n">
        <v>8760469</v>
      </c>
      <c r="AH192" s="2356" t="n">
        <v>8915468</v>
      </c>
      <c r="AI192" s="2345" t="n"/>
      <c r="AJ192" s="2356" t="n">
        <v>9391447</v>
      </c>
      <c r="AK192" s="2356" t="n">
        <v>2984019</v>
      </c>
      <c r="AL192" s="2356" t="n">
        <v>475979</v>
      </c>
      <c r="AM192" s="2345" t="inlineStr">
        <is>
          <t>Appraiser Rushmore income approach (AXG CBOE 2024); 227 rooms; built 2023; ADR $140; occ 70%; RevPAR $98; loaded cap 12.45%; RE value ~$23.47M (less FF&amp;E)</t>
        </is>
      </c>
    </row>
    <row r="193">
      <c r="A193" s="2345" t="inlineStr">
        <is>
          <t>P102</t>
        </is>
      </c>
      <c r="B193" s="2338" t="n">
        <v>332</v>
      </c>
      <c r="C193" s="2345" t="inlineStr">
        <is>
          <t>R0024498</t>
        </is>
      </c>
      <c r="D193" s="2345" t="inlineStr">
        <is>
          <t>83 E 120th Ave</t>
        </is>
      </c>
      <c r="E193" s="2345" t="inlineStr">
        <is>
          <t>Thornton</t>
        </is>
      </c>
      <c r="F193" s="2345" t="inlineStr">
        <is>
          <t>CO</t>
        </is>
      </c>
      <c r="G193" s="2345" t="inlineStr">
        <is>
          <t>Hospitality</t>
        </is>
      </c>
      <c r="H193" s="2345" t="inlineStr">
        <is>
          <t>Hotel Full Service</t>
        </is>
      </c>
      <c r="I193" s="2345" t="n">
        <v>1984</v>
      </c>
      <c r="J193" s="2345" t="n">
        <v>114796</v>
      </c>
      <c r="K193" s="2345" t="n">
        <v>2024</v>
      </c>
      <c r="L193" s="2356" t="n">
        <v>7626796</v>
      </c>
      <c r="M193" s="2345" t="n"/>
      <c r="N193" s="2356" t="n">
        <v>7626796</v>
      </c>
      <c r="O193" s="2356" t="n">
        <v>99148</v>
      </c>
      <c r="P193" s="2345" t="n"/>
      <c r="Q193" s="2345" t="n"/>
      <c r="R193" s="2345" t="n"/>
      <c r="S193" s="2345" t="n"/>
      <c r="T193" s="2345" t="n"/>
      <c r="U193" s="2345" t="n"/>
      <c r="V193" s="2345" t="n"/>
      <c r="W193" s="2345" t="n"/>
      <c r="X193" s="2345" t="n"/>
      <c r="Y193" s="2345" t="n"/>
      <c r="Z193" s="2345" t="n"/>
      <c r="AA193" s="2345" t="n"/>
      <c r="AB193" s="2345" t="n"/>
      <c r="AC193" s="2345" t="n"/>
      <c r="AD193" s="2345" t="n"/>
      <c r="AE193" s="2345" t="n"/>
      <c r="AF193" s="2345" t="n"/>
      <c r="AG193" s="2356" t="n">
        <v>5596452</v>
      </c>
      <c r="AH193" s="2356" t="n">
        <v>5901380</v>
      </c>
      <c r="AI193" s="2345" t="n"/>
      <c r="AJ193" s="2356" t="n">
        <v>6206452</v>
      </c>
      <c r="AK193" s="2356" t="n">
        <v>1725416</v>
      </c>
      <c r="AL193" s="2356" t="n">
        <v>305072</v>
      </c>
      <c r="AM193" s="2345" t="inlineStr">
        <is>
          <t>Appraiser Rushmore income approach (AXG CBOE 2024); 137 rooms; 114,796 SF; 2 bldgs; 1984 YOC; ADR $142; occ 70%; loaded cap 10.56%; RE value $15.78M (less FF&amp;E); STR data: occ ~73%, ADR ~$147-161</t>
        </is>
      </c>
    </row>
    <row r="194">
      <c r="A194" s="2345" t="inlineStr">
        <is>
          <t>P103</t>
        </is>
      </c>
      <c r="B194" s="2338" t="n">
        <v>407</v>
      </c>
      <c r="C194" s="2345" t="inlineStr">
        <is>
          <t>R0075212</t>
        </is>
      </c>
      <c r="D194" s="2345" t="inlineStr">
        <is>
          <t>10500 Havana Ct</t>
        </is>
      </c>
      <c r="E194" s="2345" t="inlineStr">
        <is>
          <t>Commerce City</t>
        </is>
      </c>
      <c r="F194" s="2345" t="inlineStr">
        <is>
          <t>CO</t>
        </is>
      </c>
      <c r="G194" s="2345" t="inlineStr">
        <is>
          <t>Industrial</t>
        </is>
      </c>
      <c r="H194" s="2345" t="inlineStr">
        <is>
          <t>Industrial NNN</t>
        </is>
      </c>
      <c r="I194" s="2345" t="n"/>
      <c r="J194" s="2345" t="n">
        <v>30000</v>
      </c>
      <c r="K194" s="2345" t="n">
        <v>2024</v>
      </c>
      <c r="L194" s="2356" t="n">
        <v>252000</v>
      </c>
      <c r="M194" s="2345" t="n"/>
      <c r="N194" s="2345" t="n"/>
      <c r="O194" s="2356" t="n">
        <v>22704</v>
      </c>
      <c r="P194" s="2356" t="n">
        <v>9500</v>
      </c>
      <c r="Q194" s="2345" t="n"/>
      <c r="R194" s="2345" t="n"/>
      <c r="S194" s="2345" t="n"/>
      <c r="T194" s="2345" t="n"/>
      <c r="U194" s="2345" t="n"/>
      <c r="V194" s="2345" t="n"/>
      <c r="W194" s="2345" t="n"/>
      <c r="X194" s="2356" t="n">
        <v>10941</v>
      </c>
      <c r="Y194" s="2356" t="n">
        <v>10941</v>
      </c>
      <c r="Z194" s="2356" t="n">
        <v>3493</v>
      </c>
      <c r="AA194" s="2356" t="n">
        <v>6910</v>
      </c>
      <c r="AB194" s="2345" t="n"/>
      <c r="AC194" s="2356" t="n">
        <v>10403</v>
      </c>
      <c r="AD194" s="2345" t="n"/>
      <c r="AE194" s="2356" t="n">
        <v>1956</v>
      </c>
      <c r="AF194" s="2356" t="n">
        <v>1956</v>
      </c>
      <c r="AG194" s="2345" t="n"/>
      <c r="AH194" s="2356" t="n">
        <v>55504</v>
      </c>
      <c r="AI194" s="2345" t="n"/>
      <c r="AJ194" s="2356" t="n">
        <v>55504</v>
      </c>
      <c r="AK194" s="2345" t="n"/>
      <c r="AL194" s="2345" t="n"/>
      <c r="AM194" s="2345" t="inlineStr">
        <is>
          <t>I&amp;E Survey 2024; NNN lease; owner-reported; 30,000 SF; no NOI computed (no EGI reported)</t>
        </is>
      </c>
    </row>
    <row r="195">
      <c r="A195" s="2345" t="inlineStr">
        <is>
          <t>P089</t>
        </is>
      </c>
      <c r="B195" s="2338" t="n">
        <v>407</v>
      </c>
      <c r="C195" s="2345" t="inlineStr">
        <is>
          <t>R0180951</t>
        </is>
      </c>
      <c r="D195" s="2345" t="inlineStr">
        <is>
          <t>21200 E 36th Dr</t>
        </is>
      </c>
      <c r="E195" s="2345" t="inlineStr">
        <is>
          <t>Aurora</t>
        </is>
      </c>
      <c r="F195" s="2345" t="inlineStr">
        <is>
          <t>CO</t>
        </is>
      </c>
      <c r="G195" s="2345" t="inlineStr">
        <is>
          <t>Industrial</t>
        </is>
      </c>
      <c r="H195" s="2345" t="inlineStr">
        <is>
          <t>Industrial NNN</t>
        </is>
      </c>
      <c r="I195" s="2345" t="n">
        <v>2016</v>
      </c>
      <c r="J195" s="2345" t="n">
        <v>122106</v>
      </c>
      <c r="K195" s="2345" t="n">
        <v>2024</v>
      </c>
      <c r="L195" s="2345" t="n"/>
      <c r="M195" s="2345" t="n"/>
      <c r="N195" s="2345" t="n"/>
      <c r="O195" s="2356" t="n">
        <v>7635</v>
      </c>
      <c r="P195" s="2345" t="n"/>
      <c r="Q195" s="2345" t="n"/>
      <c r="R195" s="2345" t="n"/>
      <c r="S195" s="2345" t="n"/>
      <c r="T195" s="2345" t="n"/>
      <c r="U195" s="2345" t="n"/>
      <c r="V195" s="2345" t="n"/>
      <c r="W195" s="2345" t="n"/>
      <c r="X195" s="2356" t="n">
        <v>38871</v>
      </c>
      <c r="Y195" s="2356" t="n">
        <v>38871</v>
      </c>
      <c r="Z195" s="2356" t="n">
        <v>13785</v>
      </c>
      <c r="AA195" s="2356" t="n">
        <v>11809</v>
      </c>
      <c r="AB195" s="2345" t="n"/>
      <c r="AC195" s="2356" t="n">
        <v>25594</v>
      </c>
      <c r="AD195" s="2356" t="n">
        <v>58541</v>
      </c>
      <c r="AE195" s="2345" t="n"/>
      <c r="AF195" s="2356" t="n">
        <v>58541</v>
      </c>
      <c r="AG195" s="2345" t="n"/>
      <c r="AH195" s="2345" t="n"/>
      <c r="AI195" s="2356" t="n">
        <v>532140</v>
      </c>
      <c r="AJ195" s="2356" t="n">
        <v>662781</v>
      </c>
      <c r="AK195" s="2345" t="n"/>
      <c r="AL195" s="2345" t="n"/>
      <c r="AM195" s="2345" t="inlineStr">
        <is>
          <t>MT.xlsx 2024 survey — DETAIL UPDATE for R0180951; R&amp;M $38,871/Grd Maint $11,809/Snow-Trash $13,785 additional breakdown (matches WH Expenses totals)</t>
        </is>
      </c>
    </row>
    <row r="196">
      <c r="A196" t="inlineStr">
        <is>
          <t>P104</t>
        </is>
      </c>
      <c r="B196" s="2338" t="n">
        <v>210</v>
      </c>
      <c r="C196" t="inlineStr">
        <is>
          <t>R0226379</t>
        </is>
      </c>
      <c r="D196" t="inlineStr">
        <is>
          <t>26100 E 68th Ave</t>
        </is>
      </c>
      <c r="E196" t="inlineStr">
        <is>
          <t>Aurora</t>
        </is>
      </c>
      <c r="F196" t="inlineStr">
        <is>
          <t>CO</t>
        </is>
      </c>
      <c r="G196" t="inlineStr">
        <is>
          <t>Industrial</t>
        </is>
      </c>
      <c r="H196" t="inlineStr">
        <is>
          <t>Industrial Multi-Tenant</t>
        </is>
      </c>
      <c r="J196" t="n">
        <v>187720</v>
      </c>
      <c r="K196" t="n">
        <v>2024</v>
      </c>
      <c r="L196" t="n">
        <v>1379735.79</v>
      </c>
      <c r="M196" t="n">
        <v>1145329.3</v>
      </c>
      <c r="N196" t="n">
        <v>2525065.09</v>
      </c>
      <c r="O196" t="n">
        <v>176616.01</v>
      </c>
      <c r="P196" t="n">
        <v>113481.13</v>
      </c>
      <c r="S196" t="n">
        <v>17075.9</v>
      </c>
      <c r="T196" t="n">
        <v>2503.95</v>
      </c>
      <c r="V196" t="n">
        <v>5930.82</v>
      </c>
      <c r="W196" t="n">
        <v>13699.17</v>
      </c>
      <c r="X196" t="n">
        <v>16241.98</v>
      </c>
      <c r="Y196" t="n">
        <v>55451.82</v>
      </c>
      <c r="AA196" t="n">
        <v>9292.15</v>
      </c>
      <c r="AB196" t="n">
        <v>32179.95</v>
      </c>
      <c r="AC196" t="n">
        <v>68623.09999999999</v>
      </c>
      <c r="AD196" t="n">
        <v>29263.75</v>
      </c>
      <c r="AE196" t="n">
        <v>11425.16</v>
      </c>
      <c r="AF196" t="n">
        <v>40688.91</v>
      </c>
      <c r="AG196" t="n">
        <v>4476.68</v>
      </c>
      <c r="AH196" t="n">
        <v>592603.42</v>
      </c>
      <c r="AI196" t="n">
        <v>681745.35</v>
      </c>
      <c r="AJ196" t="n">
        <v>1274348.77</v>
      </c>
      <c r="AK196" t="n">
        <v>1250716.32</v>
      </c>
      <c r="AM196" t="inlineStr">
        <is>
          <t>2024 actuals; CAM reimb + TBB structure; TBBs (178,730.57) included in Total OPX; RE Taxes include Metro District (179,316.74); Mgmt = CAM Mgmt + non-recov mgmt; Landscape+Snow+Security+Sweeping in Contract Svcs; SF unknown</t>
        </is>
      </c>
    </row>
    <row r="197">
      <c r="A197" t="inlineStr">
        <is>
          <t>P104</t>
        </is>
      </c>
      <c r="B197" s="2338" t="n">
        <v>210</v>
      </c>
      <c r="C197" t="inlineStr">
        <is>
          <t>R0226379</t>
        </is>
      </c>
      <c r="D197" t="inlineStr">
        <is>
          <t>26100 E 68th Ave</t>
        </is>
      </c>
      <c r="E197" t="inlineStr">
        <is>
          <t>Aurora</t>
        </is>
      </c>
      <c r="F197" t="inlineStr">
        <is>
          <t>CO</t>
        </is>
      </c>
      <c r="G197" t="inlineStr">
        <is>
          <t>Industrial</t>
        </is>
      </c>
      <c r="H197" t="inlineStr">
        <is>
          <t>Industrial Multi-Tenant</t>
        </is>
      </c>
      <c r="J197" t="n">
        <v>187720</v>
      </c>
      <c r="K197" t="n">
        <v>2023</v>
      </c>
      <c r="L197" t="n">
        <v>1185113.75</v>
      </c>
      <c r="M197" t="n">
        <v>1132267.35</v>
      </c>
      <c r="N197" t="n">
        <v>2317381.1</v>
      </c>
      <c r="O197" t="n">
        <v>116967.52</v>
      </c>
      <c r="P197" t="n">
        <v>106274.14</v>
      </c>
      <c r="S197" t="n">
        <v>3365.97</v>
      </c>
      <c r="T197" t="n">
        <v>4470.25</v>
      </c>
      <c r="V197" t="n">
        <v>27567.8</v>
      </c>
      <c r="W197" t="n">
        <v>17386.24</v>
      </c>
      <c r="X197" t="n">
        <v>15567.46</v>
      </c>
      <c r="Y197" t="n">
        <v>68357.72</v>
      </c>
      <c r="AA197" t="n">
        <v>10701.13</v>
      </c>
      <c r="AB197" t="n">
        <v>28242.53</v>
      </c>
      <c r="AC197" t="n">
        <v>91036.76999999999</v>
      </c>
      <c r="AD197" t="n">
        <v>25899.28</v>
      </c>
      <c r="AE197" t="n">
        <v>11031.13</v>
      </c>
      <c r="AF197" t="n">
        <v>36930.41</v>
      </c>
      <c r="AG197" t="n">
        <v>9341.34</v>
      </c>
      <c r="AH197" t="n">
        <v>540838.58</v>
      </c>
      <c r="AI197" t="n">
        <v>659137.36</v>
      </c>
      <c r="AJ197" t="n">
        <v>1199975.94</v>
      </c>
      <c r="AK197" t="n">
        <v>1117405.16</v>
      </c>
      <c r="AM197" t="inlineStr">
        <is>
          <t>2023 actuals; CAM reimb + TBB structure; TBBs (171,359.08) included in Total OPX; RE Taxes include Metro District (172,730.34); Int Unit R&amp;M includes R&amp;M-Other (23,055.03); Other/Admin includes Personal Prop Tax (1,206.89); SF unknown</t>
        </is>
      </c>
    </row>
  </sheetData>
  <autoFilter ref="A3:AM3"/>
  <mergeCells count="2">
    <mergeCell ref="A2:AH2"/>
    <mergeCell ref="A1:AH1"/>
  </mergeCell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M197"/>
  <sheetViews>
    <sheetView workbookViewId="0">
      <pane xSplit="11" ySplit="3" topLeftCell="L4" activePane="bottomRight" state="frozen"/>
      <selection pane="topRight" activeCell="A1" sqref="A1"/>
      <selection pane="bottomLeft" activeCell="A1" sqref="A1"/>
      <selection pane="bottomRight" activeCell="A1" sqref="A1"/>
    </sheetView>
  </sheetViews>
  <sheetFormatPr baseColWidth="8" defaultRowHeight="15"/>
  <cols>
    <col width="8" customWidth="1" style="1449" min="1" max="1"/>
    <col width="12" customWidth="1" style="1449" min="2" max="2"/>
    <col width="28" customWidth="1" style="1449" min="3" max="3"/>
    <col width="14" customWidth="1" style="1449" min="4" max="4"/>
    <col width="5" customWidth="1" style="1449" min="5" max="5"/>
    <col width="20" customWidth="1" style="1449" min="6" max="6"/>
    <col width="22" customWidth="1" style="1449" min="7" max="7"/>
    <col width="8" customWidth="1" style="1449" min="8" max="8"/>
    <col width="7" customWidth="1" style="1449" min="9" max="9"/>
    <col width="9" customWidth="1" style="1449" min="10" max="10"/>
    <col width="6" customWidth="1" style="1449" min="11" max="11"/>
    <col width="12" customWidth="1" style="1449" min="12" max="12"/>
    <col width="9" customWidth="1" style="1449" min="13" max="13"/>
    <col width="11.28515625" customWidth="1" style="1449" min="14" max="14"/>
    <col width="9" customWidth="1" style="1449" min="15" max="38"/>
    <col width="45" customWidth="1" style="1449" min="39" max="39"/>
  </cols>
  <sheetData>
    <row r="1" ht="20.1" customHeight="1" s="1449">
      <c r="A1" s="1724" t="inlineStr">
        <is>
          <t>COMMERCIAL PROPERTY EXPENSE DATABASE - PSF SUMMARY  ($/SF)</t>
        </is>
      </c>
    </row>
    <row r="2" ht="14.1" customHeight="1" s="1449">
      <c r="A2" s="1725" t="inlineStr">
        <is>
          <t>Figures in $/SF of building area  |  Rows with no BldgSF show raw dollar amounts flagged [NO SF]  |  Text/ID fields copied from Expense Database</t>
        </is>
      </c>
    </row>
    <row r="3" ht="32.1" customHeight="1" s="1449">
      <c r="A3" s="2357" t="inlineStr">
        <is>
          <t>Prop ID</t>
        </is>
      </c>
      <c r="B3" s="2336" t="inlineStr">
        <is>
          <t>Occ Code</t>
        </is>
      </c>
      <c r="C3" s="2357" t="inlineStr">
        <is>
          <t>Account #</t>
        </is>
      </c>
      <c r="D3" s="2357" t="inlineStr">
        <is>
          <t>Address</t>
        </is>
      </c>
      <c r="E3" s="2357" t="inlineStr">
        <is>
          <t>City</t>
        </is>
      </c>
      <c r="F3" s="2357" t="inlineStr">
        <is>
          <t>State</t>
        </is>
      </c>
      <c r="G3" s="2357" t="inlineStr">
        <is>
          <t>Prop Type</t>
        </is>
      </c>
      <c r="H3" s="2357" t="inlineStr">
        <is>
          <t>Subtype</t>
        </is>
      </c>
      <c r="I3" s="2357" t="inlineStr">
        <is>
          <t>Year Built</t>
        </is>
      </c>
      <c r="J3" s="2357" t="inlineStr">
        <is>
          <t>Bldg SF</t>
        </is>
      </c>
      <c r="K3" s="2357" t="inlineStr">
        <is>
          <t>Year</t>
        </is>
      </c>
      <c r="L3" s="2357" t="inlineStr">
        <is>
          <t>Gross Rental Income</t>
        </is>
      </c>
      <c r="M3" s="2357" t="inlineStr">
        <is>
          <t>Other Income</t>
        </is>
      </c>
      <c r="N3" s="2357" t="inlineStr">
        <is>
          <t>EGI</t>
        </is>
      </c>
      <c r="O3" s="2357" t="inlineStr">
        <is>
          <t>Insurance</t>
        </is>
      </c>
      <c r="P3" s="2357" t="inlineStr">
        <is>
          <t>Mgmt/Admin</t>
        </is>
      </c>
      <c r="Q3" s="2357" t="inlineStr">
        <is>
          <t>Plumbing R&amp;M</t>
        </is>
      </c>
      <c r="R3" s="2357" t="inlineStr">
        <is>
          <t>Electrical R&amp;M</t>
        </is>
      </c>
      <c r="S3" s="2357" t="inlineStr">
        <is>
          <t>Exterior R&amp;M</t>
        </is>
      </c>
      <c r="T3" s="2357" t="inlineStr">
        <is>
          <t>Fire/Life Safety R&amp;M</t>
        </is>
      </c>
      <c r="U3" s="2357" t="inlineStr">
        <is>
          <t>HVAC R&amp;M</t>
        </is>
      </c>
      <c r="V3" s="2357" t="inlineStr">
        <is>
          <t>Interior Unit R&amp;M</t>
        </is>
      </c>
      <c r="W3" s="2357" t="inlineStr">
        <is>
          <t>Interior Common R&amp;M</t>
        </is>
      </c>
      <c r="X3" s="2357" t="inlineStr">
        <is>
          <t>General Maint &amp; Repairs</t>
        </is>
      </c>
      <c r="Y3" s="2357" t="inlineStr">
        <is>
          <t>Total R&amp;M</t>
        </is>
      </c>
      <c r="Z3" s="2357" t="inlineStr">
        <is>
          <t>Trash</t>
        </is>
      </c>
      <c r="AA3" s="2357" t="inlineStr">
        <is>
          <t>Landscape</t>
        </is>
      </c>
      <c r="AB3" s="2357" t="inlineStr">
        <is>
          <t>Snow Removal</t>
        </is>
      </c>
      <c r="AC3" s="2357" t="inlineStr">
        <is>
          <t>Total Contract Svcs</t>
        </is>
      </c>
      <c r="AD3" s="2357" t="inlineStr">
        <is>
          <t>Water &amp; Sewer</t>
        </is>
      </c>
      <c r="AE3" s="2357" t="inlineStr">
        <is>
          <t>Electric</t>
        </is>
      </c>
      <c r="AF3" s="2357" t="inlineStr">
        <is>
          <t>Total Utilities</t>
        </is>
      </c>
      <c r="AG3" s="2357" t="inlineStr">
        <is>
          <t>Other/Admin (Misc)</t>
        </is>
      </c>
      <c r="AH3" s="2357" t="inlineStr">
        <is>
          <t>Total OPX excl RE Taxes</t>
        </is>
      </c>
      <c r="AI3" s="2357" t="inlineStr">
        <is>
          <t>Real Estate Taxes</t>
        </is>
      </c>
      <c r="AJ3" s="2357" t="inlineStr">
        <is>
          <t>Total OPX incl RE Taxes</t>
        </is>
      </c>
      <c r="AK3" s="2357" t="inlineStr">
        <is>
          <t>NOI</t>
        </is>
      </c>
      <c r="AL3" s="2357" t="inlineStr">
        <is>
          <t>CapEx (non-op)</t>
        </is>
      </c>
      <c r="AM3" s="2357" t="inlineStr">
        <is>
          <t>Notes</t>
        </is>
      </c>
    </row>
    <row r="4" ht="14.1" customHeight="1" s="1449">
      <c r="A4" s="2358" t="inlineStr">
        <is>
          <t>P001</t>
        </is>
      </c>
      <c r="B4" s="2338" t="n">
        <v>407</v>
      </c>
      <c r="C4" s="2358" t="inlineStr">
        <is>
          <t>R0157664</t>
        </is>
      </c>
      <c r="D4" s="2358" t="inlineStr">
        <is>
          <t>6045 E. 76th Avenue</t>
        </is>
      </c>
      <c r="E4" s="2358" t="inlineStr">
        <is>
          <t>Commerce City</t>
        </is>
      </c>
      <c r="F4" s="2358" t="inlineStr">
        <is>
          <t>CO</t>
        </is>
      </c>
      <c r="G4" s="2358" t="inlineStr">
        <is>
          <t>Light Industrial</t>
        </is>
      </c>
      <c r="H4" s="2358" t="inlineStr">
        <is>
          <t>Distribution Warehouse</t>
        </is>
      </c>
      <c r="I4" s="2359" t="n">
        <v>1988</v>
      </c>
      <c r="J4" s="2359" t="n">
        <v>21000</v>
      </c>
      <c r="K4" s="2359" t="n">
        <v>2021</v>
      </c>
      <c r="L4" s="2360" t="n">
        <v>13.465</v>
      </c>
      <c r="M4" s="2360" t="n">
        <v>0.3034</v>
      </c>
      <c r="N4" s="2360" t="n">
        <v>13.7684</v>
      </c>
      <c r="O4" s="2360" t="n">
        <v>0.233</v>
      </c>
      <c r="P4" s="2360" t="n">
        <v>0</v>
      </c>
      <c r="Q4" s="2360" t="n">
        <v>0.0545</v>
      </c>
      <c r="R4" s="2360" t="n">
        <v>0</v>
      </c>
      <c r="S4" s="2360" t="n">
        <v>0.0095</v>
      </c>
      <c r="T4" s="2360" t="n">
        <v>0</v>
      </c>
      <c r="U4" s="2360" t="n">
        <v>0.0133</v>
      </c>
      <c r="V4" s="2360" t="n">
        <v>0.0403</v>
      </c>
      <c r="W4" s="2360" t="n">
        <v>0.1392</v>
      </c>
      <c r="X4" s="2360" t="n">
        <v>0</v>
      </c>
      <c r="Y4" s="2360" t="n">
        <v>0.2567</v>
      </c>
      <c r="Z4" s="2360" t="n">
        <v>0.3195</v>
      </c>
      <c r="AA4" s="2360" t="n">
        <v>0.1845</v>
      </c>
      <c r="AB4" s="2360" t="n">
        <v>0.0414</v>
      </c>
      <c r="AC4" s="2360" t="n">
        <v>0.5455</v>
      </c>
      <c r="AD4" s="2360" t="n">
        <v>0.1593</v>
      </c>
      <c r="AE4" s="2360" t="n">
        <v>0.0309</v>
      </c>
      <c r="AF4" s="2360" t="n">
        <v>0.1901</v>
      </c>
      <c r="AG4" s="2360" t="n">
        <v>0.0363</v>
      </c>
      <c r="AH4" s="2360" t="n">
        <v>1.2626</v>
      </c>
      <c r="AI4" s="2360" t="n">
        <v>2.2983</v>
      </c>
      <c r="AJ4" s="2360" t="n">
        <v>3.5609</v>
      </c>
      <c r="AK4" s="2360" t="n">
        <v>10.2075</v>
      </c>
      <c r="AL4" s="2360" t="n">
        <v>0.1258</v>
      </c>
      <c r="AM4" s="2361" t="inlineStr">
        <is>
          <t>2021: other income = damages $2,392 + misc $3,863 + interest $117</t>
        </is>
      </c>
    </row>
    <row r="5" ht="14.1" customHeight="1" s="1449">
      <c r="A5" s="2339" t="inlineStr">
        <is>
          <t>P001</t>
        </is>
      </c>
      <c r="B5" s="2338" t="n">
        <v>407</v>
      </c>
      <c r="C5" s="2339" t="inlineStr">
        <is>
          <t>R0157664</t>
        </is>
      </c>
      <c r="D5" s="2339" t="inlineStr">
        <is>
          <t>6045 E. 76th Avenue</t>
        </is>
      </c>
      <c r="E5" s="2339" t="inlineStr">
        <is>
          <t>Commerce City</t>
        </is>
      </c>
      <c r="F5" s="2339" t="inlineStr">
        <is>
          <t>CO</t>
        </is>
      </c>
      <c r="G5" s="2339" t="inlineStr">
        <is>
          <t>Light Industrial</t>
        </is>
      </c>
      <c r="H5" s="2339" t="inlineStr">
        <is>
          <t>Distribution Warehouse</t>
        </is>
      </c>
      <c r="I5" s="2362" t="n">
        <v>1988</v>
      </c>
      <c r="J5" s="2362" t="n">
        <v>21000</v>
      </c>
      <c r="K5" s="2362" t="n">
        <v>2022</v>
      </c>
      <c r="L5" s="2363" t="n">
        <v>12.1901</v>
      </c>
      <c r="M5" s="2363" t="n">
        <v>0.1429</v>
      </c>
      <c r="N5" s="2363" t="n">
        <v>12.333</v>
      </c>
      <c r="O5" s="2363" t="n">
        <v>0.2512</v>
      </c>
      <c r="P5" s="2363" t="n">
        <v>0</v>
      </c>
      <c r="Q5" s="2363" t="n">
        <v>0.196</v>
      </c>
      <c r="R5" s="2363" t="n">
        <v>0.0291</v>
      </c>
      <c r="S5" s="2363" t="n">
        <v>0.1111</v>
      </c>
      <c r="T5" s="2363" t="n">
        <v>0</v>
      </c>
      <c r="U5" s="2363" t="n">
        <v>0</v>
      </c>
      <c r="V5" s="2363" t="n">
        <v>0</v>
      </c>
      <c r="W5" s="2363" t="n">
        <v>0.0371</v>
      </c>
      <c r="X5" s="2363" t="n">
        <v>0</v>
      </c>
      <c r="Y5" s="2363" t="n">
        <v>0.3733</v>
      </c>
      <c r="Z5" s="2363" t="n">
        <v>0.3954</v>
      </c>
      <c r="AA5" s="2363" t="n">
        <v>0.2038</v>
      </c>
      <c r="AB5" s="2363" t="n">
        <v>0</v>
      </c>
      <c r="AC5" s="2363" t="n">
        <v>0.5992</v>
      </c>
      <c r="AD5" s="2363" t="n">
        <v>0.1449</v>
      </c>
      <c r="AE5" s="2363" t="n">
        <v>0.0423</v>
      </c>
      <c r="AF5" s="2363" t="n">
        <v>0.1872</v>
      </c>
      <c r="AG5" s="2363" t="n">
        <v>0.0314</v>
      </c>
      <c r="AH5" s="2363" t="n">
        <v>1.4423</v>
      </c>
      <c r="AI5" s="2363" t="n">
        <v>3.1478</v>
      </c>
      <c r="AJ5" s="2363" t="n">
        <v>4.5902</v>
      </c>
      <c r="AK5" s="2363" t="n">
        <v>7.7428</v>
      </c>
      <c r="AL5" s="2363" t="n">
        <v>0.2758</v>
      </c>
      <c r="AM5" s="2364" t="inlineStr">
        <is>
          <t>2022: other income = damages $500 + misc $2,500; CapEx unit interior</t>
        </is>
      </c>
    </row>
    <row r="6" ht="14.1" customHeight="1" s="1449">
      <c r="A6" s="2358" t="inlineStr">
        <is>
          <t>P001</t>
        </is>
      </c>
      <c r="B6" s="2338" t="n">
        <v>407</v>
      </c>
      <c r="C6" s="2358" t="inlineStr">
        <is>
          <t>R0157664</t>
        </is>
      </c>
      <c r="D6" s="2358" t="inlineStr">
        <is>
          <t>6045 E. 76th Avenue</t>
        </is>
      </c>
      <c r="E6" s="2358" t="inlineStr">
        <is>
          <t>Commerce City</t>
        </is>
      </c>
      <c r="F6" s="2358" t="inlineStr">
        <is>
          <t>CO</t>
        </is>
      </c>
      <c r="G6" s="2358" t="inlineStr">
        <is>
          <t>Light Industrial</t>
        </is>
      </c>
      <c r="H6" s="2358" t="inlineStr">
        <is>
          <t>Distribution Warehouse</t>
        </is>
      </c>
      <c r="I6" s="2359" t="n">
        <v>1988</v>
      </c>
      <c r="J6" s="2359" t="n">
        <v>21000</v>
      </c>
      <c r="K6" s="2359" t="n">
        <v>2023</v>
      </c>
      <c r="L6" s="2360" t="n">
        <v>12.2</v>
      </c>
      <c r="M6" s="2360" t="n">
        <v>0</v>
      </c>
      <c r="N6" s="2360" t="n">
        <v>12.2</v>
      </c>
      <c r="O6" s="2360" t="n">
        <v>0.2794</v>
      </c>
      <c r="P6" s="2360" t="n">
        <v>0.0381</v>
      </c>
      <c r="Q6" s="2360" t="n">
        <v>0.0521</v>
      </c>
      <c r="R6" s="2360" t="n">
        <v>0.0471</v>
      </c>
      <c r="S6" s="2360" t="n">
        <v>0</v>
      </c>
      <c r="T6" s="2360" t="n">
        <v>0.1843</v>
      </c>
      <c r="U6" s="2360" t="n">
        <v>0.0229</v>
      </c>
      <c r="V6" s="2360" t="n">
        <v>0.0294</v>
      </c>
      <c r="W6" s="2360" t="n">
        <v>0</v>
      </c>
      <c r="X6" s="2360" t="n">
        <v>0.0229</v>
      </c>
      <c r="Y6" s="2360" t="n">
        <v>0.3587</v>
      </c>
      <c r="Z6" s="2360" t="n">
        <v>0.4553</v>
      </c>
      <c r="AA6" s="2360" t="n">
        <v>0.1048</v>
      </c>
      <c r="AB6" s="2360" t="n">
        <v>0.1333</v>
      </c>
      <c r="AC6" s="2360" t="n">
        <v>0.6934</v>
      </c>
      <c r="AD6" s="2360" t="n">
        <v>0.3387</v>
      </c>
      <c r="AE6" s="2360" t="n">
        <v>0.0362</v>
      </c>
      <c r="AF6" s="2360" t="n">
        <v>0.3749</v>
      </c>
      <c r="AG6" s="2360" t="n">
        <v>0.0285</v>
      </c>
      <c r="AH6" s="2360" t="n">
        <v>1.5216</v>
      </c>
      <c r="AI6" s="2360" t="n">
        <v>2.8565</v>
      </c>
      <c r="AJ6" s="2360" t="n">
        <v>4.378</v>
      </c>
      <c r="AK6" s="2360" t="n">
        <v>7.822</v>
      </c>
      <c r="AL6" s="2360" t="n">
        <v>0</v>
      </c>
      <c r="AM6" s="2361" t="n"/>
    </row>
    <row r="7" ht="14.1" customHeight="1" s="1449">
      <c r="A7" s="2339" t="inlineStr">
        <is>
          <t>P001</t>
        </is>
      </c>
      <c r="B7" s="2338" t="n">
        <v>407</v>
      </c>
      <c r="C7" s="2339" t="inlineStr">
        <is>
          <t>R0157664</t>
        </is>
      </c>
      <c r="D7" s="2339" t="inlineStr">
        <is>
          <t>6045 E. 76th Avenue</t>
        </is>
      </c>
      <c r="E7" s="2339" t="inlineStr">
        <is>
          <t>Commerce City</t>
        </is>
      </c>
      <c r="F7" s="2339" t="inlineStr">
        <is>
          <t>CO</t>
        </is>
      </c>
      <c r="G7" s="2339" t="inlineStr">
        <is>
          <t>Light Industrial</t>
        </is>
      </c>
      <c r="H7" s="2339" t="inlineStr">
        <is>
          <t>Distribution Warehouse</t>
        </is>
      </c>
      <c r="I7" s="2362" t="n">
        <v>1988</v>
      </c>
      <c r="J7" s="2362" t="n">
        <v>21000</v>
      </c>
      <c r="K7" s="2362" t="n">
        <v>2024</v>
      </c>
      <c r="L7" s="2363" t="n">
        <v>10.93</v>
      </c>
      <c r="M7" s="2363" t="n">
        <v>0</v>
      </c>
      <c r="N7" s="2363" t="n">
        <v>10.93</v>
      </c>
      <c r="O7" s="2363" t="n">
        <v>0.08740000000000001</v>
      </c>
      <c r="P7" s="2363" t="n">
        <v>0.07480000000000001</v>
      </c>
      <c r="Q7" s="2363" t="n">
        <v>0</v>
      </c>
      <c r="R7" s="2363" t="n">
        <v>0</v>
      </c>
      <c r="S7" s="2363" t="n">
        <v>0.381</v>
      </c>
      <c r="T7" s="2363" t="n">
        <v>0.3952</v>
      </c>
      <c r="U7" s="2363" t="n">
        <v>0</v>
      </c>
      <c r="V7" s="2363" t="n">
        <v>0.0083</v>
      </c>
      <c r="W7" s="2363" t="n">
        <v>0</v>
      </c>
      <c r="X7" s="2363" t="n">
        <v>0.039</v>
      </c>
      <c r="Y7" s="2363" t="n">
        <v>0.8236</v>
      </c>
      <c r="Z7" s="2363" t="n">
        <v>0.4048</v>
      </c>
      <c r="AA7" s="2363" t="n">
        <v>0.1595</v>
      </c>
      <c r="AB7" s="2363" t="n">
        <v>0.05</v>
      </c>
      <c r="AC7" s="2363" t="n">
        <v>0.6143</v>
      </c>
      <c r="AD7" s="2363" t="n">
        <v>0.1638</v>
      </c>
      <c r="AE7" s="2363" t="n">
        <v>0.0339</v>
      </c>
      <c r="AF7" s="2363" t="n">
        <v>0.1977</v>
      </c>
      <c r="AG7" s="2363" t="n">
        <v>0.0286</v>
      </c>
      <c r="AH7" s="2363" t="n">
        <v>1.8167</v>
      </c>
      <c r="AI7" s="2363" t="n">
        <v>3.3048</v>
      </c>
      <c r="AJ7" s="2363" t="n">
        <v>5.1216</v>
      </c>
      <c r="AK7" s="2363" t="n">
        <v>5.8085</v>
      </c>
      <c r="AL7" s="2363" t="n">
        <v>0</v>
      </c>
      <c r="AM7" s="2364" t="n"/>
    </row>
    <row r="8" ht="14.1" customHeight="1" s="1449">
      <c r="A8" s="2365" t="inlineStr">
        <is>
          <t>P002</t>
        </is>
      </c>
      <c r="B8" s="2338" t="n">
        <v>344</v>
      </c>
      <c r="C8" s="2365" t="inlineStr">
        <is>
          <t>Unknown</t>
        </is>
      </c>
      <c r="D8" s="2365" t="inlineStr">
        <is>
          <t>13659 E. 104th Ave</t>
        </is>
      </c>
      <c r="E8" s="2365" t="inlineStr">
        <is>
          <t>Adams County</t>
        </is>
      </c>
      <c r="F8" s="2365" t="inlineStr">
        <is>
          <t>CO</t>
        </is>
      </c>
      <c r="G8" s="2365" t="inlineStr">
        <is>
          <t>Office/Commercial</t>
        </is>
      </c>
      <c r="H8" s="2365" t="inlineStr">
        <is>
          <t>Multi-tenant</t>
        </is>
      </c>
      <c r="I8" s="2366" t="n"/>
      <c r="J8" s="2366" t="n"/>
      <c r="K8" s="2366" t="n">
        <v>2023</v>
      </c>
      <c r="L8" s="2365" t="n"/>
      <c r="M8" s="2365" t="n"/>
      <c r="N8" s="2367" t="n">
        <v>258808</v>
      </c>
      <c r="O8" s="2367" t="n">
        <v>3292</v>
      </c>
      <c r="P8" s="2367" t="n">
        <v>18539</v>
      </c>
      <c r="Q8" s="2365" t="n"/>
      <c r="R8" s="2365" t="n"/>
      <c r="S8" s="2365" t="n"/>
      <c r="T8" s="2365" t="n"/>
      <c r="U8" s="2365" t="n"/>
      <c r="V8" s="2365" t="n"/>
      <c r="W8" s="2365" t="n"/>
      <c r="X8" s="2367" t="n">
        <v>24750</v>
      </c>
      <c r="Y8" s="2367" t="n">
        <v>24750</v>
      </c>
      <c r="Z8" s="2365" t="n"/>
      <c r="AA8" s="2367" t="n">
        <v>13331</v>
      </c>
      <c r="AB8" s="2365" t="n"/>
      <c r="AC8" s="2367" t="n">
        <v>13331</v>
      </c>
      <c r="AD8" s="2365" t="n"/>
      <c r="AE8" s="2365" t="n"/>
      <c r="AF8" s="2367" t="n">
        <v>3990</v>
      </c>
      <c r="AG8" s="2367" t="n">
        <v>11264</v>
      </c>
      <c r="AH8" s="2367" t="n">
        <v>75327</v>
      </c>
      <c r="AI8" s="2367" t="n">
        <v>51707</v>
      </c>
      <c r="AJ8" s="2367" t="n">
        <v>127034</v>
      </c>
      <c r="AK8" s="2367" t="n">
        <v>131774</v>
      </c>
      <c r="AL8" s="2365" t="n"/>
      <c r="AM8" s="2368" t="inlineStr">
        <is>
          <t>[NO SF] Insurance: $3,292; Mgmt fee $13,242 + asset mgmt $5,297; Professional svcs $11,264; actuals from BAA operating statement</t>
        </is>
      </c>
    </row>
    <row r="9" ht="14.1" customHeight="1" s="1449">
      <c r="A9" s="2365" t="inlineStr">
        <is>
          <t>P002</t>
        </is>
      </c>
      <c r="B9" s="2338" t="n">
        <v>344</v>
      </c>
      <c r="C9" s="2365" t="inlineStr">
        <is>
          <t>Unknown</t>
        </is>
      </c>
      <c r="D9" s="2365" t="inlineStr">
        <is>
          <t>13659 E. 104th Ave</t>
        </is>
      </c>
      <c r="E9" s="2365" t="inlineStr">
        <is>
          <t>Adams County</t>
        </is>
      </c>
      <c r="F9" s="2365" t="inlineStr">
        <is>
          <t>CO</t>
        </is>
      </c>
      <c r="G9" s="2365" t="inlineStr">
        <is>
          <t>Office/Commercial</t>
        </is>
      </c>
      <c r="H9" s="2365" t="inlineStr">
        <is>
          <t>Multi-tenant</t>
        </is>
      </c>
      <c r="I9" s="2366" t="n"/>
      <c r="J9" s="2366" t="n"/>
      <c r="K9" s="2366" t="n">
        <v>2024</v>
      </c>
      <c r="L9" s="2365" t="n"/>
      <c r="M9" s="2365" t="n"/>
      <c r="N9" s="2367" t="n">
        <v>264959</v>
      </c>
      <c r="O9" s="2367" t="n">
        <v>7442</v>
      </c>
      <c r="P9" s="2367" t="n">
        <v>18228</v>
      </c>
      <c r="Q9" s="2365" t="n"/>
      <c r="R9" s="2365" t="n"/>
      <c r="S9" s="2365" t="n"/>
      <c r="T9" s="2365" t="n"/>
      <c r="U9" s="2365" t="n"/>
      <c r="V9" s="2365" t="n"/>
      <c r="W9" s="2365" t="n"/>
      <c r="X9" s="2367" t="n">
        <v>37394</v>
      </c>
      <c r="Y9" s="2367" t="n">
        <v>37394</v>
      </c>
      <c r="Z9" s="2365" t="n"/>
      <c r="AA9" s="2367" t="n">
        <v>11888</v>
      </c>
      <c r="AB9" s="2365" t="n"/>
      <c r="AC9" s="2367" t="n">
        <v>11888</v>
      </c>
      <c r="AD9" s="2365" t="n"/>
      <c r="AE9" s="2365" t="n"/>
      <c r="AF9" s="2367" t="n">
        <v>5290</v>
      </c>
      <c r="AG9" s="2367" t="n">
        <v>13341</v>
      </c>
      <c r="AH9" s="2367" t="n">
        <v>93583</v>
      </c>
      <c r="AI9" s="2367" t="n">
        <v>44649</v>
      </c>
      <c r="AJ9" s="2367" t="n">
        <v>138232</v>
      </c>
      <c r="AK9" s="2367" t="n">
        <v>126727</v>
      </c>
      <c r="AL9" s="2365" t="n"/>
      <c r="AM9" s="2368" t="inlineStr">
        <is>
          <t>[NO SF] Insurance $7,442; Mgmt fee $13,020 + asset mgmt $5,208; Prof svcs $13,341; Utilities: gas/elec $1,091 + water/sewer $4,199</t>
        </is>
      </c>
    </row>
    <row r="10" ht="14.1" customHeight="1" s="1449">
      <c r="A10" s="2365" t="inlineStr">
        <is>
          <t>P003</t>
        </is>
      </c>
      <c r="B10" s="2338" t="n">
        <v>344</v>
      </c>
      <c r="C10" s="2365" t="inlineStr">
        <is>
          <t>R0024063</t>
        </is>
      </c>
      <c r="D10" s="2365" t="inlineStr">
        <is>
          <t>Park Centre - Wells Fargo Bldg</t>
        </is>
      </c>
      <c r="E10" s="2365" t="inlineStr">
        <is>
          <t>Westminster</t>
        </is>
      </c>
      <c r="F10" s="2365" t="inlineStr">
        <is>
          <t>CO</t>
        </is>
      </c>
      <c r="G10" s="2365" t="inlineStr">
        <is>
          <t>Office</t>
        </is>
      </c>
      <c r="H10" s="2365" t="inlineStr">
        <is>
          <t>Class B Multi-tenant</t>
        </is>
      </c>
      <c r="I10" s="2366" t="n"/>
      <c r="J10" s="2366" t="n">
        <v>49479</v>
      </c>
      <c r="K10" s="2366" t="n">
        <v>2023</v>
      </c>
      <c r="L10" s="2369" t="n">
        <v>20.5729</v>
      </c>
      <c r="M10" s="2369" t="n">
        <v>1.8912</v>
      </c>
      <c r="N10" s="2369" t="n">
        <v>22.4641</v>
      </c>
      <c r="O10" s="2365" t="n"/>
      <c r="P10" s="2365" t="n"/>
      <c r="Q10" s="2365" t="n"/>
      <c r="R10" s="2365" t="n"/>
      <c r="S10" s="2365" t="n"/>
      <c r="T10" s="2365" t="n"/>
      <c r="U10" s="2365" t="n"/>
      <c r="V10" s="2365" t="n"/>
      <c r="W10" s="2365" t="n"/>
      <c r="X10" s="2365" t="n"/>
      <c r="Y10" s="2365" t="n"/>
      <c r="Z10" s="2365" t="n"/>
      <c r="AA10" s="2365" t="n"/>
      <c r="AB10" s="2365" t="n"/>
      <c r="AC10" s="2365" t="n"/>
      <c r="AD10" s="2365" t="n"/>
      <c r="AE10" s="2365" t="n"/>
      <c r="AF10" s="2365" t="n"/>
      <c r="AG10" s="2365" t="n"/>
      <c r="AH10" s="2369" t="n">
        <v>9.165100000000001</v>
      </c>
      <c r="AI10" s="2369" t="n">
        <v>3.7364</v>
      </c>
      <c r="AJ10" s="2369" t="n">
        <v>12.9015</v>
      </c>
      <c r="AK10" s="2369" t="n">
        <v>9.5626</v>
      </c>
      <c r="AL10" s="2365" t="n"/>
      <c r="AM10" s="2368" t="inlineStr">
        <is>
          <t>Westfield managed; recoveries $49,658 + other $43,917 = $93,575; OpEx BT per PROFORMA REVISED.xlsx</t>
        </is>
      </c>
    </row>
    <row r="11" ht="14.1" customHeight="1" s="1449">
      <c r="A11" s="2365" t="inlineStr">
        <is>
          <t>P003</t>
        </is>
      </c>
      <c r="B11" s="2338" t="n">
        <v>344</v>
      </c>
      <c r="C11" s="2365" t="inlineStr">
        <is>
          <t>R0024063</t>
        </is>
      </c>
      <c r="D11" s="2365" t="inlineStr">
        <is>
          <t>Park Centre - Wells Fargo Bldg</t>
        </is>
      </c>
      <c r="E11" s="2365" t="inlineStr">
        <is>
          <t>Westminster</t>
        </is>
      </c>
      <c r="F11" s="2365" t="inlineStr">
        <is>
          <t>CO</t>
        </is>
      </c>
      <c r="G11" s="2365" t="inlineStr">
        <is>
          <t>Office</t>
        </is>
      </c>
      <c r="H11" s="2365" t="inlineStr">
        <is>
          <t>Class B Multi-tenant</t>
        </is>
      </c>
      <c r="I11" s="2366" t="n"/>
      <c r="J11" s="2366" t="n">
        <v>49479</v>
      </c>
      <c r="K11" s="2366" t="n">
        <v>2024</v>
      </c>
      <c r="L11" s="2369" t="n">
        <v>19.0796</v>
      </c>
      <c r="M11" s="2369" t="n">
        <v>1.5757</v>
      </c>
      <c r="N11" s="2369" t="n">
        <v>20.6553</v>
      </c>
      <c r="O11" s="2365" t="n"/>
      <c r="P11" s="2365" t="n"/>
      <c r="Q11" s="2365" t="n"/>
      <c r="R11" s="2365" t="n"/>
      <c r="S11" s="2365" t="n"/>
      <c r="T11" s="2365" t="n"/>
      <c r="U11" s="2365" t="n"/>
      <c r="V11" s="2365" t="n"/>
      <c r="W11" s="2365" t="n"/>
      <c r="X11" s="2365" t="n"/>
      <c r="Y11" s="2365" t="n"/>
      <c r="Z11" s="2365" t="n"/>
      <c r="AA11" s="2365" t="n"/>
      <c r="AB11" s="2365" t="n"/>
      <c r="AC11" s="2365" t="n"/>
      <c r="AD11" s="2365" t="n"/>
      <c r="AE11" s="2365" t="n"/>
      <c r="AF11" s="2365" t="n"/>
      <c r="AG11" s="2365" t="n"/>
      <c r="AH11" s="2369" t="n">
        <v>9.867599999999999</v>
      </c>
      <c r="AI11" s="2369" t="n">
        <v>3.6292</v>
      </c>
      <c r="AJ11" s="2369" t="n">
        <v>13.4968</v>
      </c>
      <c r="AK11" s="2369" t="n">
        <v>7.1585</v>
      </c>
      <c r="AL11" s="2365" t="n"/>
      <c r="AM11" s="2368" t="inlineStr">
        <is>
          <t>Recoveries $21,696 + other $56,266; OpEx BT per PROFORMA REVISED.xlsx; NOI decline reflects higher vacancy</t>
        </is>
      </c>
    </row>
    <row r="12" ht="14.1" customHeight="1" s="1449">
      <c r="A12" s="2358" t="inlineStr">
        <is>
          <t>P004</t>
        </is>
      </c>
      <c r="B12" s="2338" t="n">
        <v>412</v>
      </c>
      <c r="C12" s="2358" t="inlineStr">
        <is>
          <t>R0050221</t>
        </is>
      </c>
      <c r="D12" s="2358" t="inlineStr">
        <is>
          <t>8860 Federal Blvd</t>
        </is>
      </c>
      <c r="E12" s="2358" t="inlineStr">
        <is>
          <t>Adams County</t>
        </is>
      </c>
      <c r="F12" s="2358" t="inlineStr">
        <is>
          <t>CO</t>
        </is>
      </c>
      <c r="G12" s="2358" t="inlineStr">
        <is>
          <t>Retail</t>
        </is>
      </c>
      <c r="H12" s="2358" t="inlineStr">
        <is>
          <t>Strip/Multi-tenant</t>
        </is>
      </c>
      <c r="I12" s="2359" t="n"/>
      <c r="J12" s="2359" t="n">
        <v>65850</v>
      </c>
      <c r="K12" s="2359" t="n">
        <v>2023</v>
      </c>
      <c r="L12" s="2358" t="n"/>
      <c r="M12" s="2358" t="n"/>
      <c r="N12" s="2360" t="n">
        <v>8.6678</v>
      </c>
      <c r="O12" s="2358" t="n"/>
      <c r="P12" s="2358" t="n"/>
      <c r="Q12" s="2358" t="n"/>
      <c r="R12" s="2358" t="n"/>
      <c r="S12" s="2358" t="n"/>
      <c r="T12" s="2358" t="n"/>
      <c r="U12" s="2358" t="n"/>
      <c r="V12" s="2358" t="n"/>
      <c r="W12" s="2358" t="n"/>
      <c r="X12" s="2358" t="n"/>
      <c r="Y12" s="2358" t="n"/>
      <c r="Z12" s="2358" t="n"/>
      <c r="AA12" s="2358" t="n"/>
      <c r="AB12" s="2358" t="n"/>
      <c r="AC12" s="2358" t="n"/>
      <c r="AD12" s="2358" t="n"/>
      <c r="AE12" s="2358" t="n"/>
      <c r="AF12" s="2358" t="n"/>
      <c r="AG12" s="2358" t="n"/>
      <c r="AH12" s="2358" t="n"/>
      <c r="AI12" s="2360" t="n">
        <v>1.1238</v>
      </c>
      <c r="AJ12" s="2360" t="n">
        <v>4.0992</v>
      </c>
      <c r="AK12" s="2360" t="n">
        <v>4.5686</v>
      </c>
      <c r="AL12" s="2358" t="n"/>
      <c r="AM12" s="2361" t="inlineStr">
        <is>
          <t>RE Tax estimated ~$74k (2023 not detailed); Total OpEx per actuals submission; NOI confirmed</t>
        </is>
      </c>
    </row>
    <row r="13" ht="14.1" customHeight="1" s="1449">
      <c r="A13" s="2339" t="inlineStr">
        <is>
          <t>P004</t>
        </is>
      </c>
      <c r="B13" s="2338" t="n">
        <v>412</v>
      </c>
      <c r="C13" s="2339" t="inlineStr">
        <is>
          <t>R0050221</t>
        </is>
      </c>
      <c r="D13" s="2339" t="inlineStr">
        <is>
          <t>8860 Federal Blvd</t>
        </is>
      </c>
      <c r="E13" s="2339" t="inlineStr">
        <is>
          <t>Adams County</t>
        </is>
      </c>
      <c r="F13" s="2339" t="inlineStr">
        <is>
          <t>CO</t>
        </is>
      </c>
      <c r="G13" s="2339" t="inlineStr">
        <is>
          <t>Retail</t>
        </is>
      </c>
      <c r="H13" s="2339" t="inlineStr">
        <is>
          <t>Strip/Multi-tenant</t>
        </is>
      </c>
      <c r="I13" s="2362" t="n"/>
      <c r="J13" s="2362" t="n">
        <v>65850</v>
      </c>
      <c r="K13" s="2362" t="n">
        <v>2024</v>
      </c>
      <c r="L13" s="2339" t="n"/>
      <c r="M13" s="2339" t="n"/>
      <c r="N13" s="2363" t="n">
        <v>8.926600000000001</v>
      </c>
      <c r="O13" s="2363" t="n">
        <v>0.7779</v>
      </c>
      <c r="P13" s="2339" t="n"/>
      <c r="Q13" s="2339" t="n"/>
      <c r="R13" s="2339" t="n"/>
      <c r="S13" s="2339" t="n"/>
      <c r="T13" s="2339" t="n"/>
      <c r="U13" s="2339" t="n"/>
      <c r="V13" s="2339" t="n"/>
      <c r="W13" s="2339" t="n"/>
      <c r="X13" s="2363" t="n">
        <v>0.4392</v>
      </c>
      <c r="Y13" s="2363" t="n">
        <v>0.4392</v>
      </c>
      <c r="Z13" s="2363" t="n">
        <v>0.2667</v>
      </c>
      <c r="AA13" s="2363" t="n">
        <v>0.0304</v>
      </c>
      <c r="AB13" s="2363" t="n">
        <v>0.0529</v>
      </c>
      <c r="AC13" s="2363" t="n">
        <v>0.35</v>
      </c>
      <c r="AD13" s="2363" t="n">
        <v>0.1958</v>
      </c>
      <c r="AE13" s="2363" t="n">
        <v>0.1081</v>
      </c>
      <c r="AF13" s="2363" t="n">
        <v>0.3039</v>
      </c>
      <c r="AG13" s="2363" t="n">
        <v>0.1667</v>
      </c>
      <c r="AH13" s="2363" t="n">
        <v>2.4196</v>
      </c>
      <c r="AI13" s="2363" t="n">
        <v>1.6016</v>
      </c>
      <c r="AJ13" s="2363" t="n">
        <v>4.0212</v>
      </c>
      <c r="AK13" s="2363" t="n">
        <v>4.9054</v>
      </c>
      <c r="AL13" s="2339" t="n"/>
      <c r="AM13" s="2364" t="inlineStr">
        <is>
          <t>Detailed 2024 actuals; R&amp;M includes CAM component $261; insurance unusually high at $51,223; drainage/lighting included in Other</t>
        </is>
      </c>
    </row>
    <row r="14" ht="14.1" customHeight="1" s="1449">
      <c r="A14" s="2365" t="inlineStr">
        <is>
          <t>P005</t>
        </is>
      </c>
      <c r="B14" s="2338" t="n">
        <v>344</v>
      </c>
      <c r="C14" s="2365" t="inlineStr">
        <is>
          <t>R0050977</t>
        </is>
      </c>
      <c r="D14" s="2365" t="inlineStr">
        <is>
          <t>9351 Grant St (Horizon Terrace)</t>
        </is>
      </c>
      <c r="E14" s="2365" t="inlineStr">
        <is>
          <t>Thornton</t>
        </is>
      </c>
      <c r="F14" s="2365" t="inlineStr">
        <is>
          <t>CO</t>
        </is>
      </c>
      <c r="G14" s="2365" t="inlineStr">
        <is>
          <t>Office</t>
        </is>
      </c>
      <c r="H14" s="2365" t="inlineStr">
        <is>
          <t>Class B Multi-story</t>
        </is>
      </c>
      <c r="I14" s="2366" t="n"/>
      <c r="J14" s="2366" t="n">
        <v>91646</v>
      </c>
      <c r="K14" s="2366" t="n">
        <v>2023</v>
      </c>
      <c r="L14" s="2369" t="n">
        <v>21.9536</v>
      </c>
      <c r="M14" s="2369" t="n">
        <v>2.4799</v>
      </c>
      <c r="N14" s="2369" t="n">
        <v>24.4335</v>
      </c>
      <c r="O14" s="2369" t="n">
        <v>0.2665</v>
      </c>
      <c r="P14" s="2369" t="n">
        <v>1.4405</v>
      </c>
      <c r="Q14" s="2365" t="n"/>
      <c r="R14" s="2365" t="n"/>
      <c r="S14" s="2365" t="n"/>
      <c r="T14" s="2365" t="n"/>
      <c r="U14" s="2365" t="n"/>
      <c r="V14" s="2365" t="n"/>
      <c r="W14" s="2365" t="n"/>
      <c r="X14" s="2369" t="n">
        <v>1.5772</v>
      </c>
      <c r="Y14" s="2369" t="n">
        <v>1.5772</v>
      </c>
      <c r="Z14" s="2365" t="n"/>
      <c r="AA14" s="2369" t="n">
        <v>1.1869</v>
      </c>
      <c r="AB14" s="2369" t="n">
        <v>0.7112000000000001</v>
      </c>
      <c r="AC14" s="2369" t="n">
        <v>2.9825</v>
      </c>
      <c r="AD14" s="2369" t="n">
        <v>0.1611</v>
      </c>
      <c r="AE14" s="2369" t="n">
        <v>2.4615</v>
      </c>
      <c r="AF14" s="2369" t="n">
        <v>2.6226</v>
      </c>
      <c r="AG14" s="2369" t="n">
        <v>0.3593</v>
      </c>
      <c r="AH14" s="2369" t="n">
        <v>9.229100000000001</v>
      </c>
      <c r="AI14" s="2369" t="n">
        <v>4.0592</v>
      </c>
      <c r="AJ14" s="2369" t="n">
        <v>13.2884</v>
      </c>
      <c r="AK14" s="2369" t="n">
        <v>11.1451</v>
      </c>
      <c r="AL14" s="2365" t="n"/>
      <c r="AM14" s="2368" t="inlineStr">
        <is>
          <t>Full-service office: janitorial $164,559 in contract total; security/life safety $29,726 in Other; landscape incl snow $65,183; 2023 actuals confirmed</t>
        </is>
      </c>
    </row>
    <row r="15" ht="14.1" customHeight="1" s="1449">
      <c r="A15" s="2365" t="inlineStr">
        <is>
          <t>P005</t>
        </is>
      </c>
      <c r="B15" s="2338" t="n">
        <v>344</v>
      </c>
      <c r="C15" s="2365" t="inlineStr">
        <is>
          <t>R0050977</t>
        </is>
      </c>
      <c r="D15" s="2365" t="inlineStr">
        <is>
          <t>9351 Grant St (Horizon Terrace)</t>
        </is>
      </c>
      <c r="E15" s="2365" t="inlineStr">
        <is>
          <t>Thornton</t>
        </is>
      </c>
      <c r="F15" s="2365" t="inlineStr">
        <is>
          <t>CO</t>
        </is>
      </c>
      <c r="G15" s="2365" t="inlineStr">
        <is>
          <t>Office</t>
        </is>
      </c>
      <c r="H15" s="2365" t="inlineStr">
        <is>
          <t>Class B Multi-story</t>
        </is>
      </c>
      <c r="I15" s="2366" t="n"/>
      <c r="J15" s="2366" t="n">
        <v>91646</v>
      </c>
      <c r="K15" s="2366" t="n">
        <v>2024</v>
      </c>
      <c r="L15" s="2369" t="n">
        <v>22.3966</v>
      </c>
      <c r="M15" s="2369" t="n">
        <v>2.9417</v>
      </c>
      <c r="N15" s="2369" t="n">
        <v>25.3383</v>
      </c>
      <c r="O15" s="2369" t="n">
        <v>0.2648</v>
      </c>
      <c r="P15" s="2369" t="n">
        <v>1.6305</v>
      </c>
      <c r="Q15" s="2365" t="n"/>
      <c r="R15" s="2365" t="n"/>
      <c r="S15" s="2365" t="n"/>
      <c r="T15" s="2365" t="n"/>
      <c r="U15" s="2365" t="n"/>
      <c r="V15" s="2365" t="n"/>
      <c r="W15" s="2365" t="n"/>
      <c r="X15" s="2369" t="n">
        <v>1.6418</v>
      </c>
      <c r="Y15" s="2369" t="n">
        <v>1.6418</v>
      </c>
      <c r="Z15" s="2365" t="n"/>
      <c r="AA15" s="2369" t="n">
        <v>1.1913</v>
      </c>
      <c r="AB15" s="2365" t="n"/>
      <c r="AC15" s="2369" t="n">
        <v>2.8658</v>
      </c>
      <c r="AD15" s="2365" t="n"/>
      <c r="AE15" s="2365" t="n"/>
      <c r="AF15" s="2369" t="n">
        <v>2.5334</v>
      </c>
      <c r="AG15" s="2369" t="n">
        <v>0.4083</v>
      </c>
      <c r="AH15" s="2369" t="n">
        <v>9.3445</v>
      </c>
      <c r="AI15" s="2369" t="n">
        <v>4.5128</v>
      </c>
      <c r="AJ15" s="2369" t="n">
        <v>13.8574</v>
      </c>
      <c r="AK15" s="2369" t="n">
        <v>11.4809</v>
      </c>
      <c r="AL15" s="2365" t="n"/>
      <c r="AM15" s="2368" t="inlineStr">
        <is>
          <t>2024 actuals; janitorial $153,462 in contract total; security $32,603 in Other; sales/use tax $4,813 in Other</t>
        </is>
      </c>
    </row>
    <row r="16" ht="14.1" customHeight="1" s="1449">
      <c r="A16" s="2365" t="inlineStr">
        <is>
          <t>P006</t>
        </is>
      </c>
      <c r="B16" s="2338" t="n">
        <v>210</v>
      </c>
      <c r="C16" s="2365" t="inlineStr">
        <is>
          <t>R0062937</t>
        </is>
      </c>
      <c r="D16" s="2365" t="inlineStr">
        <is>
          <t>8670 Wolff Ct (Sheridan Park 8)</t>
        </is>
      </c>
      <c r="E16" s="2365" t="inlineStr">
        <is>
          <t>Westminster</t>
        </is>
      </c>
      <c r="F16" s="2365" t="inlineStr">
        <is>
          <t>CO</t>
        </is>
      </c>
      <c r="G16" s="2365" t="inlineStr">
        <is>
          <t>Office/Flex</t>
        </is>
      </c>
      <c r="H16" s="2365" t="inlineStr">
        <is>
          <t>Multi-tenant</t>
        </is>
      </c>
      <c r="I16" s="2366" t="n"/>
      <c r="J16" s="2366" t="n">
        <v>37078</v>
      </c>
      <c r="K16" s="2366" t="n">
        <v>2020</v>
      </c>
      <c r="L16" s="2365" t="n"/>
      <c r="M16" s="2365" t="n"/>
      <c r="N16" s="2365" t="n"/>
      <c r="O16" s="2369" t="n">
        <v>0.1558</v>
      </c>
      <c r="P16" s="2369" t="n">
        <v>0.5259</v>
      </c>
      <c r="Q16" s="2365" t="n"/>
      <c r="R16" s="2365" t="n"/>
      <c r="S16" s="2365" t="n"/>
      <c r="T16" s="2365" t="n"/>
      <c r="U16" s="2365" t="n"/>
      <c r="V16" s="2365" t="n"/>
      <c r="W16" s="2365" t="n"/>
      <c r="X16" s="2365" t="n"/>
      <c r="Y16" s="2365" t="n"/>
      <c r="Z16" s="2365" t="n"/>
      <c r="AA16" s="2365" t="n"/>
      <c r="AB16" s="2365" t="n"/>
      <c r="AC16" s="2369" t="n">
        <v>3.6056</v>
      </c>
      <c r="AD16" s="2365" t="n"/>
      <c r="AE16" s="2365" t="n"/>
      <c r="AF16" s="2369" t="n">
        <v>3.1372</v>
      </c>
      <c r="AG16" s="2365" t="n"/>
      <c r="AH16" s="2369" t="n">
        <v>7.4245</v>
      </c>
      <c r="AI16" s="2369" t="n">
        <v>2.3924</v>
      </c>
      <c r="AJ16" s="2369" t="n">
        <v>9.8169</v>
      </c>
      <c r="AK16" s="2365" t="n"/>
      <c r="AL16" s="2365" t="n"/>
      <c r="AM16" s="2368" t="inlineStr">
        <is>
          <t>Income not available; expense-only from DYCO CAM history; CAM in contract total</t>
        </is>
      </c>
    </row>
    <row r="17" ht="14.1" customHeight="1" s="1449">
      <c r="A17" s="2365" t="inlineStr">
        <is>
          <t>P006</t>
        </is>
      </c>
      <c r="B17" s="2338" t="n">
        <v>210</v>
      </c>
      <c r="C17" s="2365" t="inlineStr">
        <is>
          <t>R0062937</t>
        </is>
      </c>
      <c r="D17" s="2365" t="inlineStr">
        <is>
          <t>8670 Wolff Ct (Sheridan Park 8)</t>
        </is>
      </c>
      <c r="E17" s="2365" t="inlineStr">
        <is>
          <t>Westminster</t>
        </is>
      </c>
      <c r="F17" s="2365" t="inlineStr">
        <is>
          <t>CO</t>
        </is>
      </c>
      <c r="G17" s="2365" t="inlineStr">
        <is>
          <t>Office/Flex</t>
        </is>
      </c>
      <c r="H17" s="2365" t="inlineStr">
        <is>
          <t>Multi-tenant</t>
        </is>
      </c>
      <c r="I17" s="2366" t="n"/>
      <c r="J17" s="2366" t="n">
        <v>37078</v>
      </c>
      <c r="K17" s="2366" t="n">
        <v>2021</v>
      </c>
      <c r="L17" s="2365" t="n"/>
      <c r="M17" s="2365" t="n"/>
      <c r="N17" s="2365" t="n"/>
      <c r="O17" s="2369" t="n">
        <v>0.1841</v>
      </c>
      <c r="P17" s="2369" t="n">
        <v>0.4855</v>
      </c>
      <c r="Q17" s="2365" t="n"/>
      <c r="R17" s="2365" t="n"/>
      <c r="S17" s="2365" t="n"/>
      <c r="T17" s="2365" t="n"/>
      <c r="U17" s="2365" t="n"/>
      <c r="V17" s="2365" t="n"/>
      <c r="W17" s="2365" t="n"/>
      <c r="X17" s="2365" t="n"/>
      <c r="Y17" s="2365" t="n"/>
      <c r="Z17" s="2365" t="n"/>
      <c r="AA17" s="2365" t="n"/>
      <c r="AB17" s="2365" t="n"/>
      <c r="AC17" s="2369" t="n">
        <v>2.8189</v>
      </c>
      <c r="AD17" s="2365" t="n"/>
      <c r="AE17" s="2365" t="n"/>
      <c r="AF17" s="2369" t="n">
        <v>2.9359</v>
      </c>
      <c r="AG17" s="2365" t="n"/>
      <c r="AH17" s="2369" t="n">
        <v>6.4243</v>
      </c>
      <c r="AI17" s="2369" t="n">
        <v>2.2709</v>
      </c>
      <c r="AJ17" s="2369" t="n">
        <v>8.6952</v>
      </c>
      <c r="AK17" s="2365" t="n"/>
      <c r="AL17" s="2365" t="n"/>
      <c r="AM17" s="2368" t="inlineStr">
        <is>
          <t>Income not available; expense-only from DYCO CAM history</t>
        </is>
      </c>
    </row>
    <row r="18" ht="14.1" customHeight="1" s="1449">
      <c r="A18" s="2365" t="inlineStr">
        <is>
          <t>P006</t>
        </is>
      </c>
      <c r="B18" s="2338" t="n">
        <v>210</v>
      </c>
      <c r="C18" s="2365" t="inlineStr">
        <is>
          <t>R0062937</t>
        </is>
      </c>
      <c r="D18" s="2365" t="inlineStr">
        <is>
          <t>8670 Wolff Ct (Sheridan Park 8)</t>
        </is>
      </c>
      <c r="E18" s="2365" t="inlineStr">
        <is>
          <t>Westminster</t>
        </is>
      </c>
      <c r="F18" s="2365" t="inlineStr">
        <is>
          <t>CO</t>
        </is>
      </c>
      <c r="G18" s="2365" t="inlineStr">
        <is>
          <t>Office/Flex</t>
        </is>
      </c>
      <c r="H18" s="2365" t="inlineStr">
        <is>
          <t>Multi-tenant</t>
        </is>
      </c>
      <c r="I18" s="2366" t="n"/>
      <c r="J18" s="2366" t="n">
        <v>37078</v>
      </c>
      <c r="K18" s="2366" t="n">
        <v>2022</v>
      </c>
      <c r="L18" s="2365" t="n"/>
      <c r="M18" s="2365" t="n"/>
      <c r="N18" s="2365" t="n"/>
      <c r="O18" s="2369" t="n">
        <v>0.2122</v>
      </c>
      <c r="P18" s="2369" t="n">
        <v>0.5651</v>
      </c>
      <c r="Q18" s="2365" t="n"/>
      <c r="R18" s="2365" t="n"/>
      <c r="S18" s="2365" t="n"/>
      <c r="T18" s="2365" t="n"/>
      <c r="U18" s="2365" t="n"/>
      <c r="V18" s="2365" t="n"/>
      <c r="W18" s="2365" t="n"/>
      <c r="X18" s="2365" t="n"/>
      <c r="Y18" s="2365" t="n"/>
      <c r="Z18" s="2365" t="n"/>
      <c r="AA18" s="2365" t="n"/>
      <c r="AB18" s="2365" t="n"/>
      <c r="AC18" s="2369" t="n">
        <v>3.0261</v>
      </c>
      <c r="AD18" s="2365" t="n"/>
      <c r="AE18" s="2365" t="n"/>
      <c r="AF18" s="2369" t="n">
        <v>3.0198</v>
      </c>
      <c r="AG18" s="2365" t="n"/>
      <c r="AH18" s="2369" t="n">
        <v>6.8231</v>
      </c>
      <c r="AI18" s="2369" t="n">
        <v>3.6987</v>
      </c>
      <c r="AJ18" s="2369" t="n">
        <v>10.5219</v>
      </c>
      <c r="AK18" s="2365" t="n"/>
      <c r="AL18" s="2365" t="n"/>
      <c r="AM18" s="2368" t="inlineStr">
        <is>
          <t>Income not available; expense-only from DYCO CAM history; RE Tax jumped from $84k to $137k (reval year)</t>
        </is>
      </c>
    </row>
    <row r="19" ht="14.1" customHeight="1" s="1449">
      <c r="A19" s="2365" t="inlineStr">
        <is>
          <t>P006</t>
        </is>
      </c>
      <c r="B19" s="2338" t="n">
        <v>210</v>
      </c>
      <c r="C19" s="2365" t="inlineStr">
        <is>
          <t>R0062937</t>
        </is>
      </c>
      <c r="D19" s="2365" t="inlineStr">
        <is>
          <t>8670 Wolff Ct (Sheridan Park 8)</t>
        </is>
      </c>
      <c r="E19" s="2365" t="inlineStr">
        <is>
          <t>Westminster</t>
        </is>
      </c>
      <c r="F19" s="2365" t="inlineStr">
        <is>
          <t>CO</t>
        </is>
      </c>
      <c r="G19" s="2365" t="inlineStr">
        <is>
          <t>Office/Flex</t>
        </is>
      </c>
      <c r="H19" s="2365" t="inlineStr">
        <is>
          <t>Multi-tenant</t>
        </is>
      </c>
      <c r="I19" s="2366" t="n"/>
      <c r="J19" s="2366" t="n">
        <v>37078</v>
      </c>
      <c r="K19" s="2366" t="n">
        <v>2023</v>
      </c>
      <c r="L19" s="2365" t="n"/>
      <c r="M19" s="2365" t="n"/>
      <c r="N19" s="2365" t="n"/>
      <c r="O19" s="2369" t="n">
        <v>0.2334</v>
      </c>
      <c r="P19" s="2369" t="n">
        <v>0.4855</v>
      </c>
      <c r="Q19" s="2365" t="n"/>
      <c r="R19" s="2365" t="n"/>
      <c r="S19" s="2365" t="n"/>
      <c r="T19" s="2365" t="n"/>
      <c r="U19" s="2365" t="n"/>
      <c r="V19" s="2365" t="n"/>
      <c r="W19" s="2365" t="n"/>
      <c r="X19" s="2365" t="n"/>
      <c r="Y19" s="2365" t="n"/>
      <c r="Z19" s="2365" t="n"/>
      <c r="AA19" s="2365" t="n"/>
      <c r="AB19" s="2365" t="n"/>
      <c r="AC19" s="2369" t="n">
        <v>3.1419</v>
      </c>
      <c r="AD19" s="2365" t="n"/>
      <c r="AE19" s="2365" t="n"/>
      <c r="AF19" s="2369" t="n">
        <v>3.018</v>
      </c>
      <c r="AG19" s="2365" t="n"/>
      <c r="AH19" s="2369" t="n">
        <v>6.8788</v>
      </c>
      <c r="AI19" s="2369" t="n">
        <v>3.554</v>
      </c>
      <c r="AJ19" s="2369" t="n">
        <v>10.4328</v>
      </c>
      <c r="AK19" s="2365" t="n"/>
      <c r="AL19" s="2365" t="n"/>
      <c r="AM19" s="2368" t="inlineStr">
        <is>
          <t>Income not available; 2023 YTD annualized per DYCO</t>
        </is>
      </c>
    </row>
    <row r="20" ht="14.1" customHeight="1" s="1449">
      <c r="A20" s="2365" t="inlineStr">
        <is>
          <t>P006</t>
        </is>
      </c>
      <c r="B20" s="2338" t="n">
        <v>210</v>
      </c>
      <c r="C20" s="2365" t="inlineStr">
        <is>
          <t>R0062937</t>
        </is>
      </c>
      <c r="D20" s="2365" t="inlineStr">
        <is>
          <t>8670 Wolff Ct (Sheridan Park 8)</t>
        </is>
      </c>
      <c r="E20" s="2365" t="inlineStr">
        <is>
          <t>Westminster</t>
        </is>
      </c>
      <c r="F20" s="2365" t="inlineStr">
        <is>
          <t>CO</t>
        </is>
      </c>
      <c r="G20" s="2365" t="inlineStr">
        <is>
          <t>Office/Flex</t>
        </is>
      </c>
      <c r="H20" s="2365" t="inlineStr">
        <is>
          <t>Multi-tenant</t>
        </is>
      </c>
      <c r="I20" s="2366" t="n"/>
      <c r="J20" s="2366" t="n">
        <v>37078</v>
      </c>
      <c r="K20" s="2366" t="n">
        <v>2024</v>
      </c>
      <c r="L20" s="2365" t="n"/>
      <c r="M20" s="2365" t="n"/>
      <c r="N20" s="2365" t="n"/>
      <c r="O20" s="2369" t="n">
        <v>0.2334</v>
      </c>
      <c r="P20" s="2369" t="n">
        <v>0.5826</v>
      </c>
      <c r="Q20" s="2365" t="n"/>
      <c r="R20" s="2365" t="n"/>
      <c r="S20" s="2365" t="n"/>
      <c r="T20" s="2365" t="n"/>
      <c r="U20" s="2365" t="n"/>
      <c r="V20" s="2365" t="n"/>
      <c r="W20" s="2365" t="n"/>
      <c r="X20" s="2365" t="n"/>
      <c r="Y20" s="2365" t="n"/>
      <c r="Z20" s="2365" t="n"/>
      <c r="AA20" s="2365" t="n"/>
      <c r="AB20" s="2365" t="n"/>
      <c r="AC20" s="2369" t="n">
        <v>3.7703</v>
      </c>
      <c r="AD20" s="2365" t="n"/>
      <c r="AE20" s="2365" t="n"/>
      <c r="AF20" s="2369" t="n">
        <v>3.6217</v>
      </c>
      <c r="AG20" s="2365" t="n"/>
      <c r="AH20" s="2369" t="n">
        <v>8.2079</v>
      </c>
      <c r="AI20" s="2369" t="n">
        <v>3.554</v>
      </c>
      <c r="AJ20" s="2369" t="n">
        <v>11.7619</v>
      </c>
      <c r="AK20" s="2365" t="n"/>
      <c r="AL20" s="2365" t="n"/>
      <c r="AM20" s="2368" t="inlineStr">
        <is>
          <t>Income not available; 2024 actuals per DYCO CAM history</t>
        </is>
      </c>
    </row>
    <row r="21" ht="14.1" customHeight="1" s="1449">
      <c r="A21" s="2365" t="inlineStr">
        <is>
          <t>P007</t>
        </is>
      </c>
      <c r="B21" s="2338" t="n">
        <v>341</v>
      </c>
      <c r="C21" s="2365" t="inlineStr">
        <is>
          <t>R0062944</t>
        </is>
      </c>
      <c r="D21" s="2365" t="inlineStr">
        <is>
          <t>8787 (medical office complex)</t>
        </is>
      </c>
      <c r="E21" s="2365" t="inlineStr">
        <is>
          <t>Adams County</t>
        </is>
      </c>
      <c r="F21" s="2365" t="inlineStr">
        <is>
          <t>CO</t>
        </is>
      </c>
      <c r="G21" s="2365" t="inlineStr">
        <is>
          <t>Medical Office</t>
        </is>
      </c>
      <c r="H21" s="2365" t="inlineStr">
        <is>
          <t>Multi-tenant</t>
        </is>
      </c>
      <c r="I21" s="2366" t="n"/>
      <c r="J21" s="2366" t="n">
        <v>19430</v>
      </c>
      <c r="K21" s="2366" t="n">
        <v>2023</v>
      </c>
      <c r="L21" s="2365" t="n"/>
      <c r="M21" s="2365" t="n"/>
      <c r="N21" s="2369" t="n">
        <v>20.2681</v>
      </c>
      <c r="O21" s="2369" t="n">
        <v>0.4882</v>
      </c>
      <c r="P21" s="2369" t="n">
        <v>0.525</v>
      </c>
      <c r="Q21" s="2365" t="n"/>
      <c r="R21" s="2365" t="n"/>
      <c r="S21" s="2365" t="n"/>
      <c r="T21" s="2365" t="n"/>
      <c r="U21" s="2369" t="n">
        <v>1.1125</v>
      </c>
      <c r="V21" s="2365" t="n"/>
      <c r="W21" s="2365" t="n"/>
      <c r="X21" s="2369" t="n">
        <v>1.365</v>
      </c>
      <c r="Y21" s="2369" t="n">
        <v>1.365</v>
      </c>
      <c r="Z21" s="2369" t="n">
        <v>0.1046</v>
      </c>
      <c r="AA21" s="2369" t="n">
        <v>0.6014</v>
      </c>
      <c r="AB21" s="2369" t="n">
        <v>0.3262</v>
      </c>
      <c r="AC21" s="2369" t="n">
        <v>1.0322</v>
      </c>
      <c r="AD21" s="2369" t="n">
        <v>0.3942</v>
      </c>
      <c r="AE21" s="2369" t="n">
        <v>1.9391</v>
      </c>
      <c r="AF21" s="2369" t="n">
        <v>2.3333</v>
      </c>
      <c r="AG21" s="2369" t="n">
        <v>0.9338</v>
      </c>
      <c r="AH21" s="2369" t="n">
        <v>7.7898</v>
      </c>
      <c r="AI21" s="2369" t="n">
        <v>2.7482</v>
      </c>
      <c r="AJ21" s="2369" t="n">
        <v>10.5379</v>
      </c>
      <c r="AK21" s="2369" t="n">
        <v>9.7302</v>
      </c>
      <c r="AL21" s="2365" t="n"/>
      <c r="AM21" s="2368" t="inlineStr">
        <is>
          <t>HVAC maint $21,615 included in R&amp;M; janitorial $16,418 in Other; professional svcs $1,726 in Other; 2023 actuals</t>
        </is>
      </c>
    </row>
    <row r="22" ht="14.1" customHeight="1" s="1449">
      <c r="A22" s="2365" t="inlineStr">
        <is>
          <t>P007</t>
        </is>
      </c>
      <c r="B22" s="2338" t="n">
        <v>341</v>
      </c>
      <c r="C22" s="2365" t="inlineStr">
        <is>
          <t>R0062944</t>
        </is>
      </c>
      <c r="D22" s="2365" t="inlineStr">
        <is>
          <t>8787 (medical office complex)</t>
        </is>
      </c>
      <c r="E22" s="2365" t="inlineStr">
        <is>
          <t>Adams County</t>
        </is>
      </c>
      <c r="F22" s="2365" t="inlineStr">
        <is>
          <t>CO</t>
        </is>
      </c>
      <c r="G22" s="2365" t="inlineStr">
        <is>
          <t>Medical Office</t>
        </is>
      </c>
      <c r="H22" s="2365" t="inlineStr">
        <is>
          <t>Multi-tenant</t>
        </is>
      </c>
      <c r="I22" s="2366" t="n"/>
      <c r="J22" s="2366" t="n">
        <v>19430</v>
      </c>
      <c r="K22" s="2366" t="n">
        <v>2024</v>
      </c>
      <c r="L22" s="2365" t="n"/>
      <c r="M22" s="2365" t="n"/>
      <c r="N22" s="2369" t="n">
        <v>20.0976</v>
      </c>
      <c r="O22" s="2369" t="n">
        <v>0.7185</v>
      </c>
      <c r="P22" s="2369" t="n">
        <v>1.9878</v>
      </c>
      <c r="Q22" s="2365" t="n"/>
      <c r="R22" s="2365" t="n"/>
      <c r="S22" s="2365" t="n"/>
      <c r="T22" s="2365" t="n"/>
      <c r="U22" s="2369" t="n">
        <v>0.6725</v>
      </c>
      <c r="V22" s="2365" t="n"/>
      <c r="W22" s="2365" t="n"/>
      <c r="X22" s="2369" t="n">
        <v>1.3296</v>
      </c>
      <c r="Y22" s="2369" t="n">
        <v>1.3296</v>
      </c>
      <c r="Z22" s="2369" t="n">
        <v>0.1008</v>
      </c>
      <c r="AA22" s="2369" t="n">
        <v>0.8078</v>
      </c>
      <c r="AB22" s="2369" t="n">
        <v>0.3029</v>
      </c>
      <c r="AC22" s="2369" t="n">
        <v>1.2115</v>
      </c>
      <c r="AD22" s="2369" t="n">
        <v>0.3305</v>
      </c>
      <c r="AE22" s="2369" t="n">
        <v>1.7022</v>
      </c>
      <c r="AF22" s="2369" t="n">
        <v>2.0327</v>
      </c>
      <c r="AG22" s="2369" t="n">
        <v>0.8246</v>
      </c>
      <c r="AH22" s="2369" t="n">
        <v>8.777100000000001</v>
      </c>
      <c r="AI22" s="2369" t="n">
        <v>3.2527</v>
      </c>
      <c r="AJ22" s="2369" t="n">
        <v>12.0299</v>
      </c>
      <c r="AK22" s="2369" t="n">
        <v>8.0678</v>
      </c>
      <c r="AL22" s="2365" t="n"/>
      <c r="AM22" s="2368" t="inlineStr">
        <is>
          <t>Mgmt = CAM portion $10,600 + non-CAM $28,022; janitorial $16,022 in Other; HVAC $13,067 in R&amp;M; 2024 actuals</t>
        </is>
      </c>
    </row>
    <row r="23" ht="14.1" customHeight="1" s="1449">
      <c r="A23" s="2339" t="inlineStr">
        <is>
          <t>P008</t>
        </is>
      </c>
      <c r="B23" s="2338" t="n">
        <v>210</v>
      </c>
      <c r="C23" s="2339" t="inlineStr">
        <is>
          <t>R0070622</t>
        </is>
      </c>
      <c r="D23" s="2339" t="inlineStr">
        <is>
          <t>460-550 E. 76th Ave (WPC Corporate)</t>
        </is>
      </c>
      <c r="E23" s="2339" t="inlineStr">
        <is>
          <t>Adams County</t>
        </is>
      </c>
      <c r="F23" s="2339" t="inlineStr">
        <is>
          <t>CO</t>
        </is>
      </c>
      <c r="G23" s="2339" t="inlineStr">
        <is>
          <t>Industrial</t>
        </is>
      </c>
      <c r="H23" s="2339" t="inlineStr">
        <is>
          <t>Distribution/Flex Multi-tenant</t>
        </is>
      </c>
      <c r="I23" s="2362" t="n"/>
      <c r="J23" s="2362" t="n">
        <v>330935</v>
      </c>
      <c r="K23" s="2362" t="n">
        <v>2024</v>
      </c>
      <c r="L23" s="2339" t="n"/>
      <c r="M23" s="2339" t="n"/>
      <c r="N23" s="2363" t="n">
        <v>8.311400000000001</v>
      </c>
      <c r="O23" s="2339" t="n"/>
      <c r="P23" s="2339" t="n"/>
      <c r="Q23" s="2339" t="n"/>
      <c r="R23" s="2339" t="n"/>
      <c r="S23" s="2339" t="n"/>
      <c r="T23" s="2339" t="n"/>
      <c r="U23" s="2339" t="n"/>
      <c r="V23" s="2339" t="n"/>
      <c r="W23" s="2339" t="n"/>
      <c r="X23" s="2339" t="n"/>
      <c r="Y23" s="2339" t="n"/>
      <c r="Z23" s="2339" t="n"/>
      <c r="AA23" s="2339" t="n"/>
      <c r="AB23" s="2339" t="n"/>
      <c r="AC23" s="2339" t="n"/>
      <c r="AD23" s="2339" t="n"/>
      <c r="AE23" s="2339" t="n"/>
      <c r="AF23" s="2339" t="n"/>
      <c r="AG23" s="2339" t="n"/>
      <c r="AH23" s="2339" t="n"/>
      <c r="AI23" s="2339" t="n"/>
      <c r="AJ23" s="2363" t="n">
        <v>4.0444</v>
      </c>
      <c r="AK23" s="2363" t="n">
        <v>4.267</v>
      </c>
      <c r="AL23" s="2339" t="n"/>
      <c r="AM23" s="2364" t="inlineStr">
        <is>
          <t>2024 only; total OPX derived (EGI - NOI); limited line-item detail from scanned actuals; large multi-tenant industrial complex</t>
        </is>
      </c>
    </row>
    <row r="24" ht="14.1" customHeight="1" s="1449">
      <c r="A24" s="2358" t="inlineStr">
        <is>
          <t>P009</t>
        </is>
      </c>
      <c r="B24" s="2338" t="n">
        <v>407</v>
      </c>
      <c r="C24" s="2358" t="inlineStr">
        <is>
          <t>R0075212</t>
        </is>
      </c>
      <c r="D24" s="2358" t="inlineStr">
        <is>
          <t>10500 Havana Court</t>
        </is>
      </c>
      <c r="E24" s="2358" t="inlineStr">
        <is>
          <t>Adams County</t>
        </is>
      </c>
      <c r="F24" s="2358" t="inlineStr">
        <is>
          <t>CO</t>
        </is>
      </c>
      <c r="G24" s="2358" t="inlineStr">
        <is>
          <t>Industrial</t>
        </is>
      </c>
      <c r="H24" s="2358" t="inlineStr">
        <is>
          <t>NNN Single-tenant</t>
        </is>
      </c>
      <c r="I24" s="2359" t="n"/>
      <c r="J24" s="2359" t="n"/>
      <c r="K24" s="2359" t="n">
        <v>2023</v>
      </c>
      <c r="L24" s="2358" t="n"/>
      <c r="M24" s="2358" t="n"/>
      <c r="N24" s="2370" t="n">
        <v>332759</v>
      </c>
      <c r="O24" s="2370" t="n">
        <v>22784</v>
      </c>
      <c r="P24" s="2370" t="n">
        <v>4000</v>
      </c>
      <c r="Q24" s="2358" t="n"/>
      <c r="R24" s="2358" t="n"/>
      <c r="S24" s="2358" t="n"/>
      <c r="T24" s="2358" t="n"/>
      <c r="U24" s="2358" t="n"/>
      <c r="V24" s="2358" t="n"/>
      <c r="W24" s="2358" t="n"/>
      <c r="X24" s="2370" t="n">
        <v>12804</v>
      </c>
      <c r="Y24" s="2370" t="n">
        <v>12804</v>
      </c>
      <c r="Z24" s="2358" t="n"/>
      <c r="AA24" s="2370" t="n">
        <v>6910</v>
      </c>
      <c r="AB24" s="2370" t="n">
        <v>1800</v>
      </c>
      <c r="AC24" s="2370" t="n">
        <v>8710</v>
      </c>
      <c r="AD24" s="2370" t="n">
        <v>2209</v>
      </c>
      <c r="AE24" s="2370" t="n">
        <v>1956</v>
      </c>
      <c r="AF24" s="2370" t="n">
        <v>4165</v>
      </c>
      <c r="AG24" s="2370" t="n">
        <v>8397</v>
      </c>
      <c r="AH24" s="2370" t="n">
        <v>127005</v>
      </c>
      <c r="AI24" s="2370" t="n">
        <v>60552</v>
      </c>
      <c r="AJ24" s="2370" t="n">
        <v>187557</v>
      </c>
      <c r="AK24" s="2370" t="n">
        <v>265550</v>
      </c>
      <c r="AL24" s="2358" t="n"/>
      <c r="AM24" s="2361" t="inlineStr">
        <is>
          <t>[NO SF] NNN; P&amp;L excludes depreciation ($68,209) and mortgage interest ($60,714) from NOI calc; acctg/legal/bank/dues in Other; 2023 actuals</t>
        </is>
      </c>
    </row>
    <row r="25" ht="14.1" customHeight="1" s="1449">
      <c r="A25" s="2339" t="inlineStr">
        <is>
          <t>P009</t>
        </is>
      </c>
      <c r="B25" s="2338" t="n">
        <v>407</v>
      </c>
      <c r="C25" s="2339" t="inlineStr">
        <is>
          <t>R0075212</t>
        </is>
      </c>
      <c r="D25" s="2339" t="inlineStr">
        <is>
          <t>10500 Havana Court</t>
        </is>
      </c>
      <c r="E25" s="2339" t="inlineStr">
        <is>
          <t>Adams County</t>
        </is>
      </c>
      <c r="F25" s="2339" t="inlineStr">
        <is>
          <t>CO</t>
        </is>
      </c>
      <c r="G25" s="2339" t="inlineStr">
        <is>
          <t>Industrial</t>
        </is>
      </c>
      <c r="H25" s="2339" t="inlineStr">
        <is>
          <t>NNN Single-tenant</t>
        </is>
      </c>
      <c r="I25" s="2362" t="n"/>
      <c r="J25" s="2362" t="n"/>
      <c r="K25" s="2362" t="n">
        <v>2024</v>
      </c>
      <c r="L25" s="2339" t="n"/>
      <c r="M25" s="2339" t="n"/>
      <c r="N25" s="2371" t="n">
        <v>359583</v>
      </c>
      <c r="O25" s="2371" t="n">
        <v>27489</v>
      </c>
      <c r="P25" s="2371" t="n">
        <v>6000</v>
      </c>
      <c r="Q25" s="2339" t="n"/>
      <c r="R25" s="2339" t="n"/>
      <c r="S25" s="2339" t="n"/>
      <c r="T25" s="2339" t="n"/>
      <c r="U25" s="2339" t="n"/>
      <c r="V25" s="2339" t="n"/>
      <c r="W25" s="2339" t="n"/>
      <c r="X25" s="2371" t="n">
        <v>9601</v>
      </c>
      <c r="Y25" s="2371" t="n">
        <v>9601</v>
      </c>
      <c r="Z25" s="2339" t="n"/>
      <c r="AA25" s="2371" t="n">
        <v>3045</v>
      </c>
      <c r="AB25" s="2371" t="n">
        <v>1960</v>
      </c>
      <c r="AC25" s="2371" t="n">
        <v>5005</v>
      </c>
      <c r="AD25" s="2371" t="n">
        <v>3555</v>
      </c>
      <c r="AE25" s="2371" t="n">
        <v>1567</v>
      </c>
      <c r="AF25" s="2371" t="n">
        <v>5122</v>
      </c>
      <c r="AG25" s="2371" t="n">
        <v>10035</v>
      </c>
      <c r="AH25" s="2371" t="n">
        <v>69350</v>
      </c>
      <c r="AI25" s="2371" t="n">
        <v>101114</v>
      </c>
      <c r="AJ25" s="2371" t="n">
        <v>170464</v>
      </c>
      <c r="AK25" s="2371" t="n">
        <v>290993</v>
      </c>
      <c r="AL25" s="2339" t="n"/>
      <c r="AM25" s="2364" t="inlineStr">
        <is>
          <t>[NO SF] NNN; depreciation ($52,109) and mortgage interest ($58,574) excluded from NOI; Other includes acctg, dues, inspections; 2024 actuals</t>
        </is>
      </c>
    </row>
    <row r="26" ht="14.1" customHeight="1" s="1449">
      <c r="A26" s="2358" t="inlineStr">
        <is>
          <t>P010</t>
        </is>
      </c>
      <c r="B26" s="2338" t="n">
        <v>210</v>
      </c>
      <c r="C26" s="2358" t="inlineStr">
        <is>
          <t>R0098225</t>
        </is>
      </c>
      <c r="D26" s="2358" t="inlineStr">
        <is>
          <t>Broadway Business Center (7040B Broadway)</t>
        </is>
      </c>
      <c r="E26" s="2358" t="inlineStr">
        <is>
          <t>Denver</t>
        </is>
      </c>
      <c r="F26" s="2358" t="inlineStr">
        <is>
          <t>CO</t>
        </is>
      </c>
      <c r="G26" s="2358" t="inlineStr">
        <is>
          <t>Flex/Industrial</t>
        </is>
      </c>
      <c r="H26" s="2358" t="inlineStr">
        <is>
          <t>Multi-tenant CAM</t>
        </is>
      </c>
      <c r="I26" s="2359" t="n"/>
      <c r="J26" s="2359" t="n">
        <v>105000</v>
      </c>
      <c r="K26" s="2359" t="n">
        <v>2023</v>
      </c>
      <c r="L26" s="2360" t="n">
        <v>7.0284</v>
      </c>
      <c r="M26" s="2360" t="n">
        <v>4.8451</v>
      </c>
      <c r="N26" s="2360" t="n">
        <v>11.8736</v>
      </c>
      <c r="O26" s="2360" t="n">
        <v>0.4657</v>
      </c>
      <c r="P26" s="2360" t="n">
        <v>0.9933999999999999</v>
      </c>
      <c r="Q26" s="2358" t="n"/>
      <c r="R26" s="2358" t="n"/>
      <c r="S26" s="2358" t="n"/>
      <c r="T26" s="2358" t="n"/>
      <c r="U26" s="2358" t="n"/>
      <c r="V26" s="2358" t="n"/>
      <c r="W26" s="2358" t="n"/>
      <c r="X26" s="2360" t="n">
        <v>0.6328</v>
      </c>
      <c r="Y26" s="2360" t="n">
        <v>0.6328</v>
      </c>
      <c r="Z26" s="2360" t="n">
        <v>0.4669</v>
      </c>
      <c r="AA26" s="2360" t="n">
        <v>0.2172</v>
      </c>
      <c r="AB26" s="2360" t="n">
        <v>0.5585</v>
      </c>
      <c r="AC26" s="2360" t="n">
        <v>1.2425</v>
      </c>
      <c r="AD26" s="2360" t="n">
        <v>0.5097</v>
      </c>
      <c r="AE26" s="2358" t="n"/>
      <c r="AF26" s="2360" t="n">
        <v>0.7223000000000001</v>
      </c>
      <c r="AG26" s="2358" t="n"/>
      <c r="AH26" s="2360" t="n">
        <v>4.6141</v>
      </c>
      <c r="AI26" s="2360" t="n">
        <v>2.1859</v>
      </c>
      <c r="AJ26" s="2360" t="n">
        <v>6.8</v>
      </c>
      <c r="AK26" s="2360" t="n">
        <v>5.0762</v>
      </c>
      <c r="AL26" s="2358" t="n"/>
      <c r="AM26" s="2361" t="inlineStr">
        <is>
          <t>CAM recovery structure; mgmt = prop mgmt fee $50,590 + recoverable mgmt $53,721; snow in contract; 2023 actuals; NOI estimated</t>
        </is>
      </c>
    </row>
    <row r="27" ht="14.1" customHeight="1" s="1449">
      <c r="A27" s="2339" t="inlineStr">
        <is>
          <t>P010</t>
        </is>
      </c>
      <c r="B27" s="2338" t="n">
        <v>210</v>
      </c>
      <c r="C27" s="2339" t="inlineStr">
        <is>
          <t>R0098225</t>
        </is>
      </c>
      <c r="D27" s="2339" t="inlineStr">
        <is>
          <t>Broadway Business Center (7040B Broadway)</t>
        </is>
      </c>
      <c r="E27" s="2339" t="inlineStr">
        <is>
          <t>Denver</t>
        </is>
      </c>
      <c r="F27" s="2339" t="inlineStr">
        <is>
          <t>CO</t>
        </is>
      </c>
      <c r="G27" s="2339" t="inlineStr">
        <is>
          <t>Flex/Industrial</t>
        </is>
      </c>
      <c r="H27" s="2339" t="inlineStr">
        <is>
          <t>Multi-tenant CAM</t>
        </is>
      </c>
      <c r="I27" s="2362" t="n"/>
      <c r="J27" s="2362" t="n">
        <v>105000</v>
      </c>
      <c r="K27" s="2362" t="n">
        <v>2024</v>
      </c>
      <c r="L27" s="2363" t="n">
        <v>8.597899999999999</v>
      </c>
      <c r="M27" s="2363" t="n">
        <v>7.4693</v>
      </c>
      <c r="N27" s="2363" t="n">
        <v>16.0672</v>
      </c>
      <c r="O27" s="2363" t="n">
        <v>0.481</v>
      </c>
      <c r="P27" s="2363" t="n">
        <v>1.1752</v>
      </c>
      <c r="Q27" s="2339" t="n"/>
      <c r="R27" s="2339" t="n"/>
      <c r="S27" s="2339" t="n"/>
      <c r="T27" s="2339" t="n"/>
      <c r="U27" s="2339" t="n"/>
      <c r="V27" s="2339" t="n"/>
      <c r="W27" s="2339" t="n"/>
      <c r="X27" s="2363" t="n">
        <v>0.7155</v>
      </c>
      <c r="Y27" s="2363" t="n">
        <v>0.7155</v>
      </c>
      <c r="Z27" s="2363" t="n">
        <v>0.5619</v>
      </c>
      <c r="AA27" s="2363" t="n">
        <v>0.1728</v>
      </c>
      <c r="AB27" s="2363" t="n">
        <v>0.4984</v>
      </c>
      <c r="AC27" s="2363" t="n">
        <v>1.233</v>
      </c>
      <c r="AD27" s="2363" t="n">
        <v>0.8304</v>
      </c>
      <c r="AE27" s="2339" t="n"/>
      <c r="AF27" s="2363" t="n">
        <v>0.9542</v>
      </c>
      <c r="AG27" s="2339" t="n"/>
      <c r="AH27" s="2363" t="n">
        <v>4.7875</v>
      </c>
      <c r="AI27" s="2363" t="n">
        <v>5.1839</v>
      </c>
      <c r="AJ27" s="2363" t="n">
        <v>9.971399999999999</v>
      </c>
      <c r="AK27" s="2363" t="n">
        <v>6.0952</v>
      </c>
      <c r="AL27" s="2339" t="n"/>
      <c r="AM27" s="2364" t="inlineStr">
        <is>
          <t>2024 RE Tax inflated by $111,314 prior-yr catchup; normalized tax ~$425k; parking lot $52,328 in snow/contract; NOI estimated</t>
        </is>
      </c>
    </row>
    <row r="28" ht="14.1" customHeight="1" s="1449">
      <c r="A28" s="2358" t="inlineStr">
        <is>
          <t>P011</t>
        </is>
      </c>
      <c r="B28" s="2338" t="n">
        <v>210</v>
      </c>
      <c r="C28" s="2358" t="inlineStr">
        <is>
          <t>R0103767</t>
        </is>
      </c>
      <c r="D28" s="2358" t="inlineStr">
        <is>
          <t>5650 Washington St (Washington Business Park)</t>
        </is>
      </c>
      <c r="E28" s="2358" t="inlineStr">
        <is>
          <t>Adams County</t>
        </is>
      </c>
      <c r="F28" s="2358" t="inlineStr">
        <is>
          <t>CO</t>
        </is>
      </c>
      <c r="G28" s="2358" t="inlineStr">
        <is>
          <t>Industrial/Flex</t>
        </is>
      </c>
      <c r="H28" s="2358" t="inlineStr">
        <is>
          <t>Multi-tenant</t>
        </is>
      </c>
      <c r="I28" s="2359" t="n"/>
      <c r="J28" s="2359" t="n"/>
      <c r="K28" s="2359" t="n">
        <v>2022</v>
      </c>
      <c r="L28" s="2358" t="n"/>
      <c r="M28" s="2358" t="n"/>
      <c r="N28" s="2370" t="n">
        <v>502006</v>
      </c>
      <c r="O28" s="2370" t="n">
        <v>16872</v>
      </c>
      <c r="P28" s="2370" t="n">
        <v>54025</v>
      </c>
      <c r="Q28" s="2358" t="n"/>
      <c r="R28" s="2358" t="n"/>
      <c r="S28" s="2358" t="n"/>
      <c r="T28" s="2358" t="n"/>
      <c r="U28" s="2358" t="n"/>
      <c r="V28" s="2358" t="n"/>
      <c r="W28" s="2358" t="n"/>
      <c r="X28" s="2370" t="n">
        <v>71762</v>
      </c>
      <c r="Y28" s="2370" t="n">
        <v>71762</v>
      </c>
      <c r="Z28" s="2358" t="n"/>
      <c r="AA28" s="2370" t="n">
        <v>6528</v>
      </c>
      <c r="AB28" s="2358" t="n"/>
      <c r="AC28" s="2370" t="n">
        <v>6528</v>
      </c>
      <c r="AD28" s="2370" t="n">
        <v>4858</v>
      </c>
      <c r="AE28" s="2370" t="n">
        <v>525</v>
      </c>
      <c r="AF28" s="2370" t="n">
        <v>5383</v>
      </c>
      <c r="AG28" s="2358" t="n"/>
      <c r="AH28" s="2370" t="n">
        <v>209625</v>
      </c>
      <c r="AI28" s="2370" t="n">
        <v>64792</v>
      </c>
      <c r="AJ28" s="2370" t="n">
        <v>274417</v>
      </c>
      <c r="AK28" s="2370" t="n">
        <v>227649</v>
      </c>
      <c r="AL28" s="2358" t="n"/>
      <c r="AM28" s="2361" t="inlineStr">
        <is>
          <t>[NO SF] Mgmt fee $54,025 (2022 only ? not in later years); R&amp;M = bldg maint + repairs + HVAC + plumbing; water/gas from operating stmt</t>
        </is>
      </c>
    </row>
    <row r="29" ht="14.1" customHeight="1" s="1449">
      <c r="A29" s="2339" t="inlineStr">
        <is>
          <t>P011</t>
        </is>
      </c>
      <c r="B29" s="2338" t="n">
        <v>210</v>
      </c>
      <c r="C29" s="2339" t="inlineStr">
        <is>
          <t>R0103767</t>
        </is>
      </c>
      <c r="D29" s="2339" t="inlineStr">
        <is>
          <t>5650 Washington St (Washington Business Park)</t>
        </is>
      </c>
      <c r="E29" s="2339" t="inlineStr">
        <is>
          <t>Adams County</t>
        </is>
      </c>
      <c r="F29" s="2339" t="inlineStr">
        <is>
          <t>CO</t>
        </is>
      </c>
      <c r="G29" s="2339" t="inlineStr">
        <is>
          <t>Industrial/Flex</t>
        </is>
      </c>
      <c r="H29" s="2339" t="inlineStr">
        <is>
          <t>Multi-tenant</t>
        </is>
      </c>
      <c r="I29" s="2362" t="n"/>
      <c r="J29" s="2362" t="n"/>
      <c r="K29" s="2362" t="n">
        <v>2023</v>
      </c>
      <c r="L29" s="2339" t="n"/>
      <c r="M29" s="2339" t="n"/>
      <c r="N29" s="2371" t="n">
        <v>532468</v>
      </c>
      <c r="O29" s="2371" t="n">
        <v>15442</v>
      </c>
      <c r="P29" s="2339" t="n"/>
      <c r="Q29" s="2339" t="n"/>
      <c r="R29" s="2339" t="n"/>
      <c r="S29" s="2339" t="n"/>
      <c r="T29" s="2339" t="n"/>
      <c r="U29" s="2339" t="n"/>
      <c r="V29" s="2339" t="n"/>
      <c r="W29" s="2339" t="n"/>
      <c r="X29" s="2371" t="n">
        <v>83293</v>
      </c>
      <c r="Y29" s="2371" t="n">
        <v>83293</v>
      </c>
      <c r="Z29" s="2339" t="n"/>
      <c r="AA29" s="2371" t="n">
        <v>6029</v>
      </c>
      <c r="AB29" s="2339" t="n"/>
      <c r="AC29" s="2371" t="n">
        <v>6029</v>
      </c>
      <c r="AD29" s="2371" t="n">
        <v>6487</v>
      </c>
      <c r="AE29" s="2339" t="n"/>
      <c r="AF29" s="2371" t="n">
        <v>6487</v>
      </c>
      <c r="AG29" s="2339" t="n"/>
      <c r="AH29" s="2371" t="n">
        <v>141304</v>
      </c>
      <c r="AI29" s="2371" t="n">
        <v>63133</v>
      </c>
      <c r="AJ29" s="2371" t="n">
        <v>204437</v>
      </c>
      <c r="AK29" s="2371" t="n">
        <v>328030</v>
      </c>
      <c r="AL29" s="2339" t="n"/>
      <c r="AM29" s="2364" t="inlineStr">
        <is>
          <t>[NO SF] No mgmt fee in 2023; R&amp;M higher due to building repairs; gas negligible per statement; 2023 actuals</t>
        </is>
      </c>
    </row>
    <row r="30" ht="14.1" customHeight="1" s="1449">
      <c r="A30" s="2358" t="inlineStr">
        <is>
          <t>P011</t>
        </is>
      </c>
      <c r="B30" s="2338" t="n">
        <v>210</v>
      </c>
      <c r="C30" s="2358" t="inlineStr">
        <is>
          <t>R0103767</t>
        </is>
      </c>
      <c r="D30" s="2358" t="inlineStr">
        <is>
          <t>5650 Washington St (Washington Business Park)</t>
        </is>
      </c>
      <c r="E30" s="2358" t="inlineStr">
        <is>
          <t>Adams County</t>
        </is>
      </c>
      <c r="F30" s="2358" t="inlineStr">
        <is>
          <t>CO</t>
        </is>
      </c>
      <c r="G30" s="2358" t="inlineStr">
        <is>
          <t>Industrial/Flex</t>
        </is>
      </c>
      <c r="H30" s="2358" t="inlineStr">
        <is>
          <t>Multi-tenant</t>
        </is>
      </c>
      <c r="I30" s="2359" t="n"/>
      <c r="J30" s="2359" t="n"/>
      <c r="K30" s="2359" t="n">
        <v>2024</v>
      </c>
      <c r="L30" s="2358" t="n"/>
      <c r="M30" s="2358" t="n"/>
      <c r="N30" s="2370" t="n">
        <v>517234</v>
      </c>
      <c r="O30" s="2370" t="n">
        <v>20795</v>
      </c>
      <c r="P30" s="2358" t="n"/>
      <c r="Q30" s="2358" t="n"/>
      <c r="R30" s="2358" t="n"/>
      <c r="S30" s="2358" t="n"/>
      <c r="T30" s="2358" t="n"/>
      <c r="U30" s="2358" t="n"/>
      <c r="V30" s="2358" t="n"/>
      <c r="W30" s="2358" t="n"/>
      <c r="X30" s="2370" t="n">
        <v>32385</v>
      </c>
      <c r="Y30" s="2370" t="n">
        <v>32385</v>
      </c>
      <c r="Z30" s="2358" t="n"/>
      <c r="AA30" s="2370" t="n">
        <v>4814</v>
      </c>
      <c r="AB30" s="2358" t="n"/>
      <c r="AC30" s="2370" t="n">
        <v>4814</v>
      </c>
      <c r="AD30" s="2370" t="n">
        <v>5690</v>
      </c>
      <c r="AE30" s="2358" t="n"/>
      <c r="AF30" s="2370" t="n">
        <v>5690</v>
      </c>
      <c r="AG30" s="2358" t="n"/>
      <c r="AH30" s="2358" t="n"/>
      <c r="AI30" s="2358" t="n"/>
      <c r="AJ30" s="2370" t="n">
        <v>331645</v>
      </c>
      <c r="AK30" s="2370" t="n">
        <v>185389</v>
      </c>
      <c r="AL30" s="2358" t="n"/>
      <c r="AM30" s="2361" t="inlineStr">
        <is>
          <t>[NO SF] RE Tax not separately identified in 2024 column of operating stmt; total OPX from actuals; NOI confirmed</t>
        </is>
      </c>
    </row>
    <row r="31" ht="14.1" customHeight="1" s="1449">
      <c r="A31" s="2365" t="inlineStr">
        <is>
          <t>P012</t>
        </is>
      </c>
      <c r="B31" s="2338" t="n">
        <v>344</v>
      </c>
      <c r="C31" s="2365" t="inlineStr">
        <is>
          <t>R0124385</t>
        </is>
      </c>
      <c r="D31" s="2365" t="inlineStr">
        <is>
          <t>Unknown (Tax District 555)</t>
        </is>
      </c>
      <c r="E31" s="2365" t="inlineStr">
        <is>
          <t>Adams County</t>
        </is>
      </c>
      <c r="F31" s="2365" t="inlineStr">
        <is>
          <t>CO</t>
        </is>
      </c>
      <c r="G31" s="2365" t="inlineStr">
        <is>
          <t>Office</t>
        </is>
      </c>
      <c r="H31" s="2365" t="inlineStr">
        <is>
          <t>Multi-tenant</t>
        </is>
      </c>
      <c r="I31" s="2366" t="n"/>
      <c r="J31" s="2366" t="n">
        <v>20170</v>
      </c>
      <c r="K31" s="2366" t="n">
        <v>2023</v>
      </c>
      <c r="L31" s="2365" t="n"/>
      <c r="M31" s="2365" t="n"/>
      <c r="N31" s="2369" t="n">
        <v>13.6708</v>
      </c>
      <c r="O31" s="2365" t="n"/>
      <c r="P31" s="2365" t="n"/>
      <c r="Q31" s="2365" t="n"/>
      <c r="R31" s="2365" t="n"/>
      <c r="S31" s="2365" t="n"/>
      <c r="T31" s="2365" t="n"/>
      <c r="U31" s="2365" t="n"/>
      <c r="V31" s="2365" t="n"/>
      <c r="W31" s="2365" t="n"/>
      <c r="X31" s="2365" t="n"/>
      <c r="Y31" s="2365" t="n"/>
      <c r="Z31" s="2365" t="n"/>
      <c r="AA31" s="2365" t="n"/>
      <c r="AB31" s="2365" t="n"/>
      <c r="AC31" s="2365" t="n"/>
      <c r="AD31" s="2365" t="n"/>
      <c r="AE31" s="2365" t="n"/>
      <c r="AF31" s="2365" t="n"/>
      <c r="AG31" s="2365" t="n"/>
      <c r="AH31" s="2369" t="n">
        <v>5.3592</v>
      </c>
      <c r="AI31" s="2369" t="n">
        <v>2.2399</v>
      </c>
      <c r="AJ31" s="2369" t="n">
        <v>7.5992</v>
      </c>
      <c r="AK31" s="2369" t="n">
        <v>8.3116</v>
      </c>
      <c r="AL31" s="2365" t="n"/>
      <c r="AM31" s="2368" t="inlineStr">
        <is>
          <t>Limited line-item detail; totals from PROFORMA BASIS FOR OFFER.xlsx actuals section</t>
        </is>
      </c>
    </row>
    <row r="32" ht="14.1" customHeight="1" s="1449">
      <c r="A32" s="2365" t="inlineStr">
        <is>
          <t>P012</t>
        </is>
      </c>
      <c r="B32" s="2338" t="n">
        <v>344</v>
      </c>
      <c r="C32" s="2365" t="inlineStr">
        <is>
          <t>R0124385</t>
        </is>
      </c>
      <c r="D32" s="2365" t="inlineStr">
        <is>
          <t>Unknown (Tax District 555)</t>
        </is>
      </c>
      <c r="E32" s="2365" t="inlineStr">
        <is>
          <t>Adams County</t>
        </is>
      </c>
      <c r="F32" s="2365" t="inlineStr">
        <is>
          <t>CO</t>
        </is>
      </c>
      <c r="G32" s="2365" t="inlineStr">
        <is>
          <t>Office</t>
        </is>
      </c>
      <c r="H32" s="2365" t="inlineStr">
        <is>
          <t>Multi-tenant</t>
        </is>
      </c>
      <c r="I32" s="2366" t="n"/>
      <c r="J32" s="2366" t="n">
        <v>20170</v>
      </c>
      <c r="K32" s="2366" t="n">
        <v>2024</v>
      </c>
      <c r="L32" s="2365" t="n"/>
      <c r="M32" s="2365" t="n"/>
      <c r="N32" s="2369" t="n">
        <v>14.802</v>
      </c>
      <c r="O32" s="2365" t="n"/>
      <c r="P32" s="2365" t="n"/>
      <c r="Q32" s="2365" t="n"/>
      <c r="R32" s="2365" t="n"/>
      <c r="S32" s="2365" t="n"/>
      <c r="T32" s="2365" t="n"/>
      <c r="U32" s="2365" t="n"/>
      <c r="V32" s="2365" t="n"/>
      <c r="W32" s="2365" t="n"/>
      <c r="X32" s="2365" t="n"/>
      <c r="Y32" s="2365" t="n"/>
      <c r="Z32" s="2365" t="n"/>
      <c r="AA32" s="2365" t="n"/>
      <c r="AB32" s="2365" t="n"/>
      <c r="AC32" s="2365" t="n"/>
      <c r="AD32" s="2365" t="n"/>
      <c r="AE32" s="2365" t="n"/>
      <c r="AF32" s="2365" t="n"/>
      <c r="AG32" s="2365" t="n"/>
      <c r="AH32" s="2369" t="n">
        <v>6.3208</v>
      </c>
      <c r="AI32" s="2369" t="n">
        <v>2.1665</v>
      </c>
      <c r="AJ32" s="2369" t="n">
        <v>9.1814</v>
      </c>
      <c r="AK32" s="2369" t="n">
        <v>8.481199999999999</v>
      </c>
      <c r="AL32" s="2365" t="n"/>
      <c r="AM32" s="2368" t="inlineStr">
        <is>
          <t>CapEx $14,000 non-recurring excluded from OPX; limited line-item detail</t>
        </is>
      </c>
    </row>
    <row r="33" ht="14.1" customHeight="1" s="1449">
      <c r="A33" s="2365" t="inlineStr">
        <is>
          <t>P013</t>
        </is>
      </c>
      <c r="B33" s="2338" t="n">
        <v>353</v>
      </c>
      <c r="C33" s="2365" t="inlineStr">
        <is>
          <t>R0169176</t>
        </is>
      </c>
      <c r="D33" s="2365" t="inlineStr">
        <is>
          <t>Unknown (new const., opened Oct 2023)</t>
        </is>
      </c>
      <c r="E33" s="2365" t="inlineStr">
        <is>
          <t>Adams County</t>
        </is>
      </c>
      <c r="F33" s="2365" t="inlineStr">
        <is>
          <t>CO</t>
        </is>
      </c>
      <c r="G33" s="2365" t="inlineStr">
        <is>
          <t>Retail/Office</t>
        </is>
      </c>
      <c r="H33" s="2365" t="inlineStr">
        <is>
          <t>Multi-tenant</t>
        </is>
      </c>
      <c r="I33" s="2366" t="n">
        <v>2023</v>
      </c>
      <c r="J33" s="2366" t="n"/>
      <c r="K33" s="2366" t="n">
        <v>2023</v>
      </c>
      <c r="L33" s="2367" t="n">
        <v>270793</v>
      </c>
      <c r="M33" s="2367" t="n">
        <v>258323</v>
      </c>
      <c r="N33" s="2367" t="n">
        <v>524533</v>
      </c>
      <c r="O33" s="2367" t="n">
        <v>16865</v>
      </c>
      <c r="P33" s="2367" t="n">
        <v>26496</v>
      </c>
      <c r="Q33" s="2365" t="n"/>
      <c r="R33" s="2365" t="n"/>
      <c r="S33" s="2365" t="n"/>
      <c r="T33" s="2365" t="n"/>
      <c r="U33" s="2365" t="n"/>
      <c r="V33" s="2365" t="n"/>
      <c r="W33" s="2365" t="n"/>
      <c r="X33" s="2367" t="n">
        <v>50972</v>
      </c>
      <c r="Y33" s="2367" t="n">
        <v>50972</v>
      </c>
      <c r="Z33" s="2365" t="n"/>
      <c r="AA33" s="2367" t="n">
        <v>7543</v>
      </c>
      <c r="AB33" s="2365" t="n"/>
      <c r="AC33" s="2367" t="n">
        <v>7543</v>
      </c>
      <c r="AD33" s="2367" t="n">
        <v>4602</v>
      </c>
      <c r="AE33" s="2367" t="n">
        <v>51467</v>
      </c>
      <c r="AF33" s="2367" t="n">
        <v>56069</v>
      </c>
      <c r="AG33" s="2365" t="n"/>
      <c r="AH33" s="2367" t="n">
        <v>157946</v>
      </c>
      <c r="AI33" s="2367" t="n">
        <v>125577</v>
      </c>
      <c r="AJ33" s="2367" t="n">
        <v>283523</v>
      </c>
      <c r="AK33" s="2367" t="n">
        <v>241009</v>
      </c>
      <c r="AL33" s="2365" t="n"/>
      <c r="AM33" s="2368" t="inlineStr">
        <is>
          <t>[NO SF] 2023 partial year (opened Oct 2023); RE Tax high for new construction; gas $3,877 + elec $47,590 in utilities</t>
        </is>
      </c>
    </row>
    <row r="34" ht="14.1" customHeight="1" s="1449">
      <c r="A34" s="2365" t="inlineStr">
        <is>
          <t>P013</t>
        </is>
      </c>
      <c r="B34" s="2338" t="n">
        <v>353</v>
      </c>
      <c r="C34" s="2365" t="inlineStr">
        <is>
          <t>R0169176</t>
        </is>
      </c>
      <c r="D34" s="2365" t="inlineStr">
        <is>
          <t>Unknown (new const., opened Oct 2023)</t>
        </is>
      </c>
      <c r="E34" s="2365" t="inlineStr">
        <is>
          <t>Adams County</t>
        </is>
      </c>
      <c r="F34" s="2365" t="inlineStr">
        <is>
          <t>CO</t>
        </is>
      </c>
      <c r="G34" s="2365" t="inlineStr">
        <is>
          <t>Retail/Office</t>
        </is>
      </c>
      <c r="H34" s="2365" t="inlineStr">
        <is>
          <t>Multi-tenant</t>
        </is>
      </c>
      <c r="I34" s="2366" t="n">
        <v>2023</v>
      </c>
      <c r="J34" s="2366" t="n"/>
      <c r="K34" s="2366" t="n">
        <v>2024</v>
      </c>
      <c r="L34" s="2367" t="n">
        <v>260040</v>
      </c>
      <c r="M34" s="2367" t="n">
        <v>337015</v>
      </c>
      <c r="N34" s="2367" t="n">
        <v>597056</v>
      </c>
      <c r="O34" s="2367" t="n">
        <v>12437</v>
      </c>
      <c r="P34" s="2367" t="n">
        <v>26717</v>
      </c>
      <c r="Q34" s="2365" t="n"/>
      <c r="R34" s="2365" t="n"/>
      <c r="S34" s="2365" t="n"/>
      <c r="T34" s="2365" t="n"/>
      <c r="U34" s="2365" t="n"/>
      <c r="V34" s="2365" t="n"/>
      <c r="W34" s="2365" t="n"/>
      <c r="X34" s="2367" t="n">
        <v>36931</v>
      </c>
      <c r="Y34" s="2367" t="n">
        <v>36931</v>
      </c>
      <c r="Z34" s="2365" t="n"/>
      <c r="AA34" s="2367" t="n">
        <v>27159</v>
      </c>
      <c r="AB34" s="2365" t="n"/>
      <c r="AC34" s="2367" t="n">
        <v>27159</v>
      </c>
      <c r="AD34" s="2367" t="n">
        <v>5043</v>
      </c>
      <c r="AE34" s="2367" t="n">
        <v>54230</v>
      </c>
      <c r="AF34" s="2367" t="n">
        <v>59273</v>
      </c>
      <c r="AG34" s="2365" t="n"/>
      <c r="AH34" s="2367" t="n">
        <v>162518</v>
      </c>
      <c r="AI34" s="2367" t="n">
        <v>156074</v>
      </c>
      <c r="AJ34" s="2367" t="n">
        <v>318592</v>
      </c>
      <c r="AK34" s="2367" t="n">
        <v>278464</v>
      </c>
      <c r="AL34" s="2365" t="n"/>
      <c r="AM34" s="2368" t="inlineStr">
        <is>
          <t>[NO SF] Tax consultant $11,515 added to RE Tax line; HOA/exterior maint $27,159 in landscape; recoveries $336,319 + other $696</t>
        </is>
      </c>
    </row>
    <row r="35" ht="14.1" customHeight="1" s="1449">
      <c r="A35" s="2339" t="inlineStr">
        <is>
          <t>P014</t>
        </is>
      </c>
      <c r="B35" s="2338" t="n">
        <v>407</v>
      </c>
      <c r="C35" s="2339" t="inlineStr">
        <is>
          <t>R0198530</t>
        </is>
      </c>
      <c r="D35" s="2339" t="inlineStr">
        <is>
          <t>Amazon DEN7 Distribution Center</t>
        </is>
      </c>
      <c r="E35" s="2339" t="inlineStr">
        <is>
          <t>Aurora</t>
        </is>
      </c>
      <c r="F35" s="2339" t="inlineStr">
        <is>
          <t>CO</t>
        </is>
      </c>
      <c r="G35" s="2339" t="inlineStr">
        <is>
          <t>Industrial/Distribution</t>
        </is>
      </c>
      <c r="H35" s="2339" t="inlineStr">
        <is>
          <t>Single-tenant NNN</t>
        </is>
      </c>
      <c r="I35" s="2362" t="n"/>
      <c r="J35" s="2362" t="n">
        <v>555840</v>
      </c>
      <c r="K35" s="2362" t="n">
        <v>2023</v>
      </c>
      <c r="L35" s="2363" t="n">
        <v>5.6192</v>
      </c>
      <c r="M35" s="2339" t="n"/>
      <c r="N35" s="2363" t="n">
        <v>5.6192</v>
      </c>
      <c r="O35" s="2363" t="n">
        <v>0.1549</v>
      </c>
      <c r="P35" s="2363" t="n">
        <v>0.1124</v>
      </c>
      <c r="Q35" s="2339" t="n"/>
      <c r="R35" s="2339" t="n"/>
      <c r="S35" s="2339" t="n"/>
      <c r="T35" s="2339" t="n"/>
      <c r="U35" s="2339" t="n"/>
      <c r="V35" s="2339" t="n"/>
      <c r="W35" s="2339" t="n"/>
      <c r="X35" s="2339" t="n"/>
      <c r="Y35" s="2339" t="n"/>
      <c r="Z35" s="2339" t="n"/>
      <c r="AA35" s="2339" t="n"/>
      <c r="AB35" s="2339" t="n"/>
      <c r="AC35" s="2363" t="n">
        <v>0.0402</v>
      </c>
      <c r="AD35" s="2339" t="n"/>
      <c r="AE35" s="2339" t="n"/>
      <c r="AF35" s="2363" t="n">
        <v>0.002</v>
      </c>
      <c r="AG35" s="2339" t="n"/>
      <c r="AH35" s="2363" t="n">
        <v>0.3551</v>
      </c>
      <c r="AI35" s="2363" t="n">
        <v>2.9096</v>
      </c>
      <c r="AJ35" s="2363" t="n">
        <v>3.2647</v>
      </c>
      <c r="AK35" s="2339" t="n"/>
      <c r="AL35" s="2339" t="n"/>
      <c r="AM35" s="2364" t="inlineStr">
        <is>
          <t>NNN ? expenses = LL CAM billed to Amazon tenant; RE Tax $1.617M dominates; base rent $3.12M; 2023 CAM reconciliation</t>
        </is>
      </c>
    </row>
    <row r="36" ht="14.1" customHeight="1" s="1449">
      <c r="A36" s="2358" t="inlineStr">
        <is>
          <t>P014</t>
        </is>
      </c>
      <c r="B36" s="2338" t="n">
        <v>407</v>
      </c>
      <c r="C36" s="2358" t="inlineStr">
        <is>
          <t>R0198530</t>
        </is>
      </c>
      <c r="D36" s="2358" t="inlineStr">
        <is>
          <t>Amazon DEN7 Distribution Center</t>
        </is>
      </c>
      <c r="E36" s="2358" t="inlineStr">
        <is>
          <t>Aurora</t>
        </is>
      </c>
      <c r="F36" s="2358" t="inlineStr">
        <is>
          <t>CO</t>
        </is>
      </c>
      <c r="G36" s="2358" t="inlineStr">
        <is>
          <t>Industrial/Distribution</t>
        </is>
      </c>
      <c r="H36" s="2358" t="inlineStr">
        <is>
          <t>Single-tenant NNN</t>
        </is>
      </c>
      <c r="I36" s="2359" t="n"/>
      <c r="J36" s="2359" t="n">
        <v>555840</v>
      </c>
      <c r="K36" s="2359" t="n">
        <v>2024</v>
      </c>
      <c r="L36" s="2360" t="n">
        <v>5.7597</v>
      </c>
      <c r="M36" s="2358" t="n"/>
      <c r="N36" s="2360" t="n">
        <v>5.7597</v>
      </c>
      <c r="O36" s="2360" t="n">
        <v>0.1616</v>
      </c>
      <c r="P36" s="2360" t="n">
        <v>0.1152</v>
      </c>
      <c r="Q36" s="2358" t="n"/>
      <c r="R36" s="2358" t="n"/>
      <c r="S36" s="2358" t="n"/>
      <c r="T36" s="2358" t="n"/>
      <c r="U36" s="2358" t="n"/>
      <c r="V36" s="2358" t="n"/>
      <c r="W36" s="2358" t="n"/>
      <c r="X36" s="2358" t="n"/>
      <c r="Y36" s="2358" t="n"/>
      <c r="Z36" s="2358" t="n"/>
      <c r="AA36" s="2358" t="n"/>
      <c r="AB36" s="2360" t="n">
        <v>0.0038</v>
      </c>
      <c r="AC36" s="2360" t="n">
        <v>0.0314</v>
      </c>
      <c r="AD36" s="2358" t="n"/>
      <c r="AE36" s="2358" t="n"/>
      <c r="AF36" s="2360" t="n">
        <v>0.0036</v>
      </c>
      <c r="AG36" s="2358" t="n"/>
      <c r="AH36" s="2360" t="n">
        <v>0.2783</v>
      </c>
      <c r="AI36" s="2360" t="n">
        <v>3.8893</v>
      </c>
      <c r="AJ36" s="2360" t="n">
        <v>4.1677</v>
      </c>
      <c r="AK36" s="2358" t="n"/>
      <c r="AL36" s="2358" t="n"/>
      <c r="AM36" s="2361" t="inlineStr">
        <is>
          <t>NNN; RE Tax $2.162M = $3.89/SF reflecting Adams County assessment increase (+34% YOY); 2024 CAM reconciliation</t>
        </is>
      </c>
    </row>
    <row r="37" ht="14.1" customHeight="1" s="1449">
      <c r="A37" s="2339" t="inlineStr">
        <is>
          <t>P015</t>
        </is>
      </c>
      <c r="B37" s="2338" t="n">
        <v>407</v>
      </c>
      <c r="C37" s="2339" t="inlineStr">
        <is>
          <t>R0180894</t>
        </is>
      </c>
      <c r="D37" s="2339" t="inlineStr">
        <is>
          <t>1910 N Gun Club Rd</t>
        </is>
      </c>
      <c r="E37" s="2339" t="inlineStr">
        <is>
          <t>Aurora</t>
        </is>
      </c>
      <c r="F37" s="2339" t="inlineStr">
        <is>
          <t>CO</t>
        </is>
      </c>
      <c r="G37" s="2339" t="inlineStr">
        <is>
          <t>Industrial</t>
        </is>
      </c>
      <c r="H37" s="2339" t="inlineStr">
        <is>
          <t>Distribution Warehouse Multi-Tenant NNN</t>
        </is>
      </c>
      <c r="I37" s="2362" t="n">
        <v>2019</v>
      </c>
      <c r="J37" s="2362" t="n">
        <v>163386</v>
      </c>
      <c r="K37" s="2362" t="n">
        <v>2023</v>
      </c>
      <c r="L37" s="2363" t="n">
        <v>12.829</v>
      </c>
      <c r="M37" s="2339" t="n"/>
      <c r="N37" s="2363" t="n">
        <v>12.829</v>
      </c>
      <c r="O37" s="2363" t="n">
        <v>0.2491</v>
      </c>
      <c r="P37" s="2363" t="n">
        <v>0.3371</v>
      </c>
      <c r="Q37" s="2339" t="n"/>
      <c r="R37" s="2339" t="n"/>
      <c r="S37" s="2339" t="n"/>
      <c r="T37" s="2339" t="n"/>
      <c r="U37" s="2339" t="n"/>
      <c r="V37" s="2339" t="n"/>
      <c r="W37" s="2339" t="n"/>
      <c r="X37" s="2339" t="n"/>
      <c r="Y37" s="2363" t="n">
        <v>0.0395</v>
      </c>
      <c r="Z37" s="2339" t="n"/>
      <c r="AA37" s="2363" t="n">
        <v>0.0888</v>
      </c>
      <c r="AB37" s="2363" t="n">
        <v>0.3394</v>
      </c>
      <c r="AC37" s="2339" t="n"/>
      <c r="AD37" s="2339" t="n"/>
      <c r="AE37" s="2339" t="n"/>
      <c r="AF37" s="2363" t="n">
        <v>0.2688</v>
      </c>
      <c r="AG37" s="2363" t="n">
        <v>0.9762</v>
      </c>
      <c r="AH37" s="2363" t="n">
        <v>2.3251</v>
      </c>
      <c r="AI37" s="2363" t="n">
        <v>5.6528</v>
      </c>
      <c r="AJ37" s="2363" t="n">
        <v>7.9779</v>
      </c>
      <c r="AK37" s="2363" t="n">
        <v>4.8512</v>
      </c>
      <c r="AL37" s="2339" t="n"/>
      <c r="AM37" s="2364" t="inlineStr">
        <is>
          <t>Actual accrual; security $159,500 in Other</t>
        </is>
      </c>
    </row>
    <row r="38" ht="14.1" customHeight="1" s="1449">
      <c r="A38" s="2358" t="inlineStr">
        <is>
          <t>P015</t>
        </is>
      </c>
      <c r="B38" s="2338" t="n">
        <v>407</v>
      </c>
      <c r="C38" s="2358" t="inlineStr">
        <is>
          <t>R0180894</t>
        </is>
      </c>
      <c r="D38" s="2358" t="inlineStr">
        <is>
          <t>1910 N Gun Club Rd</t>
        </is>
      </c>
      <c r="E38" s="2358" t="inlineStr">
        <is>
          <t>Aurora</t>
        </is>
      </c>
      <c r="F38" s="2358" t="inlineStr">
        <is>
          <t>CO</t>
        </is>
      </c>
      <c r="G38" s="2358" t="inlineStr">
        <is>
          <t>Industrial</t>
        </is>
      </c>
      <c r="H38" s="2358" t="inlineStr">
        <is>
          <t>Distribution Warehouse Multi-Tenant NNN</t>
        </is>
      </c>
      <c r="I38" s="2359" t="n">
        <v>2019</v>
      </c>
      <c r="J38" s="2359" t="n">
        <v>163386</v>
      </c>
      <c r="K38" s="2359" t="n">
        <v>2024</v>
      </c>
      <c r="L38" s="2360" t="n">
        <v>13.1836</v>
      </c>
      <c r="M38" s="2358" t="n"/>
      <c r="N38" s="2360" t="n">
        <v>13.1836</v>
      </c>
      <c r="O38" s="2360" t="n">
        <v>0.2943</v>
      </c>
      <c r="P38" s="2360" t="n">
        <v>0.4581</v>
      </c>
      <c r="Q38" s="2358" t="n"/>
      <c r="R38" s="2358" t="n"/>
      <c r="S38" s="2358" t="n"/>
      <c r="T38" s="2358" t="n"/>
      <c r="U38" s="2358" t="n"/>
      <c r="V38" s="2358" t="n"/>
      <c r="W38" s="2358" t="n"/>
      <c r="X38" s="2358" t="n"/>
      <c r="Y38" s="2360" t="n">
        <v>0.0322</v>
      </c>
      <c r="Z38" s="2358" t="n"/>
      <c r="AA38" s="2360" t="n">
        <v>0.0822</v>
      </c>
      <c r="AB38" s="2360" t="n">
        <v>0.2856</v>
      </c>
      <c r="AC38" s="2358" t="n"/>
      <c r="AD38" s="2358" t="n"/>
      <c r="AE38" s="2358" t="n"/>
      <c r="AF38" s="2360" t="n">
        <v>0.3299</v>
      </c>
      <c r="AG38" s="2360" t="n">
        <v>0.8113</v>
      </c>
      <c r="AH38" s="2360" t="n">
        <v>2.4145</v>
      </c>
      <c r="AI38" s="2360" t="n">
        <v>5.5843</v>
      </c>
      <c r="AJ38" s="2360" t="n">
        <v>7.9988</v>
      </c>
      <c r="AK38" s="2360" t="n">
        <v>5.1848</v>
      </c>
      <c r="AL38" s="2358" t="n"/>
      <c r="AM38" s="2361" t="inlineStr">
        <is>
          <t>Actual accrual; security $132,552 in Other</t>
        </is>
      </c>
    </row>
    <row r="39" ht="14.1" customHeight="1" s="1449">
      <c r="A39" s="2339" t="inlineStr">
        <is>
          <t>P016</t>
        </is>
      </c>
      <c r="B39" s="2338" t="n">
        <v>584</v>
      </c>
      <c r="C39" s="2339" t="inlineStr">
        <is>
          <t>R0212546/R0212547</t>
        </is>
      </c>
      <c r="D39" s="2339" t="inlineStr">
        <is>
          <t>2780 N Tower Rd</t>
        </is>
      </c>
      <c r="E39" s="2339" t="inlineStr">
        <is>
          <t>Aurora</t>
        </is>
      </c>
      <c r="F39" s="2339" t="inlineStr">
        <is>
          <t>CO</t>
        </is>
      </c>
      <c r="G39" s="2339" t="inlineStr">
        <is>
          <t>Industrial</t>
        </is>
      </c>
      <c r="H39" s="2339" t="inlineStr">
        <is>
          <t>Mega Warehouse NNN</t>
        </is>
      </c>
      <c r="I39" s="2362" t="n">
        <v>1983</v>
      </c>
      <c r="J39" s="2362" t="n">
        <v>384953</v>
      </c>
      <c r="K39" s="2362" t="n">
        <v>2024</v>
      </c>
      <c r="L39" s="2339" t="n"/>
      <c r="M39" s="2339" t="n"/>
      <c r="N39" s="2339" t="n"/>
      <c r="O39" s="2339" t="n"/>
      <c r="P39" s="2339" t="n"/>
      <c r="Q39" s="2339" t="n"/>
      <c r="R39" s="2339" t="n"/>
      <c r="S39" s="2339" t="n"/>
      <c r="T39" s="2339" t="n"/>
      <c r="U39" s="2339" t="n"/>
      <c r="V39" s="2339" t="n"/>
      <c r="W39" s="2339" t="n"/>
      <c r="X39" s="2339" t="n"/>
      <c r="Y39" s="2339" t="n"/>
      <c r="Z39" s="2339" t="n"/>
      <c r="AA39" s="2339" t="n"/>
      <c r="AB39" s="2339" t="n"/>
      <c r="AC39" s="2339" t="n"/>
      <c r="AD39" s="2339" t="n"/>
      <c r="AE39" s="2339" t="n"/>
      <c r="AF39" s="2339" t="n"/>
      <c r="AG39" s="2339" t="n"/>
      <c r="AH39" s="2339" t="n"/>
      <c r="AI39" s="2339" t="n"/>
      <c r="AJ39" s="2339" t="n"/>
      <c r="AK39" s="2339" t="n"/>
      <c r="AL39" s="2339" t="n"/>
      <c r="AM39" s="2364" t="inlineStr">
        <is>
          <t>County proforma only; limited line-item detail available</t>
        </is>
      </c>
    </row>
    <row r="40" ht="14.1" customHeight="1" s="1449">
      <c r="A40" s="2358" t="inlineStr">
        <is>
          <t>P017</t>
        </is>
      </c>
      <c r="B40" s="2338" t="n">
        <v>210</v>
      </c>
      <c r="C40" s="2358" t="inlineStr">
        <is>
          <t>R0098098</t>
        </is>
      </c>
      <c r="D40" s="2358" t="inlineStr">
        <is>
          <t>1445 E 68th Ave</t>
        </is>
      </c>
      <c r="E40" s="2358" t="inlineStr">
        <is>
          <t>Denver</t>
        </is>
      </c>
      <c r="F40" s="2358" t="inlineStr">
        <is>
          <t>CO</t>
        </is>
      </c>
      <c r="G40" s="2358" t="inlineStr">
        <is>
          <t>Industrial</t>
        </is>
      </c>
      <c r="H40" s="2358" t="inlineStr">
        <is>
          <t>Industrial Office Mix</t>
        </is>
      </c>
      <c r="I40" s="2359" t="n">
        <v>1972</v>
      </c>
      <c r="J40" s="2359" t="n">
        <v>63348</v>
      </c>
      <c r="K40" s="2359" t="n">
        <v>2024</v>
      </c>
      <c r="L40" s="2358" t="n"/>
      <c r="M40" s="2358" t="n"/>
      <c r="N40" s="2358" t="n"/>
      <c r="O40" s="2358" t="n"/>
      <c r="P40" s="2358" t="n"/>
      <c r="Q40" s="2358" t="n"/>
      <c r="R40" s="2358" t="n"/>
      <c r="S40" s="2358" t="n"/>
      <c r="T40" s="2358" t="n"/>
      <c r="U40" s="2358" t="n"/>
      <c r="V40" s="2358" t="n"/>
      <c r="W40" s="2358" t="n"/>
      <c r="X40" s="2358" t="n"/>
      <c r="Y40" s="2358" t="n"/>
      <c r="Z40" s="2358" t="n"/>
      <c r="AA40" s="2358" t="n"/>
      <c r="AB40" s="2358" t="n"/>
      <c r="AC40" s="2358" t="n"/>
      <c r="AD40" s="2358" t="n"/>
      <c r="AE40" s="2358" t="n"/>
      <c r="AF40" s="2358" t="n"/>
      <c r="AG40" s="2358" t="n"/>
      <c r="AH40" s="2358" t="n"/>
      <c r="AI40" s="2358" t="n"/>
      <c r="AJ40" s="2358" t="n"/>
      <c r="AK40" s="2358" t="n"/>
      <c r="AL40" s="2358" t="n"/>
      <c r="AM40" s="2361" t="inlineStr">
        <is>
          <t>County proforma 2024; YOC 1972/2006/2023 additions</t>
        </is>
      </c>
    </row>
    <row r="41" ht="14.1" customHeight="1" s="1449">
      <c r="A41" s="2339" t="inlineStr">
        <is>
          <t>P018</t>
        </is>
      </c>
      <c r="B41" s="2338" t="n">
        <v>406</v>
      </c>
      <c r="C41" s="2339" t="inlineStr">
        <is>
          <t>R0103783</t>
        </is>
      </c>
      <c r="D41" s="2339" t="inlineStr">
        <is>
          <t>2031 E 58th Ave</t>
        </is>
      </c>
      <c r="E41" s="2339" t="inlineStr">
        <is>
          <t>Denver</t>
        </is>
      </c>
      <c r="F41" s="2339" t="inlineStr">
        <is>
          <t>CO</t>
        </is>
      </c>
      <c r="G41" s="2339" t="inlineStr">
        <is>
          <t>Industrial</t>
        </is>
      </c>
      <c r="H41" s="2339" t="inlineStr">
        <is>
          <t>Storage Warehouse / Mod Office NNN</t>
        </is>
      </c>
      <c r="I41" s="2362" t="n">
        <v>2004</v>
      </c>
      <c r="J41" s="2362" t="n">
        <v>18720</v>
      </c>
      <c r="K41" s="2362" t="n">
        <v>2024</v>
      </c>
      <c r="L41" s="2363" t="n">
        <v>13.2904</v>
      </c>
      <c r="M41" s="2339" t="n"/>
      <c r="N41" s="2363" t="n">
        <v>16.0225</v>
      </c>
      <c r="O41" s="2363" t="n">
        <v>0.2061</v>
      </c>
      <c r="P41" s="2339" t="n"/>
      <c r="Q41" s="2339" t="n"/>
      <c r="R41" s="2339" t="n"/>
      <c r="S41" s="2339" t="n"/>
      <c r="T41" s="2339" t="n"/>
      <c r="U41" s="2339" t="n"/>
      <c r="V41" s="2339" t="n"/>
      <c r="W41" s="2339" t="n"/>
      <c r="X41" s="2339" t="n"/>
      <c r="Y41" s="2339" t="n"/>
      <c r="Z41" s="2339" t="n"/>
      <c r="AA41" s="2339" t="n"/>
      <c r="AB41" s="2339" t="n"/>
      <c r="AC41" s="2363" t="n">
        <v>0.1296</v>
      </c>
      <c r="AD41" s="2339" t="n"/>
      <c r="AE41" s="2339" t="n"/>
      <c r="AF41" s="2339" t="n"/>
      <c r="AG41" s="2339" t="n"/>
      <c r="AH41" s="2363" t="n">
        <v>0.3357</v>
      </c>
      <c r="AI41" s="2363" t="n">
        <v>2.3964</v>
      </c>
      <c r="AJ41" s="2363" t="n">
        <v>2.7321</v>
      </c>
      <c r="AK41" s="2363" t="n">
        <v>13.2904</v>
      </c>
      <c r="AL41" s="2339" t="n"/>
      <c r="AM41" s="2364" t="inlineStr">
        <is>
          <t>NNN billed charges; EGI = base rent + NNN pass-throughs</t>
        </is>
      </c>
    </row>
    <row r="42" ht="14.1" customHeight="1" s="1449">
      <c r="A42" s="2358" t="inlineStr">
        <is>
          <t>P018</t>
        </is>
      </c>
      <c r="B42" s="2338" t="n">
        <v>406</v>
      </c>
      <c r="C42" s="2358" t="inlineStr">
        <is>
          <t>R0103783</t>
        </is>
      </c>
      <c r="D42" s="2358" t="inlineStr">
        <is>
          <t>2031 E 58th Ave</t>
        </is>
      </c>
      <c r="E42" s="2358" t="inlineStr">
        <is>
          <t>Denver</t>
        </is>
      </c>
      <c r="F42" s="2358" t="inlineStr">
        <is>
          <t>CO</t>
        </is>
      </c>
      <c r="G42" s="2358" t="inlineStr">
        <is>
          <t>Industrial</t>
        </is>
      </c>
      <c r="H42" s="2358" t="inlineStr">
        <is>
          <t>Storage Warehouse / Mod Office NNN</t>
        </is>
      </c>
      <c r="I42" s="2359" t="n">
        <v>2004</v>
      </c>
      <c r="J42" s="2359" t="n">
        <v>18720</v>
      </c>
      <c r="K42" s="2359" t="n">
        <v>2023</v>
      </c>
      <c r="L42" s="2360" t="n">
        <v>13.0298</v>
      </c>
      <c r="M42" s="2358" t="n"/>
      <c r="N42" s="2360" t="n">
        <v>15.7619</v>
      </c>
      <c r="O42" s="2360" t="n">
        <v>0.2061</v>
      </c>
      <c r="P42" s="2358" t="n"/>
      <c r="Q42" s="2358" t="n"/>
      <c r="R42" s="2358" t="n"/>
      <c r="S42" s="2358" t="n"/>
      <c r="T42" s="2358" t="n"/>
      <c r="U42" s="2358" t="n"/>
      <c r="V42" s="2358" t="n"/>
      <c r="W42" s="2358" t="n"/>
      <c r="X42" s="2358" t="n"/>
      <c r="Y42" s="2358" t="n"/>
      <c r="Z42" s="2358" t="n"/>
      <c r="AA42" s="2358" t="n"/>
      <c r="AB42" s="2358" t="n"/>
      <c r="AC42" s="2360" t="n">
        <v>0.1296</v>
      </c>
      <c r="AD42" s="2358" t="n"/>
      <c r="AE42" s="2358" t="n"/>
      <c r="AF42" s="2358" t="n"/>
      <c r="AG42" s="2358" t="n"/>
      <c r="AH42" s="2360" t="n">
        <v>0.3357</v>
      </c>
      <c r="AI42" s="2360" t="n">
        <v>2.3964</v>
      </c>
      <c r="AJ42" s="2360" t="n">
        <v>2.7321</v>
      </c>
      <c r="AK42" s="2360" t="n">
        <v>13.0298</v>
      </c>
      <c r="AL42" s="2358" t="n"/>
      <c r="AM42" s="2361" t="inlineStr">
        <is>
          <t>NNN billed charges; EGI = base rent + NNN pass-throughs</t>
        </is>
      </c>
    </row>
    <row r="43" ht="14.1" customHeight="1" s="1449">
      <c r="A43" s="2339" t="inlineStr">
        <is>
          <t>P019</t>
        </is>
      </c>
      <c r="B43" s="2338" t="n">
        <v>407</v>
      </c>
      <c r="C43" s="2339" t="inlineStr">
        <is>
          <t>R0210402/R0210403</t>
        </is>
      </c>
      <c r="D43" s="2339" t="inlineStr">
        <is>
          <t>17190 E 85th Ave</t>
        </is>
      </c>
      <c r="E43" s="2339" t="inlineStr">
        <is>
          <t>Commerce City</t>
        </is>
      </c>
      <c r="F43" s="2339" t="inlineStr">
        <is>
          <t>CO</t>
        </is>
      </c>
      <c r="G43" s="2339" t="inlineStr">
        <is>
          <t>Industrial</t>
        </is>
      </c>
      <c r="H43" s="2339" t="inlineStr">
        <is>
          <t>Industrial Warehouse NNN</t>
        </is>
      </c>
      <c r="I43" s="2362" t="n">
        <v>2021</v>
      </c>
      <c r="J43" s="2362" t="n">
        <v>329940</v>
      </c>
      <c r="K43" s="2362" t="n">
        <v>2024</v>
      </c>
      <c r="L43" s="2339" t="n"/>
      <c r="M43" s="2339" t="n"/>
      <c r="N43" s="2339" t="n"/>
      <c r="O43" s="2339" t="n"/>
      <c r="P43" s="2339" t="n"/>
      <c r="Q43" s="2339" t="n"/>
      <c r="R43" s="2339" t="n"/>
      <c r="S43" s="2339" t="n"/>
      <c r="T43" s="2339" t="n"/>
      <c r="U43" s="2339" t="n"/>
      <c r="V43" s="2339" t="n"/>
      <c r="W43" s="2339" t="n"/>
      <c r="X43" s="2339" t="n"/>
      <c r="Y43" s="2339" t="n"/>
      <c r="Z43" s="2339" t="n"/>
      <c r="AA43" s="2339" t="n"/>
      <c r="AB43" s="2339" t="n"/>
      <c r="AC43" s="2339" t="n"/>
      <c r="AD43" s="2339" t="n"/>
      <c r="AE43" s="2339" t="n"/>
      <c r="AF43" s="2339" t="n"/>
      <c r="AG43" s="2339" t="n"/>
      <c r="AH43" s="2339" t="n"/>
      <c r="AI43" s="2339" t="n"/>
      <c r="AJ43" s="2339" t="n"/>
      <c r="AK43" s="2339" t="n"/>
      <c r="AL43" s="2339" t="n"/>
      <c r="AM43" s="2364" t="inlineStr">
        <is>
          <t>Petitioner proforma 2024/25; limited line-item detail</t>
        </is>
      </c>
    </row>
    <row r="44" ht="14.1" customHeight="1" s="1449">
      <c r="A44" s="2358" t="inlineStr">
        <is>
          <t>P020</t>
        </is>
      </c>
      <c r="B44" s="2338" t="n">
        <v>584</v>
      </c>
      <c r="C44" s="2358" t="inlineStr">
        <is>
          <t>R0209679</t>
        </is>
      </c>
      <c r="D44" s="2358" t="inlineStr">
        <is>
          <t>17501 E 84th Ave</t>
        </is>
      </c>
      <c r="E44" s="2358" t="inlineStr">
        <is>
          <t>Commerce City</t>
        </is>
      </c>
      <c r="F44" s="2358" t="inlineStr">
        <is>
          <t>CO</t>
        </is>
      </c>
      <c r="G44" s="2358" t="inlineStr">
        <is>
          <t>Industrial</t>
        </is>
      </c>
      <c r="H44" s="2358" t="inlineStr">
        <is>
          <t>Mega Warehouse / Distribution Center NNN (Lowe's)</t>
        </is>
      </c>
      <c r="I44" s="2359" t="n">
        <v>2021</v>
      </c>
      <c r="J44" s="2359" t="n">
        <v>999780</v>
      </c>
      <c r="K44" s="2359" t="n">
        <v>2023</v>
      </c>
      <c r="L44" s="2360" t="n">
        <v>12.3992</v>
      </c>
      <c r="M44" s="2358" t="n"/>
      <c r="N44" s="2360" t="n">
        <v>12.3992</v>
      </c>
      <c r="O44" s="2360" t="n">
        <v>0.1505</v>
      </c>
      <c r="P44" s="2360" t="n">
        <v>0.1005</v>
      </c>
      <c r="Q44" s="2358" t="n"/>
      <c r="R44" s="2358" t="n"/>
      <c r="S44" s="2358" t="n"/>
      <c r="T44" s="2358" t="n"/>
      <c r="U44" s="2358" t="n"/>
      <c r="V44" s="2358" t="n"/>
      <c r="W44" s="2358" t="n"/>
      <c r="X44" s="2358" t="n"/>
      <c r="Y44" s="2360" t="n">
        <v>0.0533</v>
      </c>
      <c r="Z44" s="2358" t="n"/>
      <c r="AA44" s="2360" t="n">
        <v>0.0508</v>
      </c>
      <c r="AB44" s="2360" t="n">
        <v>0.1178</v>
      </c>
      <c r="AC44" s="2358" t="n"/>
      <c r="AD44" s="2358" t="n"/>
      <c r="AE44" s="2358" t="n"/>
      <c r="AF44" s="2358" t="n"/>
      <c r="AG44" s="2360" t="n">
        <v>0.008399999999999999</v>
      </c>
      <c r="AH44" s="2360" t="n">
        <v>1.355</v>
      </c>
      <c r="AI44" s="2360" t="n">
        <v>4.9234</v>
      </c>
      <c r="AJ44" s="2360" t="n">
        <v>8.2796</v>
      </c>
      <c r="AK44" s="2360" t="n">
        <v>4.1196</v>
      </c>
      <c r="AL44" s="2358" t="n"/>
      <c r="AM44" s="2361" t="inlineStr">
        <is>
          <t>Actual accrual; 2023 NOI inflated ~$2.8M by prior-yr RE tax adj; security in Other</t>
        </is>
      </c>
    </row>
    <row r="45" ht="14.1" customHeight="1" s="1449">
      <c r="A45" s="2339" t="inlineStr">
        <is>
          <t>P020</t>
        </is>
      </c>
      <c r="B45" s="2338" t="n">
        <v>584</v>
      </c>
      <c r="C45" s="2339" t="inlineStr">
        <is>
          <t>R0209679</t>
        </is>
      </c>
      <c r="D45" s="2339" t="inlineStr">
        <is>
          <t>17501 E 84th Ave</t>
        </is>
      </c>
      <c r="E45" s="2339" t="inlineStr">
        <is>
          <t>Commerce City</t>
        </is>
      </c>
      <c r="F45" s="2339" t="inlineStr">
        <is>
          <t>CO</t>
        </is>
      </c>
      <c r="G45" s="2339" t="inlineStr">
        <is>
          <t>Industrial</t>
        </is>
      </c>
      <c r="H45" s="2339" t="inlineStr">
        <is>
          <t>Mega Warehouse / Distribution Center NNN (Lowe's)</t>
        </is>
      </c>
      <c r="I45" s="2362" t="n">
        <v>2021</v>
      </c>
      <c r="J45" s="2362" t="n">
        <v>999780</v>
      </c>
      <c r="K45" s="2362" t="n">
        <v>2024</v>
      </c>
      <c r="L45" s="2363" t="n">
        <v>10.003</v>
      </c>
      <c r="M45" s="2339" t="n"/>
      <c r="N45" s="2363" t="n">
        <v>10.003</v>
      </c>
      <c r="O45" s="2363" t="n">
        <v>0.172</v>
      </c>
      <c r="P45" s="2363" t="n">
        <v>0.1016</v>
      </c>
      <c r="Q45" s="2339" t="n"/>
      <c r="R45" s="2339" t="n"/>
      <c r="S45" s="2339" t="n"/>
      <c r="T45" s="2339" t="n"/>
      <c r="U45" s="2339" t="n"/>
      <c r="V45" s="2339" t="n"/>
      <c r="W45" s="2339" t="n"/>
      <c r="X45" s="2339" t="n"/>
      <c r="Y45" s="2363" t="n">
        <v>0.1205</v>
      </c>
      <c r="Z45" s="2339" t="n"/>
      <c r="AA45" s="2363" t="n">
        <v>0.0378</v>
      </c>
      <c r="AB45" s="2363" t="n">
        <v>0.1319</v>
      </c>
      <c r="AC45" s="2339" t="n"/>
      <c r="AD45" s="2339" t="n"/>
      <c r="AE45" s="2339" t="n"/>
      <c r="AF45" s="2339" t="n"/>
      <c r="AG45" s="2363" t="n">
        <v>0.0308</v>
      </c>
      <c r="AH45" s="2363" t="n">
        <v>0.7976</v>
      </c>
      <c r="AI45" s="2363" t="n">
        <v>4.9977</v>
      </c>
      <c r="AJ45" s="2363" t="n">
        <v>5.7953</v>
      </c>
      <c r="AK45" s="2363" t="n">
        <v>4.2077</v>
      </c>
      <c r="AL45" s="2339" t="n"/>
      <c r="AM45" s="2364" t="inlineStr">
        <is>
          <t>Actual accrual; security $30,799 in Other</t>
        </is>
      </c>
    </row>
    <row r="46" ht="14.1" customHeight="1" s="1449">
      <c r="A46" s="2358" t="inlineStr">
        <is>
          <t>P021</t>
        </is>
      </c>
      <c r="B46" s="2338" t="n">
        <v>210</v>
      </c>
      <c r="C46" s="2358" t="inlineStr">
        <is>
          <t>R0091931</t>
        </is>
      </c>
      <c r="D46" s="2358" t="inlineStr">
        <is>
          <t>6300 E. 58th Ave</t>
        </is>
      </c>
      <c r="E46" s="2358" t="inlineStr">
        <is>
          <t>Commerce City</t>
        </is>
      </c>
      <c r="F46" s="2358" t="inlineStr">
        <is>
          <t>CO</t>
        </is>
      </c>
      <c r="G46" s="2358" t="inlineStr">
        <is>
          <t>Industrial</t>
        </is>
      </c>
      <c r="H46" s="2358" t="inlineStr">
        <is>
          <t>Multi-Tenant Industrial/Flex</t>
        </is>
      </c>
      <c r="I46" s="2359" t="n">
        <v>1999</v>
      </c>
      <c r="J46" s="2359" t="n">
        <v>90000</v>
      </c>
      <c r="K46" s="2359" t="n">
        <v>2023</v>
      </c>
      <c r="L46" s="2360" t="n">
        <v>10.5459</v>
      </c>
      <c r="M46" s="2358" t="n"/>
      <c r="N46" s="2360" t="n">
        <v>13.7594</v>
      </c>
      <c r="O46" s="2360" t="n">
        <v>0.176</v>
      </c>
      <c r="P46" s="2360" t="n">
        <v>0.516</v>
      </c>
      <c r="Q46" s="2360" t="n">
        <v>0.0441</v>
      </c>
      <c r="R46" s="2358" t="n"/>
      <c r="S46" s="2360" t="n">
        <v>0.3032</v>
      </c>
      <c r="T46" s="2360" t="n">
        <v>0.0731</v>
      </c>
      <c r="U46" s="2358" t="n"/>
      <c r="V46" s="2358" t="n"/>
      <c r="W46" s="2358" t="n"/>
      <c r="X46" s="2360" t="n">
        <v>0.2579</v>
      </c>
      <c r="Y46" s="2360" t="n">
        <v>0.6783</v>
      </c>
      <c r="Z46" s="2360" t="n">
        <v>0.0103</v>
      </c>
      <c r="AA46" s="2360" t="n">
        <v>0.0531</v>
      </c>
      <c r="AB46" s="2360" t="n">
        <v>0.1252</v>
      </c>
      <c r="AC46" s="2360" t="n">
        <v>0.1886</v>
      </c>
      <c r="AD46" s="2360" t="n">
        <v>0.1574</v>
      </c>
      <c r="AE46" s="2360" t="n">
        <v>0.0621</v>
      </c>
      <c r="AF46" s="2360" t="n">
        <v>0.2196</v>
      </c>
      <c r="AG46" s="2358" t="n"/>
      <c r="AH46" s="2360" t="n">
        <v>1.8054</v>
      </c>
      <c r="AI46" s="2360" t="n">
        <v>3.1511</v>
      </c>
      <c r="AJ46" s="2360" t="n">
        <v>4.9565</v>
      </c>
      <c r="AK46" s="2360" t="n">
        <v>8.802899999999999</v>
      </c>
      <c r="AL46" s="2358" t="n"/>
      <c r="AM46" s="2361" t="inlineStr">
        <is>
          <t>Actual accrual; parking sweep in Trash; admin fees in Mgmt</t>
        </is>
      </c>
    </row>
    <row r="47" ht="14.1" customHeight="1" s="1449">
      <c r="A47" s="2339" t="inlineStr">
        <is>
          <t>P021</t>
        </is>
      </c>
      <c r="B47" s="2338" t="n">
        <v>210</v>
      </c>
      <c r="C47" s="2339" t="inlineStr">
        <is>
          <t>R0091931</t>
        </is>
      </c>
      <c r="D47" s="2339" t="inlineStr">
        <is>
          <t>6300 E. 58th Ave</t>
        </is>
      </c>
      <c r="E47" s="2339" t="inlineStr">
        <is>
          <t>Commerce City</t>
        </is>
      </c>
      <c r="F47" s="2339" t="inlineStr">
        <is>
          <t>CO</t>
        </is>
      </c>
      <c r="G47" s="2339" t="inlineStr">
        <is>
          <t>Industrial</t>
        </is>
      </c>
      <c r="H47" s="2339" t="inlineStr">
        <is>
          <t>Multi-Tenant Industrial/Flex</t>
        </is>
      </c>
      <c r="I47" s="2362" t="n">
        <v>1999</v>
      </c>
      <c r="J47" s="2362" t="n">
        <v>90000</v>
      </c>
      <c r="K47" s="2362" t="n">
        <v>2024</v>
      </c>
      <c r="L47" s="2363" t="n">
        <v>10.1323</v>
      </c>
      <c r="M47" s="2339" t="n"/>
      <c r="N47" s="2363" t="n">
        <v>14.5242</v>
      </c>
      <c r="O47" s="2363" t="n">
        <v>0.1757</v>
      </c>
      <c r="P47" s="2363" t="n">
        <v>0.725</v>
      </c>
      <c r="Q47" s="2363" t="n">
        <v>0.0069</v>
      </c>
      <c r="R47" s="2339" t="n"/>
      <c r="S47" s="2363" t="n">
        <v>0.3996</v>
      </c>
      <c r="T47" s="2363" t="n">
        <v>0.08699999999999999</v>
      </c>
      <c r="U47" s="2339" t="n"/>
      <c r="V47" s="2339" t="n"/>
      <c r="W47" s="2339" t="n"/>
      <c r="X47" s="2363" t="n">
        <v>0.2445</v>
      </c>
      <c r="Y47" s="2363" t="n">
        <v>0.738</v>
      </c>
      <c r="Z47" s="2363" t="n">
        <v>0.0131</v>
      </c>
      <c r="AA47" s="2363" t="n">
        <v>0.0496</v>
      </c>
      <c r="AB47" s="2363" t="n">
        <v>0.1661</v>
      </c>
      <c r="AC47" s="2363" t="n">
        <v>0.2288</v>
      </c>
      <c r="AD47" s="2363" t="n">
        <v>0.1748</v>
      </c>
      <c r="AE47" s="2363" t="n">
        <v>0.06370000000000001</v>
      </c>
      <c r="AF47" s="2363" t="n">
        <v>0.2385</v>
      </c>
      <c r="AG47" s="2339" t="n"/>
      <c r="AH47" s="2363" t="n">
        <v>1.7609</v>
      </c>
      <c r="AI47" s="2363" t="n">
        <v>3.2332</v>
      </c>
      <c r="AJ47" s="2363" t="n">
        <v>4.9941</v>
      </c>
      <c r="AK47" s="2363" t="n">
        <v>9.3636</v>
      </c>
      <c r="AL47" s="2339" t="n"/>
      <c r="AM47" s="2364" t="inlineStr">
        <is>
          <t>Actual accrual; snow $14,953 also listed under ext R&amp;M; security/admin in ext maint</t>
        </is>
      </c>
    </row>
    <row r="48" ht="14.1" customHeight="1" s="1449">
      <c r="A48" s="2358" t="inlineStr">
        <is>
          <t>P022</t>
        </is>
      </c>
      <c r="B48" s="2338" t="n">
        <v>210</v>
      </c>
      <c r="C48" s="2358" t="inlineStr">
        <is>
          <t>R0111559</t>
        </is>
      </c>
      <c r="D48" s="2358" t="inlineStr">
        <is>
          <t>3590 N. Himalaya Rd (Bldg 6)</t>
        </is>
      </c>
      <c r="E48" s="2358" t="inlineStr">
        <is>
          <t>Aurora</t>
        </is>
      </c>
      <c r="F48" s="2358" t="inlineStr">
        <is>
          <t>CO</t>
        </is>
      </c>
      <c r="G48" s="2358" t="inlineStr">
        <is>
          <t>Industrial</t>
        </is>
      </c>
      <c r="H48" s="2358" t="inlineStr">
        <is>
          <t>Multi-Tenant Industrial/Flex NNN</t>
        </is>
      </c>
      <c r="I48" s="2359" t="n"/>
      <c r="J48" s="2359" t="n"/>
      <c r="K48" s="2359" t="n">
        <v>2024</v>
      </c>
      <c r="L48" s="2370" t="n">
        <v>548918</v>
      </c>
      <c r="M48" s="2358" t="n"/>
      <c r="N48" s="2370" t="n">
        <v>766859</v>
      </c>
      <c r="O48" s="2370" t="n">
        <v>23025</v>
      </c>
      <c r="P48" s="2358" t="n"/>
      <c r="Q48" s="2358" t="n"/>
      <c r="R48" s="2358" t="n"/>
      <c r="S48" s="2358" t="n"/>
      <c r="T48" s="2358" t="n"/>
      <c r="U48" s="2358" t="n"/>
      <c r="V48" s="2358" t="n"/>
      <c r="W48" s="2358" t="n"/>
      <c r="X48" s="2358" t="n"/>
      <c r="Y48" s="2358" t="n"/>
      <c r="Z48" s="2358" t="n"/>
      <c r="AA48" s="2358" t="n"/>
      <c r="AB48" s="2358" t="n"/>
      <c r="AC48" s="2358" t="n"/>
      <c r="AD48" s="2370" t="n">
        <v>7986</v>
      </c>
      <c r="AE48" s="2370" t="n">
        <v>33669</v>
      </c>
      <c r="AF48" s="2370" t="n">
        <v>41655</v>
      </c>
      <c r="AG48" s="2358" t="n"/>
      <c r="AH48" s="2358" t="n"/>
      <c r="AI48" s="2370" t="n">
        <v>129107</v>
      </c>
      <c r="AJ48" s="2370" t="n">
        <v>250157</v>
      </c>
      <c r="AK48" s="2370" t="n">
        <v>374789</v>
      </c>
      <c r="AL48" s="2358" t="n"/>
      <c r="AM48" s="2361" t="inlineStr">
        <is>
          <t>[NO SF] 2024 only – 2023 was transitional vacancy year; SF not confirmed; approx figures</t>
        </is>
      </c>
    </row>
    <row r="49" ht="14.1" customHeight="1" s="1449">
      <c r="A49" s="2339" t="inlineStr">
        <is>
          <t>P023</t>
        </is>
      </c>
      <c r="B49" s="2338" t="n">
        <v>407</v>
      </c>
      <c r="C49" s="2339" t="inlineStr">
        <is>
          <t>R0191098</t>
        </is>
      </c>
      <c r="D49" s="2339" t="inlineStr">
        <is>
          <t>19754 E. 35th Dr (Bldg 4)</t>
        </is>
      </c>
      <c r="E49" s="2339" t="inlineStr">
        <is>
          <t>Aurora</t>
        </is>
      </c>
      <c r="F49" s="2339" t="inlineStr">
        <is>
          <t>CO</t>
        </is>
      </c>
      <c r="G49" s="2339" t="inlineStr">
        <is>
          <t>Industrial</t>
        </is>
      </c>
      <c r="H49" s="2339" t="inlineStr">
        <is>
          <t>Single-Tenant Industrial NNN</t>
        </is>
      </c>
      <c r="I49" s="2362" t="n"/>
      <c r="J49" s="2362" t="n">
        <v>155033</v>
      </c>
      <c r="K49" s="2362" t="n">
        <v>2023</v>
      </c>
      <c r="L49" s="2363" t="n">
        <v>6.2562</v>
      </c>
      <c r="M49" s="2339" t="n"/>
      <c r="N49" s="2363" t="n">
        <v>6.246</v>
      </c>
      <c r="O49" s="2363" t="n">
        <v>0.1319</v>
      </c>
      <c r="P49" s="2363" t="n">
        <v>0.1932</v>
      </c>
      <c r="Q49" s="2339" t="n"/>
      <c r="R49" s="2339" t="n"/>
      <c r="S49" s="2339" t="n"/>
      <c r="T49" s="2339" t="n"/>
      <c r="U49" s="2339" t="n"/>
      <c r="V49" s="2339" t="n"/>
      <c r="W49" s="2339" t="n"/>
      <c r="X49" s="2339" t="n"/>
      <c r="Y49" s="2339" t="n"/>
      <c r="Z49" s="2339" t="n"/>
      <c r="AA49" s="2363" t="n">
        <v>0.0257</v>
      </c>
      <c r="AB49" s="2339" t="n"/>
      <c r="AC49" s="2339" t="n"/>
      <c r="AD49" s="2363" t="n">
        <v>0.2449</v>
      </c>
      <c r="AE49" s="2363" t="n">
        <v>0.0885</v>
      </c>
      <c r="AF49" s="2363" t="n">
        <v>0.3334</v>
      </c>
      <c r="AG49" s="2339" t="n"/>
      <c r="AH49" s="2363" t="n">
        <v>1.9053</v>
      </c>
      <c r="AI49" s="2363" t="n">
        <v>0.5968</v>
      </c>
      <c r="AJ49" s="2363" t="n">
        <v>2.5021</v>
      </c>
      <c r="AK49" s="2363" t="n">
        <v>3.7439</v>
      </c>
      <c r="AL49" s="2339" t="n"/>
      <c r="AM49" s="2364" t="inlineStr">
        <is>
          <t>NNN; tenant pays most R&amp;M directly; Quality Custom Distribution lease thru 12/31/2029</t>
        </is>
      </c>
    </row>
    <row r="50" ht="14.1" customHeight="1" s="1449">
      <c r="A50" s="2358" t="inlineStr">
        <is>
          <t>P023</t>
        </is>
      </c>
      <c r="B50" s="2338" t="n">
        <v>407</v>
      </c>
      <c r="C50" s="2358" t="inlineStr">
        <is>
          <t>R0191098</t>
        </is>
      </c>
      <c r="D50" s="2358" t="inlineStr">
        <is>
          <t>19754 E. 35th Dr (Bldg 4)</t>
        </is>
      </c>
      <c r="E50" s="2358" t="inlineStr">
        <is>
          <t>Aurora</t>
        </is>
      </c>
      <c r="F50" s="2358" t="inlineStr">
        <is>
          <t>CO</t>
        </is>
      </c>
      <c r="G50" s="2358" t="inlineStr">
        <is>
          <t>Industrial</t>
        </is>
      </c>
      <c r="H50" s="2358" t="inlineStr">
        <is>
          <t>Single-Tenant Industrial NNN</t>
        </is>
      </c>
      <c r="I50" s="2359" t="n"/>
      <c r="J50" s="2359" t="n">
        <v>155033</v>
      </c>
      <c r="K50" s="2359" t="n">
        <v>2024</v>
      </c>
      <c r="L50" s="2360" t="n">
        <v>6.5223</v>
      </c>
      <c r="M50" s="2358" t="n"/>
      <c r="N50" s="2360" t="n">
        <v>6.5223</v>
      </c>
      <c r="O50" s="2360" t="n">
        <v>0.183</v>
      </c>
      <c r="P50" s="2360" t="n">
        <v>0.1894</v>
      </c>
      <c r="Q50" s="2358" t="n"/>
      <c r="R50" s="2358" t="n"/>
      <c r="S50" s="2358" t="n"/>
      <c r="T50" s="2358" t="n"/>
      <c r="U50" s="2358" t="n"/>
      <c r="V50" s="2358" t="n"/>
      <c r="W50" s="2358" t="n"/>
      <c r="X50" s="2358" t="n"/>
      <c r="Y50" s="2358" t="n"/>
      <c r="Z50" s="2358" t="n"/>
      <c r="AA50" s="2358" t="n"/>
      <c r="AB50" s="2358" t="n"/>
      <c r="AC50" s="2358" t="n"/>
      <c r="AD50" s="2360" t="n">
        <v>0.2365</v>
      </c>
      <c r="AE50" s="2360" t="n">
        <v>0.1764</v>
      </c>
      <c r="AF50" s="2360" t="n">
        <v>0.4129</v>
      </c>
      <c r="AG50" s="2358" t="n"/>
      <c r="AH50" s="2360" t="n">
        <v>1.7082</v>
      </c>
      <c r="AI50" s="2360" t="n">
        <v>0.7799</v>
      </c>
      <c r="AJ50" s="2360" t="n">
        <v>2.4881</v>
      </c>
      <c r="AK50" s="2360" t="n">
        <v>4.0342</v>
      </c>
      <c r="AL50" s="2358" t="n"/>
      <c r="AM50" s="2361" t="inlineStr">
        <is>
          <t>NNN; tenant pays most R&amp;M directly</t>
        </is>
      </c>
    </row>
    <row r="51" ht="14.1" customHeight="1" s="1449">
      <c r="A51" s="2339" t="inlineStr">
        <is>
          <t>P024</t>
        </is>
      </c>
      <c r="B51" s="2338" t="n">
        <v>407</v>
      </c>
      <c r="C51" s="2339" t="inlineStr">
        <is>
          <t>R0111560</t>
        </is>
      </c>
      <c r="D51" s="2339" t="inlineStr">
        <is>
          <t>20320 E. 36th Dr (Bldg 7)</t>
        </is>
      </c>
      <c r="E51" s="2339" t="inlineStr">
        <is>
          <t>Aurora</t>
        </is>
      </c>
      <c r="F51" s="2339" t="inlineStr">
        <is>
          <t>CO</t>
        </is>
      </c>
      <c r="G51" s="2339" t="inlineStr">
        <is>
          <t>Industrial</t>
        </is>
      </c>
      <c r="H51" s="2339" t="inlineStr">
        <is>
          <t>Single-Tenant Industrial NNN</t>
        </is>
      </c>
      <c r="I51" s="2362" t="n"/>
      <c r="J51" s="2362" t="n">
        <v>200000</v>
      </c>
      <c r="K51" s="2362" t="n">
        <v>2023</v>
      </c>
      <c r="L51" s="2363" t="n">
        <v>6.9558</v>
      </c>
      <c r="M51" s="2339" t="n"/>
      <c r="N51" s="2363" t="n">
        <v>6.7858</v>
      </c>
      <c r="O51" s="2363" t="n">
        <v>0.02</v>
      </c>
      <c r="P51" s="2339" t="n"/>
      <c r="Q51" s="2339" t="n"/>
      <c r="R51" s="2339" t="n"/>
      <c r="S51" s="2339" t="n"/>
      <c r="T51" s="2339" t="n"/>
      <c r="U51" s="2339" t="n"/>
      <c r="V51" s="2339" t="n"/>
      <c r="W51" s="2339" t="n"/>
      <c r="X51" s="2339" t="n"/>
      <c r="Y51" s="2339" t="n"/>
      <c r="Z51" s="2339" t="n"/>
      <c r="AA51" s="2339" t="n"/>
      <c r="AB51" s="2339" t="n"/>
      <c r="AC51" s="2339" t="n"/>
      <c r="AD51" s="2339" t="n"/>
      <c r="AE51" s="2363" t="n">
        <v>0.0121</v>
      </c>
      <c r="AF51" s="2363" t="n">
        <v>0.0121</v>
      </c>
      <c r="AG51" s="2339" t="n"/>
      <c r="AH51" s="2363" t="n">
        <v>1.179</v>
      </c>
      <c r="AI51" s="2363" t="n">
        <v>0.0174</v>
      </c>
      <c r="AJ51" s="2363" t="n">
        <v>1.1964</v>
      </c>
      <c r="AK51" s="2363" t="n">
        <v>5.5895</v>
      </c>
      <c r="AL51" s="2339" t="n"/>
      <c r="AM51" s="2364" t="inlineStr">
        <is>
          <t>FedEx NNN thru 4/30/2024; tenant pays nearly all expenses; 2024 excluded (lease expiry vacancy)</t>
        </is>
      </c>
    </row>
    <row r="52" ht="14.1" customHeight="1" s="1449">
      <c r="A52" s="2358" t="inlineStr">
        <is>
          <t>P025</t>
        </is>
      </c>
      <c r="B52" s="2338" t="n">
        <v>210</v>
      </c>
      <c r="C52" s="2358" t="inlineStr">
        <is>
          <t>R0191099</t>
        </is>
      </c>
      <c r="D52" s="2358" t="inlineStr">
        <is>
          <t>3559 N. Himalaya Rd (Bldg 5)</t>
        </is>
      </c>
      <c r="E52" s="2358" t="inlineStr">
        <is>
          <t>Aurora</t>
        </is>
      </c>
      <c r="F52" s="2358" t="inlineStr">
        <is>
          <t>CO</t>
        </is>
      </c>
      <c r="G52" s="2358" t="inlineStr">
        <is>
          <t>Industrial</t>
        </is>
      </c>
      <c r="H52" s="2358" t="inlineStr">
        <is>
          <t>Multi-Tenant Industrial NNN</t>
        </is>
      </c>
      <c r="I52" s="2359" t="n"/>
      <c r="J52" s="2359" t="n">
        <v>159047</v>
      </c>
      <c r="K52" s="2359" t="n">
        <v>2023</v>
      </c>
      <c r="L52" s="2358" t="n"/>
      <c r="M52" s="2358" t="n"/>
      <c r="N52" s="2360" t="n">
        <v>13.4944</v>
      </c>
      <c r="O52" s="2358" t="n"/>
      <c r="P52" s="2360" t="n">
        <v>0.0367</v>
      </c>
      <c r="Q52" s="2358" t="n"/>
      <c r="R52" s="2358" t="n"/>
      <c r="S52" s="2358" t="n"/>
      <c r="T52" s="2358" t="n"/>
      <c r="U52" s="2358" t="n"/>
      <c r="V52" s="2358" t="n"/>
      <c r="W52" s="2358" t="n"/>
      <c r="X52" s="2358" t="n"/>
      <c r="Y52" s="2358" t="n"/>
      <c r="Z52" s="2358" t="n"/>
      <c r="AA52" s="2358" t="n"/>
      <c r="AB52" s="2360" t="n">
        <v>0.0177</v>
      </c>
      <c r="AC52" s="2358" t="n"/>
      <c r="AD52" s="2358" t="n"/>
      <c r="AE52" s="2358" t="n"/>
      <c r="AF52" s="2358" t="n"/>
      <c r="AG52" s="2358" t="n"/>
      <c r="AH52" s="2358" t="n"/>
      <c r="AI52" s="2358" t="n"/>
      <c r="AJ52" s="2360" t="n">
        <v>6.3824</v>
      </c>
      <c r="AK52" s="2360" t="n">
        <v>7.112</v>
      </c>
      <c r="AL52" s="2358" t="n"/>
      <c r="AM52" s="2361" t="inlineStr">
        <is>
          <t>Multi-tenant NNN; limited expense detail available; approx figures</t>
        </is>
      </c>
    </row>
    <row r="53" ht="14.1" customHeight="1" s="1449">
      <c r="A53" s="2339" t="inlineStr">
        <is>
          <t>P025</t>
        </is>
      </c>
      <c r="B53" s="2338" t="n">
        <v>210</v>
      </c>
      <c r="C53" s="2339" t="inlineStr">
        <is>
          <t>R0191099</t>
        </is>
      </c>
      <c r="D53" s="2339" t="inlineStr">
        <is>
          <t>3559 N. Himalaya Rd (Bldg 5)</t>
        </is>
      </c>
      <c r="E53" s="2339" t="inlineStr">
        <is>
          <t>Aurora</t>
        </is>
      </c>
      <c r="F53" s="2339" t="inlineStr">
        <is>
          <t>CO</t>
        </is>
      </c>
      <c r="G53" s="2339" t="inlineStr">
        <is>
          <t>Industrial</t>
        </is>
      </c>
      <c r="H53" s="2339" t="inlineStr">
        <is>
          <t>Multi-Tenant Industrial NNN</t>
        </is>
      </c>
      <c r="I53" s="2362" t="n"/>
      <c r="J53" s="2362" t="n">
        <v>159047</v>
      </c>
      <c r="K53" s="2362" t="n">
        <v>2024</v>
      </c>
      <c r="L53" s="2339" t="n"/>
      <c r="M53" s="2339" t="n"/>
      <c r="N53" s="2363" t="n">
        <v>13.507</v>
      </c>
      <c r="O53" s="2339" t="n"/>
      <c r="P53" s="2339" t="n"/>
      <c r="Q53" s="2339" t="n"/>
      <c r="R53" s="2339" t="n"/>
      <c r="S53" s="2339" t="n"/>
      <c r="T53" s="2339" t="n"/>
      <c r="U53" s="2339" t="n"/>
      <c r="V53" s="2339" t="n"/>
      <c r="W53" s="2339" t="n"/>
      <c r="X53" s="2339" t="n"/>
      <c r="Y53" s="2339" t="n"/>
      <c r="Z53" s="2339" t="n"/>
      <c r="AA53" s="2339" t="n"/>
      <c r="AB53" s="2363" t="n">
        <v>0.0177</v>
      </c>
      <c r="AC53" s="2339" t="n"/>
      <c r="AD53" s="2339" t="n"/>
      <c r="AE53" s="2339" t="n"/>
      <c r="AF53" s="2339" t="n"/>
      <c r="AG53" s="2339" t="n"/>
      <c r="AH53" s="2339" t="n"/>
      <c r="AI53" s="2339" t="n"/>
      <c r="AJ53" s="2363" t="n">
        <v>7.3989</v>
      </c>
      <c r="AK53" s="2363" t="n">
        <v>6.1082</v>
      </c>
      <c r="AL53" s="2339" t="n"/>
      <c r="AM53" s="2364" t="inlineStr">
        <is>
          <t>Multi-tenant NNN; limited expense detail available; approx figures</t>
        </is>
      </c>
    </row>
    <row r="54" ht="14.1" customHeight="1" s="1449">
      <c r="A54" s="2358" t="inlineStr">
        <is>
          <t>P026</t>
        </is>
      </c>
      <c r="B54" s="2338" t="n">
        <v>406</v>
      </c>
      <c r="C54" s="2358" t="inlineStr">
        <is>
          <t>R0092667</t>
        </is>
      </c>
      <c r="D54" s="2358" t="inlineStr">
        <is>
          <t>4901 Locust St</t>
        </is>
      </c>
      <c r="E54" s="2358" t="inlineStr">
        <is>
          <t>Commerce City</t>
        </is>
      </c>
      <c r="F54" s="2358" t="inlineStr">
        <is>
          <t>CO</t>
        </is>
      </c>
      <c r="G54" s="2358" t="inlineStr">
        <is>
          <t>Industrial</t>
        </is>
      </c>
      <c r="H54" s="2358" t="inlineStr">
        <is>
          <t>Industrial Warehouse</t>
        </is>
      </c>
      <c r="I54" s="2359" t="n"/>
      <c r="J54" s="2359" t="n">
        <v>29512</v>
      </c>
      <c r="K54" s="2359" t="n">
        <v>2024</v>
      </c>
      <c r="L54" s="2358" t="n"/>
      <c r="M54" s="2358" t="n"/>
      <c r="N54" s="2360" t="n">
        <v>14.2131</v>
      </c>
      <c r="O54" s="2360" t="n">
        <v>0.15</v>
      </c>
      <c r="P54" s="2360" t="n">
        <v>0.3553</v>
      </c>
      <c r="Q54" s="2358" t="n"/>
      <c r="R54" s="2358" t="n"/>
      <c r="S54" s="2358" t="n"/>
      <c r="T54" s="2358" t="n"/>
      <c r="U54" s="2358" t="n"/>
      <c r="V54" s="2358" t="n"/>
      <c r="W54" s="2358" t="n"/>
      <c r="X54" s="2360" t="n">
        <v>0.55</v>
      </c>
      <c r="Y54" s="2360" t="n">
        <v>0.55</v>
      </c>
      <c r="Z54" s="2358" t="n"/>
      <c r="AA54" s="2358" t="n"/>
      <c r="AB54" s="2358" t="n"/>
      <c r="AC54" s="2358" t="n"/>
      <c r="AD54" s="2358" t="n"/>
      <c r="AE54" s="2358" t="n"/>
      <c r="AF54" s="2360" t="n">
        <v>0.25</v>
      </c>
      <c r="AG54" s="2360" t="n">
        <v>0.5</v>
      </c>
      <c r="AH54" s="2360" t="n">
        <v>2.0053</v>
      </c>
      <c r="AI54" s="2360" t="n">
        <v>3.315</v>
      </c>
      <c r="AJ54" s="2360" t="n">
        <v>5.3203</v>
      </c>
      <c r="AK54" s="2360" t="n">
        <v>8.892799999999999</v>
      </c>
      <c r="AL54" s="2360" t="n">
        <v>0.2</v>
      </c>
      <c r="AM54" s="2361" t="inlineStr">
        <is>
          <t>Newmark stabilized proforma 6/30/2024; cap rate 7.00%; not actual historical</t>
        </is>
      </c>
    </row>
    <row r="55" ht="14.1" customHeight="1" s="1449">
      <c r="A55" s="2339" t="inlineStr">
        <is>
          <t>P022</t>
        </is>
      </c>
      <c r="B55" s="2338" t="n">
        <v>210</v>
      </c>
      <c r="C55" s="2339" t="inlineStr">
        <is>
          <t>R0111559</t>
        </is>
      </c>
      <c r="D55" s="2339" t="inlineStr">
        <is>
          <t>3590 N. Himalaya Rd (Bldg 6)</t>
        </is>
      </c>
      <c r="E55" s="2339" t="inlineStr">
        <is>
          <t>Aurora</t>
        </is>
      </c>
      <c r="F55" s="2339" t="inlineStr">
        <is>
          <t>CO</t>
        </is>
      </c>
      <c r="G55" s="2339" t="inlineStr">
        <is>
          <t>Industrial</t>
        </is>
      </c>
      <c r="H55" s="2339" t="inlineStr">
        <is>
          <t>Multi-Tenant Industrial/Flex NNN</t>
        </is>
      </c>
      <c r="I55" s="2362" t="n">
        <v>1998</v>
      </c>
      <c r="J55" s="2362" t="n">
        <v>123603</v>
      </c>
      <c r="K55" s="2362" t="n">
        <v>2021</v>
      </c>
      <c r="L55" s="2339" t="n"/>
      <c r="M55" s="2339" t="n"/>
      <c r="N55" s="2339" t="n"/>
      <c r="O55" s="2363" t="n">
        <v>0.0839</v>
      </c>
      <c r="P55" s="2363" t="n">
        <v>0.351</v>
      </c>
      <c r="Q55" s="2339" t="n"/>
      <c r="R55" s="2339" t="n"/>
      <c r="S55" s="2339" t="n"/>
      <c r="T55" s="2339" t="n"/>
      <c r="U55" s="2339" t="n"/>
      <c r="V55" s="2339" t="n"/>
      <c r="W55" s="2339" t="n"/>
      <c r="X55" s="2339" t="n"/>
      <c r="Y55" s="2339" t="n"/>
      <c r="Z55" s="2339" t="n"/>
      <c r="AA55" s="2339" t="n"/>
      <c r="AB55" s="2339" t="n"/>
      <c r="AC55" s="2363" t="n">
        <v>0.717</v>
      </c>
      <c r="AD55" s="2339" t="n"/>
      <c r="AE55" s="2339" t="n"/>
      <c r="AF55" s="2363" t="n">
        <v>0.2998</v>
      </c>
      <c r="AG55" s="2339" t="n"/>
      <c r="AH55" s="2363" t="n">
        <v>1.4518</v>
      </c>
      <c r="AI55" s="2363" t="n">
        <v>2.3392</v>
      </c>
      <c r="AJ55" s="2363" t="n">
        <v>3.791</v>
      </c>
      <c r="AK55" s="2339" t="n"/>
      <c r="AL55" s="2339" t="n"/>
      <c r="AM55" s="2364" t="inlineStr">
        <is>
          <t>NNN landlord expenses only; from AXG Whse Expenses PSF.xlsx</t>
        </is>
      </c>
    </row>
    <row r="56" ht="14.1" customHeight="1" s="1449">
      <c r="A56" s="2358" t="inlineStr">
        <is>
          <t>P022</t>
        </is>
      </c>
      <c r="B56" s="2338" t="n">
        <v>210</v>
      </c>
      <c r="C56" s="2358" t="inlineStr">
        <is>
          <t>R0111559</t>
        </is>
      </c>
      <c r="D56" s="2358" t="inlineStr">
        <is>
          <t>3590 N. Himalaya Rd (Bldg 6)</t>
        </is>
      </c>
      <c r="E56" s="2358" t="inlineStr">
        <is>
          <t>Aurora</t>
        </is>
      </c>
      <c r="F56" s="2358" t="inlineStr">
        <is>
          <t>CO</t>
        </is>
      </c>
      <c r="G56" s="2358" t="inlineStr">
        <is>
          <t>Industrial</t>
        </is>
      </c>
      <c r="H56" s="2358" t="inlineStr">
        <is>
          <t>Multi-Tenant Industrial/Flex NNN</t>
        </is>
      </c>
      <c r="I56" s="2359" t="n">
        <v>1998</v>
      </c>
      <c r="J56" s="2359" t="n">
        <v>123603</v>
      </c>
      <c r="K56" s="2359" t="n">
        <v>2022</v>
      </c>
      <c r="L56" s="2358" t="n"/>
      <c r="M56" s="2358" t="n"/>
      <c r="N56" s="2358" t="n"/>
      <c r="O56" s="2360" t="n">
        <v>0.0893</v>
      </c>
      <c r="P56" s="2360" t="n">
        <v>0.3221</v>
      </c>
      <c r="Q56" s="2358" t="n"/>
      <c r="R56" s="2358" t="n"/>
      <c r="S56" s="2358" t="n"/>
      <c r="T56" s="2358" t="n"/>
      <c r="U56" s="2358" t="n"/>
      <c r="V56" s="2358" t="n"/>
      <c r="W56" s="2358" t="n"/>
      <c r="X56" s="2358" t="n"/>
      <c r="Y56" s="2358" t="n"/>
      <c r="Z56" s="2358" t="n"/>
      <c r="AA56" s="2358" t="n"/>
      <c r="AB56" s="2358" t="n"/>
      <c r="AC56" s="2360" t="n">
        <v>0.7439</v>
      </c>
      <c r="AD56" s="2358" t="n"/>
      <c r="AE56" s="2358" t="n"/>
      <c r="AF56" s="2360" t="n">
        <v>0.3112</v>
      </c>
      <c r="AG56" s="2358" t="n"/>
      <c r="AH56" s="2360" t="n">
        <v>1.4664</v>
      </c>
      <c r="AI56" s="2360" t="n">
        <v>2.5796</v>
      </c>
      <c r="AJ56" s="2360" t="n">
        <v>4.046</v>
      </c>
      <c r="AK56" s="2358" t="n"/>
      <c r="AL56" s="2358" t="n"/>
      <c r="AM56" s="2361" t="inlineStr">
        <is>
          <t>NNN landlord expenses only; from AXG Whse Expenses PSF.xlsx</t>
        </is>
      </c>
    </row>
    <row r="57" ht="14.1" customHeight="1" s="1449">
      <c r="A57" s="2339" t="inlineStr">
        <is>
          <t>P024</t>
        </is>
      </c>
      <c r="B57" s="2338" t="n">
        <v>407</v>
      </c>
      <c r="C57" s="2339" t="inlineStr">
        <is>
          <t>R0111560</t>
        </is>
      </c>
      <c r="D57" s="2339" t="inlineStr">
        <is>
          <t>20320 E. 36th Dr (Bldg 7)</t>
        </is>
      </c>
      <c r="E57" s="2339" t="inlineStr">
        <is>
          <t>Aurora</t>
        </is>
      </c>
      <c r="F57" s="2339" t="inlineStr">
        <is>
          <t>CO</t>
        </is>
      </c>
      <c r="G57" s="2339" t="inlineStr">
        <is>
          <t>Industrial</t>
        </is>
      </c>
      <c r="H57" s="2339" t="inlineStr">
        <is>
          <t>Single-Tenant Industrial NNN</t>
        </is>
      </c>
      <c r="I57" s="2362" t="n">
        <v>1998</v>
      </c>
      <c r="J57" s="2362" t="n">
        <v>199962</v>
      </c>
      <c r="K57" s="2362" t="n">
        <v>2019</v>
      </c>
      <c r="L57" s="2339" t="n"/>
      <c r="M57" s="2339" t="n"/>
      <c r="N57" s="2339" t="n"/>
      <c r="O57" s="2363" t="n">
        <v>0.0423</v>
      </c>
      <c r="P57" s="2363" t="n">
        <v>0.131</v>
      </c>
      <c r="Q57" s="2339" t="n"/>
      <c r="R57" s="2339" t="n"/>
      <c r="S57" s="2339" t="n"/>
      <c r="T57" s="2339" t="n"/>
      <c r="U57" s="2339" t="n"/>
      <c r="V57" s="2339" t="n"/>
      <c r="W57" s="2339" t="n"/>
      <c r="X57" s="2339" t="n"/>
      <c r="Y57" s="2339" t="n"/>
      <c r="Z57" s="2339" t="n"/>
      <c r="AA57" s="2339" t="n"/>
      <c r="AB57" s="2339" t="n"/>
      <c r="AC57" s="2363" t="n">
        <v>1.3087</v>
      </c>
      <c r="AD57" s="2339" t="n"/>
      <c r="AE57" s="2339" t="n"/>
      <c r="AF57" s="2339" t="n"/>
      <c r="AG57" s="2339" t="n"/>
      <c r="AH57" s="2363" t="n">
        <v>1.482</v>
      </c>
      <c r="AI57" s="2363" t="n">
        <v>2.4741</v>
      </c>
      <c r="AJ57" s="2363" t="n">
        <v>3.9561</v>
      </c>
      <c r="AK57" s="2339" t="n"/>
      <c r="AL57" s="2339" t="n"/>
      <c r="AM57" s="2364" t="inlineStr">
        <is>
          <t>NNN landlord expenses only; from AXG Whse Expenses PSF.xlsx</t>
        </is>
      </c>
    </row>
    <row r="58" ht="14.1" customHeight="1" s="1449">
      <c r="A58" s="2358" t="inlineStr">
        <is>
          <t>P024</t>
        </is>
      </c>
      <c r="B58" s="2338" t="n">
        <v>407</v>
      </c>
      <c r="C58" s="2358" t="inlineStr">
        <is>
          <t>R0111560</t>
        </is>
      </c>
      <c r="D58" s="2358" t="inlineStr">
        <is>
          <t>20320 E. 36th Dr (Bldg 7)</t>
        </is>
      </c>
      <c r="E58" s="2358" t="inlineStr">
        <is>
          <t>Aurora</t>
        </is>
      </c>
      <c r="F58" s="2358" t="inlineStr">
        <is>
          <t>CO</t>
        </is>
      </c>
      <c r="G58" s="2358" t="inlineStr">
        <is>
          <t>Industrial</t>
        </is>
      </c>
      <c r="H58" s="2358" t="inlineStr">
        <is>
          <t>Single-Tenant Industrial NNN</t>
        </is>
      </c>
      <c r="I58" s="2359" t="n">
        <v>1998</v>
      </c>
      <c r="J58" s="2359" t="n">
        <v>199962</v>
      </c>
      <c r="K58" s="2359" t="n">
        <v>2020</v>
      </c>
      <c r="L58" s="2358" t="n"/>
      <c r="M58" s="2358" t="n"/>
      <c r="N58" s="2358" t="n"/>
      <c r="O58" s="2360" t="n">
        <v>0.0484</v>
      </c>
      <c r="P58" s="2360" t="n">
        <v>0.1332</v>
      </c>
      <c r="Q58" s="2358" t="n"/>
      <c r="R58" s="2358" t="n"/>
      <c r="S58" s="2358" t="n"/>
      <c r="T58" s="2358" t="n"/>
      <c r="U58" s="2358" t="n"/>
      <c r="V58" s="2358" t="n"/>
      <c r="W58" s="2358" t="n"/>
      <c r="X58" s="2358" t="n"/>
      <c r="Y58" s="2358" t="n"/>
      <c r="Z58" s="2358" t="n"/>
      <c r="AA58" s="2358" t="n"/>
      <c r="AB58" s="2358" t="n"/>
      <c r="AC58" s="2360" t="n">
        <v>0.7242</v>
      </c>
      <c r="AD58" s="2358" t="n"/>
      <c r="AE58" s="2358" t="n"/>
      <c r="AF58" s="2358" t="n"/>
      <c r="AG58" s="2358" t="n"/>
      <c r="AH58" s="2360" t="n">
        <v>0.9058</v>
      </c>
      <c r="AI58" s="2360" t="n">
        <v>2.0784</v>
      </c>
      <c r="AJ58" s="2360" t="n">
        <v>2.9841</v>
      </c>
      <c r="AK58" s="2358" t="n"/>
      <c r="AL58" s="2358" t="n"/>
      <c r="AM58" s="2361" t="inlineStr">
        <is>
          <t>NNN landlord expenses only; from AXG Whse Expenses PSF.xlsx</t>
        </is>
      </c>
    </row>
    <row r="59" ht="14.1" customHeight="1" s="1449">
      <c r="A59" s="2339" t="inlineStr">
        <is>
          <t>P025</t>
        </is>
      </c>
      <c r="B59" s="2338" t="n">
        <v>210</v>
      </c>
      <c r="C59" s="2339" t="inlineStr">
        <is>
          <t>R0191099</t>
        </is>
      </c>
      <c r="D59" s="2339" t="inlineStr">
        <is>
          <t>3559 N. Himalaya Rd (Bldg 5)</t>
        </is>
      </c>
      <c r="E59" s="2339" t="inlineStr">
        <is>
          <t>Aurora</t>
        </is>
      </c>
      <c r="F59" s="2339" t="inlineStr">
        <is>
          <t>CO</t>
        </is>
      </c>
      <c r="G59" s="2339" t="inlineStr">
        <is>
          <t>Industrial</t>
        </is>
      </c>
      <c r="H59" s="2339" t="inlineStr">
        <is>
          <t>Multi-Tenant Industrial NNN</t>
        </is>
      </c>
      <c r="I59" s="2362" t="n">
        <v>2017</v>
      </c>
      <c r="J59" s="2362" t="n">
        <v>159047</v>
      </c>
      <c r="K59" s="2362" t="n">
        <v>2021</v>
      </c>
      <c r="L59" s="2339" t="n"/>
      <c r="M59" s="2339" t="n"/>
      <c r="N59" s="2339" t="n"/>
      <c r="O59" s="2363" t="n">
        <v>0.0956</v>
      </c>
      <c r="P59" s="2363" t="n">
        <v>0.3379</v>
      </c>
      <c r="Q59" s="2339" t="n"/>
      <c r="R59" s="2339" t="n"/>
      <c r="S59" s="2339" t="n"/>
      <c r="T59" s="2339" t="n"/>
      <c r="U59" s="2339" t="n"/>
      <c r="V59" s="2339" t="n"/>
      <c r="W59" s="2339" t="n"/>
      <c r="X59" s="2339" t="n"/>
      <c r="Y59" s="2339" t="n"/>
      <c r="Z59" s="2339" t="n"/>
      <c r="AA59" s="2339" t="n"/>
      <c r="AB59" s="2339" t="n"/>
      <c r="AC59" s="2363" t="n">
        <v>0.3767</v>
      </c>
      <c r="AD59" s="2339" t="n"/>
      <c r="AE59" s="2339" t="n"/>
      <c r="AF59" s="2363" t="n">
        <v>0.2913</v>
      </c>
      <c r="AG59" s="2339" t="n"/>
      <c r="AH59" s="2363" t="n">
        <v>1.1015</v>
      </c>
      <c r="AI59" s="2363" t="n">
        <v>3.4893</v>
      </c>
      <c r="AJ59" s="2363" t="n">
        <v>4.5908</v>
      </c>
      <c r="AK59" s="2339" t="n"/>
      <c r="AL59" s="2339" t="n"/>
      <c r="AM59" s="2364" t="inlineStr">
        <is>
          <t>NNN landlord expenses only; from AXG Whse Expenses PSF.xlsx</t>
        </is>
      </c>
    </row>
    <row r="60" ht="14.1" customHeight="1" s="1449">
      <c r="A60" s="2358" t="inlineStr">
        <is>
          <t>P025</t>
        </is>
      </c>
      <c r="B60" s="2338" t="n">
        <v>210</v>
      </c>
      <c r="C60" s="2358" t="inlineStr">
        <is>
          <t>R0191099</t>
        </is>
      </c>
      <c r="D60" s="2358" t="inlineStr">
        <is>
          <t>3559 N. Himalaya Rd (Bldg 5)</t>
        </is>
      </c>
      <c r="E60" s="2358" t="inlineStr">
        <is>
          <t>Aurora</t>
        </is>
      </c>
      <c r="F60" s="2358" t="inlineStr">
        <is>
          <t>CO</t>
        </is>
      </c>
      <c r="G60" s="2358" t="inlineStr">
        <is>
          <t>Industrial</t>
        </is>
      </c>
      <c r="H60" s="2358" t="inlineStr">
        <is>
          <t>Multi-Tenant Industrial NNN</t>
        </is>
      </c>
      <c r="I60" s="2359" t="n">
        <v>2017</v>
      </c>
      <c r="J60" s="2359" t="n">
        <v>159047</v>
      </c>
      <c r="K60" s="2359" t="n">
        <v>2022</v>
      </c>
      <c r="L60" s="2358" t="n"/>
      <c r="M60" s="2358" t="n"/>
      <c r="N60" s="2358" t="n"/>
      <c r="O60" s="2360" t="n">
        <v>0.1017</v>
      </c>
      <c r="P60" s="2360" t="n">
        <v>0.3102</v>
      </c>
      <c r="Q60" s="2358" t="n"/>
      <c r="R60" s="2358" t="n"/>
      <c r="S60" s="2358" t="n"/>
      <c r="T60" s="2358" t="n"/>
      <c r="U60" s="2358" t="n"/>
      <c r="V60" s="2358" t="n"/>
      <c r="W60" s="2358" t="n"/>
      <c r="X60" s="2358" t="n"/>
      <c r="Y60" s="2358" t="n"/>
      <c r="Z60" s="2358" t="n"/>
      <c r="AA60" s="2358" t="n"/>
      <c r="AB60" s="2358" t="n"/>
      <c r="AC60" s="2360" t="n">
        <v>0.3353</v>
      </c>
      <c r="AD60" s="2358" t="n"/>
      <c r="AE60" s="2358" t="n"/>
      <c r="AF60" s="2360" t="n">
        <v>0.3232</v>
      </c>
      <c r="AG60" s="2358" t="n"/>
      <c r="AH60" s="2360" t="n">
        <v>1.0704</v>
      </c>
      <c r="AI60" s="2360" t="n">
        <v>2.9479</v>
      </c>
      <c r="AJ60" s="2360" t="n">
        <v>4.0183</v>
      </c>
      <c r="AK60" s="2358" t="n"/>
      <c r="AL60" s="2358" t="n"/>
      <c r="AM60" s="2361" t="inlineStr">
        <is>
          <t>NNN landlord expenses only; from AXG Whse Expenses PSF.xlsx</t>
        </is>
      </c>
    </row>
    <row r="61" ht="14.1" customHeight="1" s="1449">
      <c r="A61" s="2339" t="inlineStr">
        <is>
          <t>P027</t>
        </is>
      </c>
      <c r="B61" s="2338" t="n">
        <v>407</v>
      </c>
      <c r="C61" s="2339" t="inlineStr">
        <is>
          <t>R0132030</t>
        </is>
      </c>
      <c r="D61" s="2339" t="inlineStr">
        <is>
          <t>Majestic Commercenter (R0132030)</t>
        </is>
      </c>
      <c r="E61" s="2339" t="inlineStr">
        <is>
          <t>Commerce City</t>
        </is>
      </c>
      <c r="F61" s="2339" t="inlineStr">
        <is>
          <t>CO</t>
        </is>
      </c>
      <c r="G61" s="2339" t="inlineStr">
        <is>
          <t>Industrial</t>
        </is>
      </c>
      <c r="H61" s="2339" t="inlineStr">
        <is>
          <t>Warehouse NNN</t>
        </is>
      </c>
      <c r="I61" s="2362" t="n">
        <v>2001</v>
      </c>
      <c r="J61" s="2362" t="n">
        <v>200094</v>
      </c>
      <c r="K61" s="2362" t="n">
        <v>2021</v>
      </c>
      <c r="L61" s="2339" t="n"/>
      <c r="M61" s="2339" t="n"/>
      <c r="N61" s="2339" t="n"/>
      <c r="O61" s="2363" t="n">
        <v>0.07149999999999999</v>
      </c>
      <c r="P61" s="2363" t="n">
        <v>0.2651</v>
      </c>
      <c r="Q61" s="2339" t="n"/>
      <c r="R61" s="2339" t="n"/>
      <c r="S61" s="2339" t="n"/>
      <c r="T61" s="2339" t="n"/>
      <c r="U61" s="2339" t="n"/>
      <c r="V61" s="2339" t="n"/>
      <c r="W61" s="2339" t="n"/>
      <c r="X61" s="2339" t="n"/>
      <c r="Y61" s="2339" t="n"/>
      <c r="Z61" s="2339" t="n"/>
      <c r="AA61" s="2339" t="n"/>
      <c r="AB61" s="2339" t="n"/>
      <c r="AC61" s="2363" t="n">
        <v>0.49</v>
      </c>
      <c r="AD61" s="2339" t="n"/>
      <c r="AE61" s="2339" t="n"/>
      <c r="AF61" s="2363" t="n">
        <v>0.3539</v>
      </c>
      <c r="AG61" s="2339" t="n"/>
      <c r="AH61" s="2363" t="n">
        <v>1.1805</v>
      </c>
      <c r="AI61" s="2363" t="n">
        <v>2.8519</v>
      </c>
      <c r="AJ61" s="2363" t="n">
        <v>4.0324</v>
      </c>
      <c r="AK61" s="2339" t="n"/>
      <c r="AL61" s="2339" t="n"/>
      <c r="AM61" s="2364" t="inlineStr">
        <is>
          <t>NNN landlord expenses only; from AXG Whse Expenses PSF.xlsx (R0132030)</t>
        </is>
      </c>
    </row>
    <row r="62" ht="14.1" customHeight="1" s="1449">
      <c r="A62" s="2358" t="inlineStr">
        <is>
          <t>P027</t>
        </is>
      </c>
      <c r="B62" s="2338" t="n">
        <v>407</v>
      </c>
      <c r="C62" s="2358" t="inlineStr">
        <is>
          <t>R0132030</t>
        </is>
      </c>
      <c r="D62" s="2358" t="inlineStr">
        <is>
          <t>Majestic Commercenter (R0132030)</t>
        </is>
      </c>
      <c r="E62" s="2358" t="inlineStr">
        <is>
          <t>Commerce City</t>
        </is>
      </c>
      <c r="F62" s="2358" t="inlineStr">
        <is>
          <t>CO</t>
        </is>
      </c>
      <c r="G62" s="2358" t="inlineStr">
        <is>
          <t>Industrial</t>
        </is>
      </c>
      <c r="H62" s="2358" t="inlineStr">
        <is>
          <t>Warehouse NNN</t>
        </is>
      </c>
      <c r="I62" s="2359" t="n">
        <v>2001</v>
      </c>
      <c r="J62" s="2359" t="n">
        <v>200094</v>
      </c>
      <c r="K62" s="2359" t="n">
        <v>2022</v>
      </c>
      <c r="L62" s="2358" t="n"/>
      <c r="M62" s="2358" t="n"/>
      <c r="N62" s="2358" t="n"/>
      <c r="O62" s="2360" t="n">
        <v>0.0761</v>
      </c>
      <c r="P62" s="2360" t="n">
        <v>0.2474</v>
      </c>
      <c r="Q62" s="2358" t="n"/>
      <c r="R62" s="2358" t="n"/>
      <c r="S62" s="2358" t="n"/>
      <c r="T62" s="2358" t="n"/>
      <c r="U62" s="2358" t="n"/>
      <c r="V62" s="2358" t="n"/>
      <c r="W62" s="2358" t="n"/>
      <c r="X62" s="2358" t="n"/>
      <c r="Y62" s="2358" t="n"/>
      <c r="Z62" s="2358" t="n"/>
      <c r="AA62" s="2358" t="n"/>
      <c r="AB62" s="2358" t="n"/>
      <c r="AC62" s="2360" t="n">
        <v>0.49</v>
      </c>
      <c r="AD62" s="2358" t="n"/>
      <c r="AE62" s="2358" t="n"/>
      <c r="AF62" s="2360" t="n">
        <v>0.3539</v>
      </c>
      <c r="AG62" s="2358" t="n"/>
      <c r="AH62" s="2360" t="n">
        <v>1.1674</v>
      </c>
      <c r="AI62" s="2360" t="n">
        <v>2.2575</v>
      </c>
      <c r="AJ62" s="2360" t="n">
        <v>3.4249</v>
      </c>
      <c r="AK62" s="2358" t="n"/>
      <c r="AL62" s="2358" t="n"/>
      <c r="AM62" s="2361" t="inlineStr">
        <is>
          <t>NNN landlord expenses only; from AXG Whse Expenses PSF.xlsx (R0132030)</t>
        </is>
      </c>
    </row>
    <row r="63" ht="14.1" customHeight="1" s="1449">
      <c r="A63" s="2339" t="inlineStr">
        <is>
          <t>P028</t>
        </is>
      </c>
      <c r="B63" s="2338" t="n">
        <v>407</v>
      </c>
      <c r="C63" s="2339" t="inlineStr">
        <is>
          <t>R0084040</t>
        </is>
      </c>
      <c r="D63" s="2339" t="inlineStr">
        <is>
          <t>Majestic Commercenter (R0084040)</t>
        </is>
      </c>
      <c r="E63" s="2339" t="inlineStr">
        <is>
          <t>Commerce City</t>
        </is>
      </c>
      <c r="F63" s="2339" t="inlineStr">
        <is>
          <t>CO</t>
        </is>
      </c>
      <c r="G63" s="2339" t="inlineStr">
        <is>
          <t>Industrial</t>
        </is>
      </c>
      <c r="H63" s="2339" t="inlineStr">
        <is>
          <t>Warehouse NNN</t>
        </is>
      </c>
      <c r="I63" s="2362" t="n">
        <v>1997</v>
      </c>
      <c r="J63" s="2362" t="n">
        <v>177736</v>
      </c>
      <c r="K63" s="2362" t="n">
        <v>2021</v>
      </c>
      <c r="L63" s="2339" t="n"/>
      <c r="M63" s="2339" t="n"/>
      <c r="N63" s="2339" t="n"/>
      <c r="O63" s="2363" t="n">
        <v>0.0736</v>
      </c>
      <c r="P63" s="2363" t="n">
        <v>0.3114</v>
      </c>
      <c r="Q63" s="2339" t="n"/>
      <c r="R63" s="2339" t="n"/>
      <c r="S63" s="2339" t="n"/>
      <c r="T63" s="2339" t="n"/>
      <c r="U63" s="2339" t="n"/>
      <c r="V63" s="2339" t="n"/>
      <c r="W63" s="2339" t="n"/>
      <c r="X63" s="2339" t="n"/>
      <c r="Y63" s="2339" t="n"/>
      <c r="Z63" s="2339" t="n"/>
      <c r="AA63" s="2339" t="n"/>
      <c r="AB63" s="2339" t="n"/>
      <c r="AC63" s="2363" t="n">
        <v>0.552</v>
      </c>
      <c r="AD63" s="2339" t="n"/>
      <c r="AE63" s="2339" t="n"/>
      <c r="AF63" s="2363" t="n">
        <v>0.2892</v>
      </c>
      <c r="AG63" s="2339" t="n"/>
      <c r="AH63" s="2363" t="n">
        <v>1.2262</v>
      </c>
      <c r="AI63" s="2363" t="n">
        <v>2.7188</v>
      </c>
      <c r="AJ63" s="2363" t="n">
        <v>3.945</v>
      </c>
      <c r="AK63" s="2339" t="n"/>
      <c r="AL63" s="2339" t="n"/>
      <c r="AM63" s="2364" t="inlineStr">
        <is>
          <t>NNN landlord expenses only; from AXG Whse Expenses PSF.xlsx (R0084040)</t>
        </is>
      </c>
    </row>
    <row r="64" ht="14.1" customHeight="1" s="1449">
      <c r="A64" s="2358" t="inlineStr">
        <is>
          <t>P028</t>
        </is>
      </c>
      <c r="B64" s="2338" t="n">
        <v>407</v>
      </c>
      <c r="C64" s="2358" t="inlineStr">
        <is>
          <t>R0084040</t>
        </is>
      </c>
      <c r="D64" s="2358" t="inlineStr">
        <is>
          <t>Majestic Commercenter (R0084040)</t>
        </is>
      </c>
      <c r="E64" s="2358" t="inlineStr">
        <is>
          <t>Commerce City</t>
        </is>
      </c>
      <c r="F64" s="2358" t="inlineStr">
        <is>
          <t>CO</t>
        </is>
      </c>
      <c r="G64" s="2358" t="inlineStr">
        <is>
          <t>Industrial</t>
        </is>
      </c>
      <c r="H64" s="2358" t="inlineStr">
        <is>
          <t>Warehouse NNN</t>
        </is>
      </c>
      <c r="I64" s="2359" t="n">
        <v>1997</v>
      </c>
      <c r="J64" s="2359" t="n">
        <v>177736</v>
      </c>
      <c r="K64" s="2359" t="n">
        <v>2022</v>
      </c>
      <c r="L64" s="2358" t="n"/>
      <c r="M64" s="2358" t="n"/>
      <c r="N64" s="2358" t="n"/>
      <c r="O64" s="2360" t="n">
        <v>0.07829999999999999</v>
      </c>
      <c r="P64" s="2360" t="n">
        <v>0.3114</v>
      </c>
      <c r="Q64" s="2358" t="n"/>
      <c r="R64" s="2358" t="n"/>
      <c r="S64" s="2358" t="n"/>
      <c r="T64" s="2358" t="n"/>
      <c r="U64" s="2358" t="n"/>
      <c r="V64" s="2358" t="n"/>
      <c r="W64" s="2358" t="n"/>
      <c r="X64" s="2358" t="n"/>
      <c r="Y64" s="2358" t="n"/>
      <c r="Z64" s="2358" t="n"/>
      <c r="AA64" s="2358" t="n"/>
      <c r="AB64" s="2358" t="n"/>
      <c r="AC64" s="2360" t="n">
        <v>0.6591</v>
      </c>
      <c r="AD64" s="2358" t="n"/>
      <c r="AE64" s="2358" t="n"/>
      <c r="AF64" s="2360" t="n">
        <v>0.3559</v>
      </c>
      <c r="AG64" s="2358" t="n"/>
      <c r="AH64" s="2360" t="n">
        <v>1.4047</v>
      </c>
      <c r="AI64" s="2360" t="n">
        <v>2.8511</v>
      </c>
      <c r="AJ64" s="2360" t="n">
        <v>4.2558</v>
      </c>
      <c r="AK64" s="2358" t="n"/>
      <c r="AL64" s="2358" t="n"/>
      <c r="AM64" s="2361" t="inlineStr">
        <is>
          <t>NNN landlord expenses only; from AXG Whse Expenses PSF.xlsx (R0084040)</t>
        </is>
      </c>
    </row>
    <row r="65" ht="14.1" customHeight="1" s="1449">
      <c r="A65" s="2339" t="inlineStr">
        <is>
          <t>P029</t>
        </is>
      </c>
      <c r="B65" s="2338" t="n">
        <v>407</v>
      </c>
      <c r="C65" s="2339" t="inlineStr">
        <is>
          <t>R0084041</t>
        </is>
      </c>
      <c r="D65" s="2339" t="inlineStr">
        <is>
          <t>Majestic Commercenter (R0084041)</t>
        </is>
      </c>
      <c r="E65" s="2339" t="inlineStr">
        <is>
          <t>Commerce City</t>
        </is>
      </c>
      <c r="F65" s="2339" t="inlineStr">
        <is>
          <t>CO</t>
        </is>
      </c>
      <c r="G65" s="2339" t="inlineStr">
        <is>
          <t>Industrial</t>
        </is>
      </c>
      <c r="H65" s="2339" t="inlineStr">
        <is>
          <t>Warehouse NNN</t>
        </is>
      </c>
      <c r="I65" s="2362" t="n">
        <v>1997</v>
      </c>
      <c r="J65" s="2362" t="n">
        <v>200371</v>
      </c>
      <c r="K65" s="2362" t="n">
        <v>2021</v>
      </c>
      <c r="L65" s="2339" t="n"/>
      <c r="M65" s="2339" t="n"/>
      <c r="N65" s="2339" t="n"/>
      <c r="O65" s="2363" t="n">
        <v>0.06859999999999999</v>
      </c>
      <c r="P65" s="2363" t="n">
        <v>0.1605</v>
      </c>
      <c r="Q65" s="2339" t="n"/>
      <c r="R65" s="2339" t="n"/>
      <c r="S65" s="2339" t="n"/>
      <c r="T65" s="2339" t="n"/>
      <c r="U65" s="2339" t="n"/>
      <c r="V65" s="2339" t="n"/>
      <c r="W65" s="2339" t="n"/>
      <c r="X65" s="2339" t="n"/>
      <c r="Y65" s="2339" t="n"/>
      <c r="Z65" s="2339" t="n"/>
      <c r="AA65" s="2339" t="n"/>
      <c r="AB65" s="2339" t="n"/>
      <c r="AC65" s="2363" t="n">
        <v>0.5869</v>
      </c>
      <c r="AD65" s="2339" t="n"/>
      <c r="AE65" s="2339" t="n"/>
      <c r="AF65" s="2339" t="n"/>
      <c r="AG65" s="2339" t="n"/>
      <c r="AH65" s="2363" t="n">
        <v>0.8159999999999999</v>
      </c>
      <c r="AI65" s="2363" t="n">
        <v>2.4919</v>
      </c>
      <c r="AJ65" s="2363" t="n">
        <v>3.3079</v>
      </c>
      <c r="AK65" s="2339" t="n"/>
      <c r="AL65" s="2339" t="n"/>
      <c r="AM65" s="2364" t="inlineStr">
        <is>
          <t>NNN landlord expenses only; from AXG Whse Expenses PSF.xlsx (R0084041)</t>
        </is>
      </c>
    </row>
    <row r="66" ht="14.1" customHeight="1" s="1449">
      <c r="A66" s="2358" t="inlineStr">
        <is>
          <t>P029</t>
        </is>
      </c>
      <c r="B66" s="2338" t="n">
        <v>407</v>
      </c>
      <c r="C66" s="2358" t="inlineStr">
        <is>
          <t>R0084041</t>
        </is>
      </c>
      <c r="D66" s="2358" t="inlineStr">
        <is>
          <t>Majestic Commercenter (R0084041)</t>
        </is>
      </c>
      <c r="E66" s="2358" t="inlineStr">
        <is>
          <t>Commerce City</t>
        </is>
      </c>
      <c r="F66" s="2358" t="inlineStr">
        <is>
          <t>CO</t>
        </is>
      </c>
      <c r="G66" s="2358" t="inlineStr">
        <is>
          <t>Industrial</t>
        </is>
      </c>
      <c r="H66" s="2358" t="inlineStr">
        <is>
          <t>Warehouse NNN</t>
        </is>
      </c>
      <c r="I66" s="2359" t="n">
        <v>1997</v>
      </c>
      <c r="J66" s="2359" t="n">
        <v>200371</v>
      </c>
      <c r="K66" s="2359" t="n">
        <v>2022</v>
      </c>
      <c r="L66" s="2358" t="n"/>
      <c r="M66" s="2358" t="n"/>
      <c r="N66" s="2358" t="n"/>
      <c r="O66" s="2360" t="n">
        <v>0.073</v>
      </c>
      <c r="P66" s="2360" t="n">
        <v>0.1496</v>
      </c>
      <c r="Q66" s="2358" t="n"/>
      <c r="R66" s="2358" t="n"/>
      <c r="S66" s="2358" t="n"/>
      <c r="T66" s="2358" t="n"/>
      <c r="U66" s="2358" t="n"/>
      <c r="V66" s="2358" t="n"/>
      <c r="W66" s="2358" t="n"/>
      <c r="X66" s="2358" t="n"/>
      <c r="Y66" s="2358" t="n"/>
      <c r="Z66" s="2358" t="n"/>
      <c r="AA66" s="2358" t="n"/>
      <c r="AB66" s="2358" t="n"/>
      <c r="AC66" s="2360" t="n">
        <v>0.5187</v>
      </c>
      <c r="AD66" s="2358" t="n"/>
      <c r="AE66" s="2358" t="n"/>
      <c r="AF66" s="2358" t="n"/>
      <c r="AG66" s="2358" t="n"/>
      <c r="AH66" s="2360" t="n">
        <v>0.7413</v>
      </c>
      <c r="AI66" s="2360" t="n">
        <v>2.5893</v>
      </c>
      <c r="AJ66" s="2360" t="n">
        <v>3.3306</v>
      </c>
      <c r="AK66" s="2358" t="n"/>
      <c r="AL66" s="2358" t="n"/>
      <c r="AM66" s="2361" t="inlineStr">
        <is>
          <t>NNN landlord expenses only; from AXG Whse Expenses PSF.xlsx (R0084041)</t>
        </is>
      </c>
    </row>
    <row r="67" ht="14.1" customHeight="1" s="1449">
      <c r="A67" s="2339" t="inlineStr">
        <is>
          <t>P030</t>
        </is>
      </c>
      <c r="B67" s="2338" t="n">
        <v>584</v>
      </c>
      <c r="C67" s="2339" t="inlineStr">
        <is>
          <t>R0217015</t>
        </is>
      </c>
      <c r="D67" s="2339" t="inlineStr">
        <is>
          <t>Majestic Commercenter (R0217015)</t>
        </is>
      </c>
      <c r="E67" s="2339" t="inlineStr">
        <is>
          <t>Commerce City</t>
        </is>
      </c>
      <c r="F67" s="2339" t="inlineStr">
        <is>
          <t>CO</t>
        </is>
      </c>
      <c r="G67" s="2339" t="inlineStr">
        <is>
          <t>Industrial</t>
        </is>
      </c>
      <c r="H67" s="2339" t="inlineStr">
        <is>
          <t>Warehouse NNN</t>
        </is>
      </c>
      <c r="I67" s="2362" t="n">
        <v>2021</v>
      </c>
      <c r="J67" s="2362" t="n">
        <v>548510</v>
      </c>
      <c r="K67" s="2362" t="n">
        <v>2022</v>
      </c>
      <c r="L67" s="2339" t="n"/>
      <c r="M67" s="2339" t="n"/>
      <c r="N67" s="2339" t="n"/>
      <c r="O67" s="2363" t="n">
        <v>0.1167</v>
      </c>
      <c r="P67" s="2363" t="n">
        <v>0.1062</v>
      </c>
      <c r="Q67" s="2339" t="n"/>
      <c r="R67" s="2339" t="n"/>
      <c r="S67" s="2339" t="n"/>
      <c r="T67" s="2339" t="n"/>
      <c r="U67" s="2339" t="n"/>
      <c r="V67" s="2339" t="n"/>
      <c r="W67" s="2339" t="n"/>
      <c r="X67" s="2339" t="n"/>
      <c r="Y67" s="2339" t="n"/>
      <c r="Z67" s="2339" t="n"/>
      <c r="AA67" s="2339" t="n"/>
      <c r="AB67" s="2339" t="n"/>
      <c r="AC67" s="2363" t="n">
        <v>0.1767</v>
      </c>
      <c r="AD67" s="2339" t="n"/>
      <c r="AE67" s="2339" t="n"/>
      <c r="AF67" s="2363" t="n">
        <v>0.038</v>
      </c>
      <c r="AG67" s="2339" t="n"/>
      <c r="AH67" s="2363" t="n">
        <v>0.4376</v>
      </c>
      <c r="AI67" s="2363" t="n">
        <v>2.271</v>
      </c>
      <c r="AJ67" s="2363" t="n">
        <v>2.7087</v>
      </c>
      <c r="AK67" s="2339" t="n"/>
      <c r="AL67" s="2339" t="n"/>
      <c r="AM67" s="2364" t="inlineStr">
        <is>
          <t>NNN landlord expenses only; from AXG Whse Expenses PSF.xlsx (R0217015)</t>
        </is>
      </c>
    </row>
    <row r="68" ht="14.1" customHeight="1" s="1449">
      <c r="A68" s="2358" t="inlineStr">
        <is>
          <t>P031</t>
        </is>
      </c>
      <c r="B68" s="2338" t="n">
        <v>407</v>
      </c>
      <c r="C68" s="2358" t="inlineStr">
        <is>
          <t>R0111562</t>
        </is>
      </c>
      <c r="D68" s="2358" t="inlineStr">
        <is>
          <t>Majestic Commercenter (R0111562)</t>
        </is>
      </c>
      <c r="E68" s="2358" t="inlineStr">
        <is>
          <t>Commerce City</t>
        </is>
      </c>
      <c r="F68" s="2358" t="inlineStr">
        <is>
          <t>CO</t>
        </is>
      </c>
      <c r="G68" s="2358" t="inlineStr">
        <is>
          <t>Industrial</t>
        </is>
      </c>
      <c r="H68" s="2358" t="inlineStr">
        <is>
          <t>Warehouse NNN</t>
        </is>
      </c>
      <c r="I68" s="2359" t="n">
        <v>2000</v>
      </c>
      <c r="J68" s="2359" t="n">
        <v>149175</v>
      </c>
      <c r="K68" s="2359" t="n">
        <v>2019</v>
      </c>
      <c r="L68" s="2358" t="n"/>
      <c r="M68" s="2358" t="n"/>
      <c r="N68" s="2358" t="n"/>
      <c r="O68" s="2360" t="n">
        <v>0.0437</v>
      </c>
      <c r="P68" s="2360" t="n">
        <v>0.1522</v>
      </c>
      <c r="Q68" s="2358" t="n"/>
      <c r="R68" s="2358" t="n"/>
      <c r="S68" s="2358" t="n"/>
      <c r="T68" s="2358" t="n"/>
      <c r="U68" s="2358" t="n"/>
      <c r="V68" s="2358" t="n"/>
      <c r="W68" s="2358" t="n"/>
      <c r="X68" s="2358" t="n"/>
      <c r="Y68" s="2358" t="n"/>
      <c r="Z68" s="2358" t="n"/>
      <c r="AA68" s="2358" t="n"/>
      <c r="AB68" s="2358" t="n"/>
      <c r="AC68" s="2360" t="n">
        <v>0.6822</v>
      </c>
      <c r="AD68" s="2358" t="n"/>
      <c r="AE68" s="2358" t="n"/>
      <c r="AF68" s="2358" t="n"/>
      <c r="AG68" s="2358" t="n"/>
      <c r="AH68" s="2360" t="n">
        <v>0.8781</v>
      </c>
      <c r="AI68" s="2360" t="n">
        <v>1.8902</v>
      </c>
      <c r="AJ68" s="2360" t="n">
        <v>2.7683</v>
      </c>
      <c r="AK68" s="2358" t="n"/>
      <c r="AL68" s="2358" t="n"/>
      <c r="AM68" s="2361" t="inlineStr">
        <is>
          <t>NNN landlord expenses only; from AXG Whse Expenses PSF.xlsx (R0111562)</t>
        </is>
      </c>
    </row>
    <row r="69" ht="14.1" customHeight="1" s="1449">
      <c r="A69" s="2339" t="inlineStr">
        <is>
          <t>P031</t>
        </is>
      </c>
      <c r="B69" s="2338" t="n">
        <v>407</v>
      </c>
      <c r="C69" s="2339" t="inlineStr">
        <is>
          <t>R0111562</t>
        </is>
      </c>
      <c r="D69" s="2339" t="inlineStr">
        <is>
          <t>Majestic Commercenter (R0111562)</t>
        </is>
      </c>
      <c r="E69" s="2339" t="inlineStr">
        <is>
          <t>Commerce City</t>
        </is>
      </c>
      <c r="F69" s="2339" t="inlineStr">
        <is>
          <t>CO</t>
        </is>
      </c>
      <c r="G69" s="2339" t="inlineStr">
        <is>
          <t>Industrial</t>
        </is>
      </c>
      <c r="H69" s="2339" t="inlineStr">
        <is>
          <t>Warehouse NNN</t>
        </is>
      </c>
      <c r="I69" s="2362" t="n">
        <v>2000</v>
      </c>
      <c r="J69" s="2362" t="n">
        <v>149175</v>
      </c>
      <c r="K69" s="2362" t="n">
        <v>2020</v>
      </c>
      <c r="L69" s="2339" t="n"/>
      <c r="M69" s="2339" t="n"/>
      <c r="N69" s="2339" t="n"/>
      <c r="O69" s="2363" t="n">
        <v>0.0499</v>
      </c>
      <c r="P69" s="2363" t="n">
        <v>0.0264</v>
      </c>
      <c r="Q69" s="2339" t="n"/>
      <c r="R69" s="2339" t="n"/>
      <c r="S69" s="2339" t="n"/>
      <c r="T69" s="2339" t="n"/>
      <c r="U69" s="2339" t="n"/>
      <c r="V69" s="2339" t="n"/>
      <c r="W69" s="2339" t="n"/>
      <c r="X69" s="2339" t="n"/>
      <c r="Y69" s="2339" t="n"/>
      <c r="Z69" s="2339" t="n"/>
      <c r="AA69" s="2339" t="n"/>
      <c r="AB69" s="2339" t="n"/>
      <c r="AC69" s="2363" t="n">
        <v>0.1604</v>
      </c>
      <c r="AD69" s="2339" t="n"/>
      <c r="AE69" s="2339" t="n"/>
      <c r="AF69" s="2363" t="n">
        <v>1.107</v>
      </c>
      <c r="AG69" s="2339" t="n"/>
      <c r="AH69" s="2363" t="n">
        <v>1.3438</v>
      </c>
      <c r="AI69" s="2363" t="n">
        <v>1.897</v>
      </c>
      <c r="AJ69" s="2363" t="n">
        <v>3.2408</v>
      </c>
      <c r="AK69" s="2339" t="n"/>
      <c r="AL69" s="2339" t="n"/>
      <c r="AM69" s="2364" t="inlineStr">
        <is>
          <t>NNN landlord expenses only; from AXG Whse Expenses PSF.xlsx (R0111562)</t>
        </is>
      </c>
    </row>
    <row r="70" ht="14.1" customHeight="1" s="1449">
      <c r="A70" s="2358" t="inlineStr">
        <is>
          <t>P032</t>
        </is>
      </c>
      <c r="B70" s="2338" t="n">
        <v>407</v>
      </c>
      <c r="C70" s="2358" t="inlineStr">
        <is>
          <t>R0118875</t>
        </is>
      </c>
      <c r="D70" s="2358" t="inlineStr">
        <is>
          <t>Majestic Commercenter (R0118875)</t>
        </is>
      </c>
      <c r="E70" s="2358" t="inlineStr">
        <is>
          <t>Commerce City</t>
        </is>
      </c>
      <c r="F70" s="2358" t="inlineStr">
        <is>
          <t>CO</t>
        </is>
      </c>
      <c r="G70" s="2358" t="inlineStr">
        <is>
          <t>Industrial</t>
        </is>
      </c>
      <c r="H70" s="2358" t="inlineStr">
        <is>
          <t>Warehouse NNN</t>
        </is>
      </c>
      <c r="I70" s="2359" t="n">
        <v>1999</v>
      </c>
      <c r="J70" s="2359" t="n">
        <v>279640</v>
      </c>
      <c r="K70" s="2359" t="n">
        <v>2021</v>
      </c>
      <c r="L70" s="2358" t="n"/>
      <c r="M70" s="2358" t="n"/>
      <c r="N70" s="2358" t="n"/>
      <c r="O70" s="2360" t="n">
        <v>0.0881</v>
      </c>
      <c r="P70" s="2360" t="n">
        <v>0.2248</v>
      </c>
      <c r="Q70" s="2358" t="n"/>
      <c r="R70" s="2358" t="n"/>
      <c r="S70" s="2358" t="n"/>
      <c r="T70" s="2358" t="n"/>
      <c r="U70" s="2358" t="n"/>
      <c r="V70" s="2358" t="n"/>
      <c r="W70" s="2358" t="n"/>
      <c r="X70" s="2358" t="n"/>
      <c r="Y70" s="2358" t="n"/>
      <c r="Z70" s="2358" t="n"/>
      <c r="AA70" s="2358" t="n"/>
      <c r="AB70" s="2358" t="n"/>
      <c r="AC70" s="2360" t="n">
        <v>0.3589</v>
      </c>
      <c r="AD70" s="2358" t="n"/>
      <c r="AE70" s="2358" t="n"/>
      <c r="AF70" s="2358" t="n"/>
      <c r="AG70" s="2358" t="n"/>
      <c r="AH70" s="2360" t="n">
        <v>0.6718</v>
      </c>
      <c r="AI70" s="2360" t="n">
        <v>2.2918</v>
      </c>
      <c r="AJ70" s="2360" t="n">
        <v>2.9636</v>
      </c>
      <c r="AK70" s="2358" t="n"/>
      <c r="AL70" s="2358" t="n"/>
      <c r="AM70" s="2361" t="inlineStr">
        <is>
          <t>NNN landlord expenses only; from AXG Whse Expenses PSF.xlsx (R0118875)</t>
        </is>
      </c>
    </row>
    <row r="71" ht="14.1" customHeight="1" s="1449">
      <c r="A71" s="2339" t="inlineStr">
        <is>
          <t>P032</t>
        </is>
      </c>
      <c r="B71" s="2338" t="n">
        <v>407</v>
      </c>
      <c r="C71" s="2339" t="inlineStr">
        <is>
          <t>R0118875</t>
        </is>
      </c>
      <c r="D71" s="2339" t="inlineStr">
        <is>
          <t>Majestic Commercenter (R0118875)</t>
        </is>
      </c>
      <c r="E71" s="2339" t="inlineStr">
        <is>
          <t>Commerce City</t>
        </is>
      </c>
      <c r="F71" s="2339" t="inlineStr">
        <is>
          <t>CO</t>
        </is>
      </c>
      <c r="G71" s="2339" t="inlineStr">
        <is>
          <t>Industrial</t>
        </is>
      </c>
      <c r="H71" s="2339" t="inlineStr">
        <is>
          <t>Warehouse NNN</t>
        </is>
      </c>
      <c r="I71" s="2362" t="n">
        <v>1999</v>
      </c>
      <c r="J71" s="2362" t="n">
        <v>279640</v>
      </c>
      <c r="K71" s="2362" t="n">
        <v>2022</v>
      </c>
      <c r="L71" s="2339" t="n"/>
      <c r="M71" s="2339" t="n"/>
      <c r="N71" s="2339" t="n"/>
      <c r="O71" s="2363" t="n">
        <v>0.09370000000000001</v>
      </c>
      <c r="P71" s="2363" t="n">
        <v>0.2268</v>
      </c>
      <c r="Q71" s="2339" t="n"/>
      <c r="R71" s="2339" t="n"/>
      <c r="S71" s="2339" t="n"/>
      <c r="T71" s="2339" t="n"/>
      <c r="U71" s="2339" t="n"/>
      <c r="V71" s="2339" t="n"/>
      <c r="W71" s="2339" t="n"/>
      <c r="X71" s="2339" t="n"/>
      <c r="Y71" s="2339" t="n"/>
      <c r="Z71" s="2339" t="n"/>
      <c r="AA71" s="2339" t="n"/>
      <c r="AB71" s="2339" t="n"/>
      <c r="AC71" s="2363" t="n">
        <v>0.06510000000000001</v>
      </c>
      <c r="AD71" s="2339" t="n"/>
      <c r="AE71" s="2339" t="n"/>
      <c r="AF71" s="2339" t="n"/>
      <c r="AG71" s="2339" t="n"/>
      <c r="AH71" s="2363" t="n">
        <v>0.3856</v>
      </c>
      <c r="AI71" s="2363" t="n">
        <v>2.3497</v>
      </c>
      <c r="AJ71" s="2363" t="n">
        <v>2.7353</v>
      </c>
      <c r="AK71" s="2339" t="n"/>
      <c r="AL71" s="2339" t="n"/>
      <c r="AM71" s="2364" t="inlineStr">
        <is>
          <t>NNN landlord expenses only; from AXG Whse Expenses PSF.xlsx (R0118875)</t>
        </is>
      </c>
    </row>
    <row r="72" ht="14.1" customHeight="1" s="1449">
      <c r="A72" s="2358" t="inlineStr">
        <is>
          <t>P033</t>
        </is>
      </c>
      <c r="B72" s="2338" t="n">
        <v>407</v>
      </c>
      <c r="C72" s="2358" t="inlineStr">
        <is>
          <t>R0132031</t>
        </is>
      </c>
      <c r="D72" s="2358" t="inlineStr">
        <is>
          <t>Majestic Commercenter (R0132031)</t>
        </is>
      </c>
      <c r="E72" s="2358" t="inlineStr">
        <is>
          <t>Commerce City</t>
        </is>
      </c>
      <c r="F72" s="2358" t="inlineStr">
        <is>
          <t>CO</t>
        </is>
      </c>
      <c r="G72" s="2358" t="inlineStr">
        <is>
          <t>Industrial</t>
        </is>
      </c>
      <c r="H72" s="2358" t="inlineStr">
        <is>
          <t>Warehouse NNN</t>
        </is>
      </c>
      <c r="I72" s="2359" t="n">
        <v>2002</v>
      </c>
      <c r="J72" s="2359" t="n">
        <v>280098</v>
      </c>
      <c r="K72" s="2359" t="n">
        <v>2021</v>
      </c>
      <c r="L72" s="2358" t="n"/>
      <c r="M72" s="2358" t="n"/>
      <c r="N72" s="2358" t="n"/>
      <c r="O72" s="2360" t="n">
        <v>0.0713</v>
      </c>
      <c r="P72" s="2360" t="n">
        <v>0.231</v>
      </c>
      <c r="Q72" s="2358" t="n"/>
      <c r="R72" s="2358" t="n"/>
      <c r="S72" s="2358" t="n"/>
      <c r="T72" s="2358" t="n"/>
      <c r="U72" s="2358" t="n"/>
      <c r="V72" s="2358" t="n"/>
      <c r="W72" s="2358" t="n"/>
      <c r="X72" s="2358" t="n"/>
      <c r="Y72" s="2358" t="n"/>
      <c r="Z72" s="2358" t="n"/>
      <c r="AA72" s="2358" t="n"/>
      <c r="AB72" s="2358" t="n"/>
      <c r="AC72" s="2360" t="n">
        <v>0.2633</v>
      </c>
      <c r="AD72" s="2358" t="n"/>
      <c r="AE72" s="2358" t="n"/>
      <c r="AF72" s="2360" t="n">
        <v>0.3067</v>
      </c>
      <c r="AG72" s="2358" t="n"/>
      <c r="AH72" s="2360" t="n">
        <v>0.8723</v>
      </c>
      <c r="AI72" s="2360" t="n">
        <v>2.2816</v>
      </c>
      <c r="AJ72" s="2360" t="n">
        <v>3.1539</v>
      </c>
      <c r="AK72" s="2358" t="n"/>
      <c r="AL72" s="2358" t="n"/>
      <c r="AM72" s="2361" t="inlineStr">
        <is>
          <t>NNN landlord expenses only; from AXG Whse Expenses PSF.xlsx (R0132031)</t>
        </is>
      </c>
    </row>
    <row r="73" ht="14.1" customHeight="1" s="1449">
      <c r="A73" s="2339" t="inlineStr">
        <is>
          <t>P033</t>
        </is>
      </c>
      <c r="B73" s="2338" t="n">
        <v>407</v>
      </c>
      <c r="C73" s="2339" t="inlineStr">
        <is>
          <t>R0132031</t>
        </is>
      </c>
      <c r="D73" s="2339" t="inlineStr">
        <is>
          <t>Majestic Commercenter (R0132031)</t>
        </is>
      </c>
      <c r="E73" s="2339" t="inlineStr">
        <is>
          <t>Commerce City</t>
        </is>
      </c>
      <c r="F73" s="2339" t="inlineStr">
        <is>
          <t>CO</t>
        </is>
      </c>
      <c r="G73" s="2339" t="inlineStr">
        <is>
          <t>Industrial</t>
        </is>
      </c>
      <c r="H73" s="2339" t="inlineStr">
        <is>
          <t>Warehouse NNN</t>
        </is>
      </c>
      <c r="I73" s="2362" t="n">
        <v>2002</v>
      </c>
      <c r="J73" s="2362" t="n">
        <v>280098</v>
      </c>
      <c r="K73" s="2362" t="n">
        <v>2022</v>
      </c>
      <c r="L73" s="2339" t="n"/>
      <c r="M73" s="2339" t="n"/>
      <c r="N73" s="2339" t="n"/>
      <c r="O73" s="2363" t="n">
        <v>0.0759</v>
      </c>
      <c r="P73" s="2363" t="n">
        <v>0.2109</v>
      </c>
      <c r="Q73" s="2339" t="n"/>
      <c r="R73" s="2339" t="n"/>
      <c r="S73" s="2339" t="n"/>
      <c r="T73" s="2339" t="n"/>
      <c r="U73" s="2339" t="n"/>
      <c r="V73" s="2339" t="n"/>
      <c r="W73" s="2339" t="n"/>
      <c r="X73" s="2339" t="n"/>
      <c r="Y73" s="2339" t="n"/>
      <c r="Z73" s="2339" t="n"/>
      <c r="AA73" s="2339" t="n"/>
      <c r="AB73" s="2339" t="n"/>
      <c r="AC73" s="2363" t="n">
        <v>0.4318</v>
      </c>
      <c r="AD73" s="2339" t="n"/>
      <c r="AE73" s="2339" t="n"/>
      <c r="AF73" s="2363" t="n">
        <v>0.3384</v>
      </c>
      <c r="AG73" s="2339" t="n"/>
      <c r="AH73" s="2363" t="n">
        <v>1.057</v>
      </c>
      <c r="AI73" s="2363" t="n">
        <v>2.3888</v>
      </c>
      <c r="AJ73" s="2363" t="n">
        <v>3.4457</v>
      </c>
      <c r="AK73" s="2339" t="n"/>
      <c r="AL73" s="2339" t="n"/>
      <c r="AM73" s="2364" t="inlineStr">
        <is>
          <t>NNN landlord expenses only; from AXG Whse Expenses PSF.xlsx (R0132031)</t>
        </is>
      </c>
    </row>
    <row r="74" ht="14.1" customHeight="1" s="1449">
      <c r="A74" s="2358" t="inlineStr">
        <is>
          <t>P034</t>
        </is>
      </c>
      <c r="B74" s="2338" t="n">
        <v>407</v>
      </c>
      <c r="C74" s="2358" t="inlineStr">
        <is>
          <t>R0172865</t>
        </is>
      </c>
      <c r="D74" s="2358" t="inlineStr">
        <is>
          <t>Majestic Commercenter (R0172865)</t>
        </is>
      </c>
      <c r="E74" s="2358" t="inlineStr">
        <is>
          <t>Commerce City</t>
        </is>
      </c>
      <c r="F74" s="2358" t="inlineStr">
        <is>
          <t>CO</t>
        </is>
      </c>
      <c r="G74" s="2358" t="inlineStr">
        <is>
          <t>Industrial</t>
        </is>
      </c>
      <c r="H74" s="2358" t="inlineStr">
        <is>
          <t>Warehouse NNN</t>
        </is>
      </c>
      <c r="I74" s="2359" t="n">
        <v>2008</v>
      </c>
      <c r="J74" s="2359" t="n">
        <v>215461</v>
      </c>
      <c r="K74" s="2359" t="n">
        <v>2021</v>
      </c>
      <c r="L74" s="2358" t="n"/>
      <c r="M74" s="2358" t="n"/>
      <c r="N74" s="2358" t="n"/>
      <c r="O74" s="2360" t="n">
        <v>0.0809</v>
      </c>
      <c r="P74" s="2360" t="n">
        <v>0.3054</v>
      </c>
      <c r="Q74" s="2358" t="n"/>
      <c r="R74" s="2358" t="n"/>
      <c r="S74" s="2358" t="n"/>
      <c r="T74" s="2358" t="n"/>
      <c r="U74" s="2358" t="n"/>
      <c r="V74" s="2358" t="n"/>
      <c r="W74" s="2358" t="n"/>
      <c r="X74" s="2358" t="n"/>
      <c r="Y74" s="2358" t="n"/>
      <c r="Z74" s="2358" t="n"/>
      <c r="AA74" s="2358" t="n"/>
      <c r="AB74" s="2358" t="n"/>
      <c r="AC74" s="2360" t="n">
        <v>0.4686</v>
      </c>
      <c r="AD74" s="2358" t="n"/>
      <c r="AE74" s="2358" t="n"/>
      <c r="AF74" s="2360" t="n">
        <v>0.3395</v>
      </c>
      <c r="AG74" s="2358" t="n"/>
      <c r="AH74" s="2360" t="n">
        <v>1.1944</v>
      </c>
      <c r="AI74" s="2360" t="n">
        <v>2.8499</v>
      </c>
      <c r="AJ74" s="2360" t="n">
        <v>4.0443</v>
      </c>
      <c r="AK74" s="2358" t="n"/>
      <c r="AL74" s="2358" t="n"/>
      <c r="AM74" s="2361" t="inlineStr">
        <is>
          <t>NNN landlord expenses only; from AXG Whse Expenses PSF.xlsx (R0172865)</t>
        </is>
      </c>
    </row>
    <row r="75" ht="14.1" customHeight="1" s="1449">
      <c r="A75" s="2339" t="inlineStr">
        <is>
          <t>P034</t>
        </is>
      </c>
      <c r="B75" s="2338" t="n">
        <v>407</v>
      </c>
      <c r="C75" s="2339" t="inlineStr">
        <is>
          <t>R0172865</t>
        </is>
      </c>
      <c r="D75" s="2339" t="inlineStr">
        <is>
          <t>Majestic Commercenter (R0172865)</t>
        </is>
      </c>
      <c r="E75" s="2339" t="inlineStr">
        <is>
          <t>Commerce City</t>
        </is>
      </c>
      <c r="F75" s="2339" t="inlineStr">
        <is>
          <t>CO</t>
        </is>
      </c>
      <c r="G75" s="2339" t="inlineStr">
        <is>
          <t>Industrial</t>
        </is>
      </c>
      <c r="H75" s="2339" t="inlineStr">
        <is>
          <t>Warehouse NNN</t>
        </is>
      </c>
      <c r="I75" s="2362" t="n">
        <v>2008</v>
      </c>
      <c r="J75" s="2362" t="n">
        <v>215461</v>
      </c>
      <c r="K75" s="2362" t="n">
        <v>2022</v>
      </c>
      <c r="L75" s="2339" t="n"/>
      <c r="M75" s="2339" t="n"/>
      <c r="N75" s="2339" t="n"/>
      <c r="O75" s="2363" t="n">
        <v>0.0852</v>
      </c>
      <c r="P75" s="2363" t="n">
        <v>0.2898</v>
      </c>
      <c r="Q75" s="2339" t="n"/>
      <c r="R75" s="2339" t="n"/>
      <c r="S75" s="2339" t="n"/>
      <c r="T75" s="2339" t="n"/>
      <c r="U75" s="2339" t="n"/>
      <c r="V75" s="2339" t="n"/>
      <c r="W75" s="2339" t="n"/>
      <c r="X75" s="2339" t="n"/>
      <c r="Y75" s="2339" t="n"/>
      <c r="Z75" s="2339" t="n"/>
      <c r="AA75" s="2339" t="n"/>
      <c r="AB75" s="2339" t="n"/>
      <c r="AC75" s="2363" t="n">
        <v>0.3409</v>
      </c>
      <c r="AD75" s="2339" t="n"/>
      <c r="AE75" s="2339" t="n"/>
      <c r="AF75" s="2363" t="n">
        <v>0.348</v>
      </c>
      <c r="AG75" s="2339" t="n"/>
      <c r="AH75" s="2363" t="n">
        <v>1.0639</v>
      </c>
      <c r="AI75" s="2363" t="n">
        <v>2.7419</v>
      </c>
      <c r="AJ75" s="2363" t="n">
        <v>3.8058</v>
      </c>
      <c r="AK75" s="2339" t="n"/>
      <c r="AL75" s="2339" t="n"/>
      <c r="AM75" s="2364" t="inlineStr">
        <is>
          <t>NNN landlord expenses only; from AXG Whse Expenses PSF.xlsx (R0172865)</t>
        </is>
      </c>
    </row>
    <row r="76" ht="14.1" customHeight="1" s="1449">
      <c r="A76" s="2358" t="inlineStr">
        <is>
          <t>P035</t>
        </is>
      </c>
      <c r="B76" s="2338" t="n">
        <v>407</v>
      </c>
      <c r="C76" s="2358" t="inlineStr">
        <is>
          <t>R0172867</t>
        </is>
      </c>
      <c r="D76" s="2358" t="inlineStr">
        <is>
          <t>Majestic Commercenter (R0172867)</t>
        </is>
      </c>
      <c r="E76" s="2358" t="inlineStr">
        <is>
          <t>Commerce City</t>
        </is>
      </c>
      <c r="F76" s="2358" t="inlineStr">
        <is>
          <t>CO</t>
        </is>
      </c>
      <c r="G76" s="2358" t="inlineStr">
        <is>
          <t>Industrial</t>
        </is>
      </c>
      <c r="H76" s="2358" t="inlineStr">
        <is>
          <t>Warehouse NNN</t>
        </is>
      </c>
      <c r="I76" s="2359" t="n">
        <v>2007</v>
      </c>
      <c r="J76" s="2359" t="n">
        <v>215560</v>
      </c>
      <c r="K76" s="2359" t="n">
        <v>2021</v>
      </c>
      <c r="L76" s="2358" t="n"/>
      <c r="M76" s="2358" t="n"/>
      <c r="N76" s="2358" t="n"/>
      <c r="O76" s="2360" t="n">
        <v>0.0975</v>
      </c>
      <c r="P76" s="2360" t="n">
        <v>0.2429</v>
      </c>
      <c r="Q76" s="2358" t="n"/>
      <c r="R76" s="2358" t="n"/>
      <c r="S76" s="2358" t="n"/>
      <c r="T76" s="2358" t="n"/>
      <c r="U76" s="2358" t="n"/>
      <c r="V76" s="2358" t="n"/>
      <c r="W76" s="2358" t="n"/>
      <c r="X76" s="2358" t="n"/>
      <c r="Y76" s="2358" t="n"/>
      <c r="Z76" s="2358" t="n"/>
      <c r="AA76" s="2358" t="n"/>
      <c r="AB76" s="2358" t="n"/>
      <c r="AC76" s="2360" t="n">
        <v>0.2979</v>
      </c>
      <c r="AD76" s="2358" t="n"/>
      <c r="AE76" s="2358" t="n"/>
      <c r="AF76" s="2360" t="n">
        <v>0.3114</v>
      </c>
      <c r="AG76" s="2358" t="n"/>
      <c r="AH76" s="2360" t="n">
        <v>0.9497</v>
      </c>
      <c r="AI76" s="2360" t="n">
        <v>2.4921</v>
      </c>
      <c r="AJ76" s="2360" t="n">
        <v>3.4419</v>
      </c>
      <c r="AK76" s="2358" t="n"/>
      <c r="AL76" s="2358" t="n"/>
      <c r="AM76" s="2361" t="inlineStr">
        <is>
          <t>NNN landlord expenses only; from AXG Whse Expenses PSF.xlsx (R0172867)</t>
        </is>
      </c>
    </row>
    <row r="77" ht="14.1" customHeight="1" s="1449">
      <c r="A77" s="2339" t="inlineStr">
        <is>
          <t>P035</t>
        </is>
      </c>
      <c r="B77" s="2338" t="n">
        <v>407</v>
      </c>
      <c r="C77" s="2339" t="inlineStr">
        <is>
          <t>R0172867</t>
        </is>
      </c>
      <c r="D77" s="2339" t="inlineStr">
        <is>
          <t>Majestic Commercenter (R0172867)</t>
        </is>
      </c>
      <c r="E77" s="2339" t="inlineStr">
        <is>
          <t>Commerce City</t>
        </is>
      </c>
      <c r="F77" s="2339" t="inlineStr">
        <is>
          <t>CO</t>
        </is>
      </c>
      <c r="G77" s="2339" t="inlineStr">
        <is>
          <t>Industrial</t>
        </is>
      </c>
      <c r="H77" s="2339" t="inlineStr">
        <is>
          <t>Warehouse NNN</t>
        </is>
      </c>
      <c r="I77" s="2362" t="n">
        <v>2007</v>
      </c>
      <c r="J77" s="2362" t="n">
        <v>215560</v>
      </c>
      <c r="K77" s="2362" t="n">
        <v>2022</v>
      </c>
      <c r="L77" s="2339" t="n"/>
      <c r="M77" s="2339" t="n"/>
      <c r="N77" s="2339" t="n"/>
      <c r="O77" s="2363" t="n">
        <v>0.1037</v>
      </c>
      <c r="P77" s="2363" t="n">
        <v>0.2556</v>
      </c>
      <c r="Q77" s="2339" t="n"/>
      <c r="R77" s="2339" t="n"/>
      <c r="S77" s="2339" t="n"/>
      <c r="T77" s="2339" t="n"/>
      <c r="U77" s="2339" t="n"/>
      <c r="V77" s="2339" t="n"/>
      <c r="W77" s="2339" t="n"/>
      <c r="X77" s="2339" t="n"/>
      <c r="Y77" s="2339" t="n"/>
      <c r="Z77" s="2339" t="n"/>
      <c r="AA77" s="2339" t="n"/>
      <c r="AB77" s="2339" t="n"/>
      <c r="AC77" s="2363" t="n">
        <v>0.3121</v>
      </c>
      <c r="AD77" s="2339" t="n"/>
      <c r="AE77" s="2339" t="n"/>
      <c r="AF77" s="2363" t="n">
        <v>0.3342</v>
      </c>
      <c r="AG77" s="2339" t="n"/>
      <c r="AH77" s="2363" t="n">
        <v>1.0056</v>
      </c>
      <c r="AI77" s="2363" t="n">
        <v>2.5896</v>
      </c>
      <c r="AJ77" s="2363" t="n">
        <v>3.5952</v>
      </c>
      <c r="AK77" s="2339" t="n"/>
      <c r="AL77" s="2339" t="n"/>
      <c r="AM77" s="2364" t="inlineStr">
        <is>
          <t>NNN landlord expenses only; from AXG Whse Expenses PSF.xlsx (R0172867)</t>
        </is>
      </c>
    </row>
    <row r="78" ht="14.1" customHeight="1" s="1449">
      <c r="A78" s="2358" t="inlineStr">
        <is>
          <t>P036</t>
        </is>
      </c>
      <c r="B78" s="2338" t="n">
        <v>407</v>
      </c>
      <c r="C78" s="2358" t="inlineStr">
        <is>
          <t>R0172868</t>
        </is>
      </c>
      <c r="D78" s="2358" t="inlineStr">
        <is>
          <t>Majestic Commercenter (R0172868)</t>
        </is>
      </c>
      <c r="E78" s="2358" t="inlineStr">
        <is>
          <t>Commerce City</t>
        </is>
      </c>
      <c r="F78" s="2358" t="inlineStr">
        <is>
          <t>CO</t>
        </is>
      </c>
      <c r="G78" s="2358" t="inlineStr">
        <is>
          <t>Industrial</t>
        </is>
      </c>
      <c r="H78" s="2358" t="inlineStr">
        <is>
          <t>Warehouse NNN</t>
        </is>
      </c>
      <c r="I78" s="2359" t="n">
        <v>2007</v>
      </c>
      <c r="J78" s="2359" t="n">
        <v>202091</v>
      </c>
      <c r="K78" s="2359" t="n">
        <v>2021</v>
      </c>
      <c r="L78" s="2358" t="n"/>
      <c r="M78" s="2358" t="n"/>
      <c r="N78" s="2358" t="n"/>
      <c r="O78" s="2360" t="n">
        <v>0.0863</v>
      </c>
      <c r="P78" s="2360" t="n">
        <v>0.1541</v>
      </c>
      <c r="Q78" s="2358" t="n"/>
      <c r="R78" s="2358" t="n"/>
      <c r="S78" s="2358" t="n"/>
      <c r="T78" s="2358" t="n"/>
      <c r="U78" s="2358" t="n"/>
      <c r="V78" s="2358" t="n"/>
      <c r="W78" s="2358" t="n"/>
      <c r="X78" s="2358" t="n"/>
      <c r="Y78" s="2358" t="n"/>
      <c r="Z78" s="2358" t="n"/>
      <c r="AA78" s="2358" t="n"/>
      <c r="AB78" s="2358" t="n"/>
      <c r="AC78" s="2360" t="n">
        <v>0.4114</v>
      </c>
      <c r="AD78" s="2358" t="n"/>
      <c r="AE78" s="2358" t="n"/>
      <c r="AF78" s="2358" t="n"/>
      <c r="AG78" s="2358" t="n"/>
      <c r="AH78" s="2360" t="n">
        <v>0.6518</v>
      </c>
      <c r="AI78" s="2360" t="n">
        <v>2.4692</v>
      </c>
      <c r="AJ78" s="2360" t="n">
        <v>3.121</v>
      </c>
      <c r="AK78" s="2358" t="n"/>
      <c r="AL78" s="2358" t="n"/>
      <c r="AM78" s="2361" t="inlineStr">
        <is>
          <t>NNN landlord expenses only; from AXG Whse Expenses PSF.xlsx (R0172868)</t>
        </is>
      </c>
    </row>
    <row r="79" ht="14.1" customHeight="1" s="1449">
      <c r="A79" s="2339" t="inlineStr">
        <is>
          <t>P036</t>
        </is>
      </c>
      <c r="B79" s="2338" t="n">
        <v>407</v>
      </c>
      <c r="C79" s="2339" t="inlineStr">
        <is>
          <t>R0172868</t>
        </is>
      </c>
      <c r="D79" s="2339" t="inlineStr">
        <is>
          <t>Majestic Commercenter (R0172868)</t>
        </is>
      </c>
      <c r="E79" s="2339" t="inlineStr">
        <is>
          <t>Commerce City</t>
        </is>
      </c>
      <c r="F79" s="2339" t="inlineStr">
        <is>
          <t>CO</t>
        </is>
      </c>
      <c r="G79" s="2339" t="inlineStr">
        <is>
          <t>Industrial</t>
        </is>
      </c>
      <c r="H79" s="2339" t="inlineStr">
        <is>
          <t>Warehouse NNN</t>
        </is>
      </c>
      <c r="I79" s="2362" t="n">
        <v>2007</v>
      </c>
      <c r="J79" s="2362" t="n">
        <v>202091</v>
      </c>
      <c r="K79" s="2362" t="n">
        <v>2022</v>
      </c>
      <c r="L79" s="2339" t="n"/>
      <c r="M79" s="2339" t="n"/>
      <c r="N79" s="2339" t="n"/>
      <c r="O79" s="2363" t="n">
        <v>0.09180000000000001</v>
      </c>
      <c r="P79" s="2363" t="n">
        <v>0.1363</v>
      </c>
      <c r="Q79" s="2339" t="n"/>
      <c r="R79" s="2339" t="n"/>
      <c r="S79" s="2339" t="n"/>
      <c r="T79" s="2339" t="n"/>
      <c r="U79" s="2339" t="n"/>
      <c r="V79" s="2339" t="n"/>
      <c r="W79" s="2339" t="n"/>
      <c r="X79" s="2339" t="n"/>
      <c r="Y79" s="2339" t="n"/>
      <c r="Z79" s="2339" t="n"/>
      <c r="AA79" s="2339" t="n"/>
      <c r="AB79" s="2339" t="n"/>
      <c r="AC79" s="2363" t="n">
        <v>0.3275</v>
      </c>
      <c r="AD79" s="2339" t="n"/>
      <c r="AE79" s="2339" t="n"/>
      <c r="AF79" s="2339" t="n"/>
      <c r="AG79" s="2339" t="n"/>
      <c r="AH79" s="2363" t="n">
        <v>0.5556</v>
      </c>
      <c r="AI79" s="2363" t="n">
        <v>2.5219</v>
      </c>
      <c r="AJ79" s="2363" t="n">
        <v>3.0775</v>
      </c>
      <c r="AK79" s="2339" t="n"/>
      <c r="AL79" s="2339" t="n"/>
      <c r="AM79" s="2364" t="inlineStr">
        <is>
          <t>NNN landlord expenses only; from AXG Whse Expenses PSF.xlsx (R0172868)</t>
        </is>
      </c>
    </row>
    <row r="80" ht="14.1" customHeight="1" s="1449">
      <c r="A80" s="2358" t="inlineStr">
        <is>
          <t>P037</t>
        </is>
      </c>
      <c r="B80" s="2338" t="n">
        <v>407</v>
      </c>
      <c r="C80" s="2358" t="inlineStr">
        <is>
          <t>R0145680</t>
        </is>
      </c>
      <c r="D80" s="2358" t="inlineStr">
        <is>
          <t>Majestic Commercenter (R0145680)</t>
        </is>
      </c>
      <c r="E80" s="2358" t="inlineStr">
        <is>
          <t>Commerce City</t>
        </is>
      </c>
      <c r="F80" s="2358" t="inlineStr">
        <is>
          <t>CO</t>
        </is>
      </c>
      <c r="G80" s="2358" t="inlineStr">
        <is>
          <t>Industrial</t>
        </is>
      </c>
      <c r="H80" s="2358" t="inlineStr">
        <is>
          <t>Warehouse NNN</t>
        </is>
      </c>
      <c r="I80" s="2359" t="n">
        <v>2001</v>
      </c>
      <c r="J80" s="2359" t="n">
        <v>150027</v>
      </c>
      <c r="K80" s="2359" t="n">
        <v>2021</v>
      </c>
      <c r="L80" s="2358" t="n"/>
      <c r="M80" s="2358" t="n"/>
      <c r="N80" s="2358" t="n"/>
      <c r="O80" s="2360" t="n">
        <v>0.0779</v>
      </c>
      <c r="P80" s="2360" t="n">
        <v>0.2768</v>
      </c>
      <c r="Q80" s="2358" t="n"/>
      <c r="R80" s="2358" t="n"/>
      <c r="S80" s="2358" t="n"/>
      <c r="T80" s="2358" t="n"/>
      <c r="U80" s="2358" t="n"/>
      <c r="V80" s="2358" t="n"/>
      <c r="W80" s="2358" t="n"/>
      <c r="X80" s="2358" t="n"/>
      <c r="Y80" s="2358" t="n"/>
      <c r="Z80" s="2358" t="n"/>
      <c r="AA80" s="2358" t="n"/>
      <c r="AB80" s="2358" t="n"/>
      <c r="AC80" s="2360" t="n">
        <v>0.3322</v>
      </c>
      <c r="AD80" s="2358" t="n"/>
      <c r="AE80" s="2358" t="n"/>
      <c r="AF80" s="2358" t="n"/>
      <c r="AG80" s="2358" t="n"/>
      <c r="AH80" s="2360" t="n">
        <v>0.6868</v>
      </c>
      <c r="AI80" s="2360" t="n">
        <v>2.8525</v>
      </c>
      <c r="AJ80" s="2360" t="n">
        <v>3.5393</v>
      </c>
      <c r="AK80" s="2358" t="n"/>
      <c r="AL80" s="2358" t="n"/>
      <c r="AM80" s="2361" t="inlineStr">
        <is>
          <t>NNN landlord expenses only; from AXG Whse Expenses PSF.xlsx (R0145680)</t>
        </is>
      </c>
    </row>
    <row r="81" ht="14.1" customHeight="1" s="1449">
      <c r="A81" s="2339" t="inlineStr">
        <is>
          <t>P037</t>
        </is>
      </c>
      <c r="B81" s="2338" t="n">
        <v>407</v>
      </c>
      <c r="C81" s="2339" t="inlineStr">
        <is>
          <t>R0145680</t>
        </is>
      </c>
      <c r="D81" s="2339" t="inlineStr">
        <is>
          <t>Majestic Commercenter (R0145680)</t>
        </is>
      </c>
      <c r="E81" s="2339" t="inlineStr">
        <is>
          <t>Commerce City</t>
        </is>
      </c>
      <c r="F81" s="2339" t="inlineStr">
        <is>
          <t>CO</t>
        </is>
      </c>
      <c r="G81" s="2339" t="inlineStr">
        <is>
          <t>Industrial</t>
        </is>
      </c>
      <c r="H81" s="2339" t="inlineStr">
        <is>
          <t>Warehouse NNN</t>
        </is>
      </c>
      <c r="I81" s="2362" t="n">
        <v>2001</v>
      </c>
      <c r="J81" s="2362" t="n">
        <v>150027</v>
      </c>
      <c r="K81" s="2362" t="n">
        <v>2022</v>
      </c>
      <c r="L81" s="2339" t="n"/>
      <c r="M81" s="2339" t="n"/>
      <c r="N81" s="2339" t="n"/>
      <c r="O81" s="2363" t="n">
        <v>0.0828</v>
      </c>
      <c r="P81" s="2363" t="n">
        <v>0.2294</v>
      </c>
      <c r="Q81" s="2339" t="n"/>
      <c r="R81" s="2339" t="n"/>
      <c r="S81" s="2339" t="n"/>
      <c r="T81" s="2339" t="n"/>
      <c r="U81" s="2339" t="n"/>
      <c r="V81" s="2339" t="n"/>
      <c r="W81" s="2339" t="n"/>
      <c r="X81" s="2339" t="n"/>
      <c r="Y81" s="2339" t="n"/>
      <c r="Z81" s="2339" t="n"/>
      <c r="AA81" s="2339" t="n"/>
      <c r="AB81" s="2339" t="n"/>
      <c r="AC81" s="2363" t="n">
        <v>0.3617</v>
      </c>
      <c r="AD81" s="2339" t="n"/>
      <c r="AE81" s="2339" t="n"/>
      <c r="AF81" s="2339" t="n"/>
      <c r="AG81" s="2339" t="n"/>
      <c r="AH81" s="2363" t="n">
        <v>0.6739000000000001</v>
      </c>
      <c r="AI81" s="2363" t="n">
        <v>2.7388</v>
      </c>
      <c r="AJ81" s="2363" t="n">
        <v>3.4127</v>
      </c>
      <c r="AK81" s="2339" t="n"/>
      <c r="AL81" s="2339" t="n"/>
      <c r="AM81" s="2364" t="inlineStr">
        <is>
          <t>NNN landlord expenses only; from AXG Whse Expenses PSF.xlsx (R0145680)</t>
        </is>
      </c>
    </row>
    <row r="82" ht="14.1" customHeight="1" s="1449">
      <c r="A82" s="2358" t="inlineStr">
        <is>
          <t>P038</t>
        </is>
      </c>
      <c r="B82" s="2338" t="n">
        <v>584</v>
      </c>
      <c r="C82" s="2358" t="inlineStr">
        <is>
          <t>R0181787</t>
        </is>
      </c>
      <c r="D82" s="2358" t="inlineStr">
        <is>
          <t>Majestic Commercenter (R0181787)</t>
        </is>
      </c>
      <c r="E82" s="2358" t="inlineStr">
        <is>
          <t>Commerce City</t>
        </is>
      </c>
      <c r="F82" s="2358" t="inlineStr">
        <is>
          <t>CO</t>
        </is>
      </c>
      <c r="G82" s="2358" t="inlineStr">
        <is>
          <t>Industrial</t>
        </is>
      </c>
      <c r="H82" s="2358" t="inlineStr">
        <is>
          <t>Warehouse NNN</t>
        </is>
      </c>
      <c r="I82" s="2359" t="n">
        <v>2013</v>
      </c>
      <c r="J82" s="2359" t="n">
        <v>500358</v>
      </c>
      <c r="K82" s="2359" t="n">
        <v>2021</v>
      </c>
      <c r="L82" s="2358" t="n"/>
      <c r="M82" s="2358" t="n"/>
      <c r="N82" s="2358" t="n"/>
      <c r="O82" s="2360" t="n">
        <v>0.0743</v>
      </c>
      <c r="P82" s="2360" t="n">
        <v>0.2354</v>
      </c>
      <c r="Q82" s="2358" t="n"/>
      <c r="R82" s="2358" t="n"/>
      <c r="S82" s="2358" t="n"/>
      <c r="T82" s="2358" t="n"/>
      <c r="U82" s="2358" t="n"/>
      <c r="V82" s="2358" t="n"/>
      <c r="W82" s="2358" t="n"/>
      <c r="X82" s="2358" t="n"/>
      <c r="Y82" s="2358" t="n"/>
      <c r="Z82" s="2358" t="n"/>
      <c r="AA82" s="2358" t="n"/>
      <c r="AB82" s="2358" t="n"/>
      <c r="AC82" s="2360" t="n">
        <v>0.3128</v>
      </c>
      <c r="AD82" s="2358" t="n"/>
      <c r="AE82" s="2358" t="n"/>
      <c r="AF82" s="2360" t="n">
        <v>0.2341</v>
      </c>
      <c r="AG82" s="2358" t="n"/>
      <c r="AH82" s="2360" t="n">
        <v>0.8566</v>
      </c>
      <c r="AI82" s="2360" t="n">
        <v>2.2838</v>
      </c>
      <c r="AJ82" s="2360" t="n">
        <v>3.1403</v>
      </c>
      <c r="AK82" s="2358" t="n"/>
      <c r="AL82" s="2358" t="n"/>
      <c r="AM82" s="2361" t="inlineStr">
        <is>
          <t>NNN landlord expenses only; from AXG Whse Expenses PSF.xlsx (R0181787)</t>
        </is>
      </c>
    </row>
    <row r="83" ht="14.1" customHeight="1" s="1449">
      <c r="A83" s="2339" t="inlineStr">
        <is>
          <t>P038</t>
        </is>
      </c>
      <c r="B83" s="2338" t="n">
        <v>584</v>
      </c>
      <c r="C83" s="2339" t="inlineStr">
        <is>
          <t>R0181787</t>
        </is>
      </c>
      <c r="D83" s="2339" t="inlineStr">
        <is>
          <t>Majestic Commercenter (R0181787)</t>
        </is>
      </c>
      <c r="E83" s="2339" t="inlineStr">
        <is>
          <t>Commerce City</t>
        </is>
      </c>
      <c r="F83" s="2339" t="inlineStr">
        <is>
          <t>CO</t>
        </is>
      </c>
      <c r="G83" s="2339" t="inlineStr">
        <is>
          <t>Industrial</t>
        </is>
      </c>
      <c r="H83" s="2339" t="inlineStr">
        <is>
          <t>Warehouse NNN</t>
        </is>
      </c>
      <c r="I83" s="2362" t="n">
        <v>2013</v>
      </c>
      <c r="J83" s="2362" t="n">
        <v>500358</v>
      </c>
      <c r="K83" s="2362" t="n">
        <v>2022</v>
      </c>
      <c r="L83" s="2339" t="n"/>
      <c r="M83" s="2339" t="n"/>
      <c r="N83" s="2339" t="n"/>
      <c r="O83" s="2363" t="n">
        <v>0.079</v>
      </c>
      <c r="P83" s="2363" t="n">
        <v>0.2014</v>
      </c>
      <c r="Q83" s="2339" t="n"/>
      <c r="R83" s="2339" t="n"/>
      <c r="S83" s="2339" t="n"/>
      <c r="T83" s="2339" t="n"/>
      <c r="U83" s="2339" t="n"/>
      <c r="V83" s="2339" t="n"/>
      <c r="W83" s="2339" t="n"/>
      <c r="X83" s="2339" t="n"/>
      <c r="Y83" s="2339" t="n"/>
      <c r="Z83" s="2339" t="n"/>
      <c r="AA83" s="2339" t="n"/>
      <c r="AB83" s="2339" t="n"/>
      <c r="AC83" s="2363" t="n">
        <v>0.2328</v>
      </c>
      <c r="AD83" s="2339" t="n"/>
      <c r="AE83" s="2339" t="n"/>
      <c r="AF83" s="2363" t="n">
        <v>0.2263</v>
      </c>
      <c r="AG83" s="2339" t="n"/>
      <c r="AH83" s="2363" t="n">
        <v>0.7396</v>
      </c>
      <c r="AI83" s="2363" t="n">
        <v>2.5398</v>
      </c>
      <c r="AJ83" s="2363" t="n">
        <v>3.2794</v>
      </c>
      <c r="AK83" s="2339" t="n"/>
      <c r="AL83" s="2339" t="n"/>
      <c r="AM83" s="2364" t="inlineStr">
        <is>
          <t>NNN landlord expenses only; from AXG Whse Expenses PSF.xlsx (R0181787)</t>
        </is>
      </c>
    </row>
    <row r="84" ht="14.1" customHeight="1" s="1449">
      <c r="A84" s="2358" t="inlineStr">
        <is>
          <t>P039</t>
        </is>
      </c>
      <c r="B84" s="2338" t="n">
        <v>584</v>
      </c>
      <c r="C84" s="2358" t="inlineStr">
        <is>
          <t>R0191101</t>
        </is>
      </c>
      <c r="D84" s="2358" t="inlineStr">
        <is>
          <t>Majestic Commercenter (R0191101)</t>
        </is>
      </c>
      <c r="E84" s="2358" t="inlineStr">
        <is>
          <t>Commerce City</t>
        </is>
      </c>
      <c r="F84" s="2358" t="inlineStr">
        <is>
          <t>CO</t>
        </is>
      </c>
      <c r="G84" s="2358" t="inlineStr">
        <is>
          <t>Industrial</t>
        </is>
      </c>
      <c r="H84" s="2358" t="inlineStr">
        <is>
          <t>Warehouse NNN</t>
        </is>
      </c>
      <c r="I84" s="2359" t="n">
        <v>2017</v>
      </c>
      <c r="J84" s="2359" t="n">
        <v>522120</v>
      </c>
      <c r="K84" s="2359" t="n">
        <v>2021</v>
      </c>
      <c r="L84" s="2358" t="n"/>
      <c r="M84" s="2358" t="n"/>
      <c r="N84" s="2358" t="n"/>
      <c r="O84" s="2360" t="n">
        <v>0.0822</v>
      </c>
      <c r="P84" s="2360" t="n">
        <v>0.2582</v>
      </c>
      <c r="Q84" s="2358" t="n"/>
      <c r="R84" s="2358" t="n"/>
      <c r="S84" s="2358" t="n"/>
      <c r="T84" s="2358" t="n"/>
      <c r="U84" s="2358" t="n"/>
      <c r="V84" s="2358" t="n"/>
      <c r="W84" s="2358" t="n"/>
      <c r="X84" s="2358" t="n"/>
      <c r="Y84" s="2358" t="n"/>
      <c r="Z84" s="2358" t="n"/>
      <c r="AA84" s="2358" t="n"/>
      <c r="AB84" s="2358" t="n"/>
      <c r="AC84" s="2360" t="n">
        <v>0.2825</v>
      </c>
      <c r="AD84" s="2358" t="n"/>
      <c r="AE84" s="2358" t="n"/>
      <c r="AF84" s="2360" t="n">
        <v>0.1793</v>
      </c>
      <c r="AG84" s="2358" t="n"/>
      <c r="AH84" s="2360" t="n">
        <v>0.8022</v>
      </c>
      <c r="AI84" s="2360" t="n">
        <v>2.1785</v>
      </c>
      <c r="AJ84" s="2360" t="n">
        <v>2.9807</v>
      </c>
      <c r="AK84" s="2358" t="n"/>
      <c r="AL84" s="2358" t="n"/>
      <c r="AM84" s="2361" t="inlineStr">
        <is>
          <t>NNN landlord expenses only; from AXG Whse Expenses PSF.xlsx (R0191101)</t>
        </is>
      </c>
    </row>
    <row r="85" ht="14.1" customHeight="1" s="1449">
      <c r="A85" s="2339" t="inlineStr">
        <is>
          <t>P039</t>
        </is>
      </c>
      <c r="B85" s="2338" t="n">
        <v>584</v>
      </c>
      <c r="C85" s="2339" t="inlineStr">
        <is>
          <t>R0191101</t>
        </is>
      </c>
      <c r="D85" s="2339" t="inlineStr">
        <is>
          <t>Majestic Commercenter (R0191101)</t>
        </is>
      </c>
      <c r="E85" s="2339" t="inlineStr">
        <is>
          <t>Commerce City</t>
        </is>
      </c>
      <c r="F85" s="2339" t="inlineStr">
        <is>
          <t>CO</t>
        </is>
      </c>
      <c r="G85" s="2339" t="inlineStr">
        <is>
          <t>Industrial</t>
        </is>
      </c>
      <c r="H85" s="2339" t="inlineStr">
        <is>
          <t>Warehouse NNN</t>
        </is>
      </c>
      <c r="I85" s="2362" t="n">
        <v>2017</v>
      </c>
      <c r="J85" s="2362" t="n">
        <v>522120</v>
      </c>
      <c r="K85" s="2362" t="n">
        <v>2022</v>
      </c>
      <c r="L85" s="2339" t="n"/>
      <c r="M85" s="2339" t="n"/>
      <c r="N85" s="2339" t="n"/>
      <c r="O85" s="2363" t="n">
        <v>0.08740000000000001</v>
      </c>
      <c r="P85" s="2363" t="n">
        <v>0.2219</v>
      </c>
      <c r="Q85" s="2339" t="n"/>
      <c r="R85" s="2339" t="n"/>
      <c r="S85" s="2339" t="n"/>
      <c r="T85" s="2339" t="n"/>
      <c r="U85" s="2339" t="n"/>
      <c r="V85" s="2339" t="n"/>
      <c r="W85" s="2339" t="n"/>
      <c r="X85" s="2339" t="n"/>
      <c r="Y85" s="2339" t="n"/>
      <c r="Z85" s="2339" t="n"/>
      <c r="AA85" s="2339" t="n"/>
      <c r="AB85" s="2339" t="n"/>
      <c r="AC85" s="2363" t="n">
        <v>0.1719</v>
      </c>
      <c r="AD85" s="2339" t="n"/>
      <c r="AE85" s="2339" t="n"/>
      <c r="AF85" s="2363" t="n">
        <v>0.1738</v>
      </c>
      <c r="AG85" s="2339" t="n"/>
      <c r="AH85" s="2363" t="n">
        <v>0.655</v>
      </c>
      <c r="AI85" s="2363" t="n">
        <v>2.2402</v>
      </c>
      <c r="AJ85" s="2363" t="n">
        <v>2.8952</v>
      </c>
      <c r="AK85" s="2339" t="n"/>
      <c r="AL85" s="2339" t="n"/>
      <c r="AM85" s="2364" t="inlineStr">
        <is>
          <t>NNN landlord expenses only; from AXG Whse Expenses PSF.xlsx (R0191101)</t>
        </is>
      </c>
    </row>
    <row r="86" ht="14.1" customHeight="1" s="1449">
      <c r="A86" s="2358" t="inlineStr">
        <is>
          <t>P040</t>
        </is>
      </c>
      <c r="B86" s="2338" t="n">
        <v>407</v>
      </c>
      <c r="C86" s="2358" t="inlineStr">
        <is>
          <t>R0202874</t>
        </is>
      </c>
      <c r="D86" s="2358" t="inlineStr">
        <is>
          <t>900 E 128th Ave</t>
        </is>
      </c>
      <c r="E86" s="2358" t="inlineStr">
        <is>
          <t>Henderson</t>
        </is>
      </c>
      <c r="F86" s="2358" t="inlineStr">
        <is>
          <t>CO</t>
        </is>
      </c>
      <c r="G86" s="2358" t="inlineStr">
        <is>
          <t>Industrial</t>
        </is>
      </c>
      <c r="H86" s="2358" t="inlineStr">
        <is>
          <t>Last-Mile Distribution NNN</t>
        </is>
      </c>
      <c r="I86" s="2359" t="n"/>
      <c r="J86" s="2359" t="n"/>
      <c r="K86" s="2359" t="n">
        <v>2021</v>
      </c>
      <c r="L86" s="2370" t="n">
        <v>2633716</v>
      </c>
      <c r="M86" s="2358" t="n"/>
      <c r="N86" s="2370" t="n">
        <v>3256403</v>
      </c>
      <c r="O86" s="2370" t="n">
        <v>56624</v>
      </c>
      <c r="P86" s="2358" t="n"/>
      <c r="Q86" s="2370" t="n">
        <v>300</v>
      </c>
      <c r="R86" s="2358" t="n"/>
      <c r="S86" s="2358" t="n"/>
      <c r="T86" s="2358" t="n"/>
      <c r="U86" s="2358" t="n"/>
      <c r="V86" s="2358" t="n"/>
      <c r="W86" s="2358" t="n"/>
      <c r="X86" s="2370" t="n">
        <v>29535</v>
      </c>
      <c r="Y86" s="2370" t="n">
        <v>30138</v>
      </c>
      <c r="Z86" s="2358" t="n"/>
      <c r="AA86" s="2370" t="n">
        <v>54136</v>
      </c>
      <c r="AB86" s="2370" t="n">
        <v>127274</v>
      </c>
      <c r="AC86" s="2358" t="n"/>
      <c r="AD86" s="2358" t="n"/>
      <c r="AE86" s="2358" t="n"/>
      <c r="AF86" s="2370" t="n">
        <v>18748</v>
      </c>
      <c r="AG86" s="2358" t="n"/>
      <c r="AH86" s="2370" t="n">
        <v>731951</v>
      </c>
      <c r="AI86" s="2358" t="n"/>
      <c r="AJ86" s="2358" t="n"/>
      <c r="AK86" s="2370" t="n">
        <v>2524452</v>
      </c>
      <c r="AL86" s="2358" t="n"/>
      <c r="AM86" s="2361" t="inlineStr">
        <is>
          <t>[NO SF] Amazon AMZL Site 51812; SF not extracted; RE Tax not broken out in 2021</t>
        </is>
      </c>
    </row>
    <row r="87" ht="14.1" customHeight="1" s="1449">
      <c r="A87" s="2339" t="inlineStr">
        <is>
          <t>P040</t>
        </is>
      </c>
      <c r="B87" s="2338" t="n">
        <v>407</v>
      </c>
      <c r="C87" s="2339" t="inlineStr">
        <is>
          <t>R0202874</t>
        </is>
      </c>
      <c r="D87" s="2339" t="inlineStr">
        <is>
          <t>900 E 128th Ave</t>
        </is>
      </c>
      <c r="E87" s="2339" t="inlineStr">
        <is>
          <t>Henderson</t>
        </is>
      </c>
      <c r="F87" s="2339" t="inlineStr">
        <is>
          <t>CO</t>
        </is>
      </c>
      <c r="G87" s="2339" t="inlineStr">
        <is>
          <t>Industrial</t>
        </is>
      </c>
      <c r="H87" s="2339" t="inlineStr">
        <is>
          <t>Last-Mile Distribution NNN</t>
        </is>
      </c>
      <c r="I87" s="2362" t="n"/>
      <c r="J87" s="2362" t="n"/>
      <c r="K87" s="2362" t="n">
        <v>2022</v>
      </c>
      <c r="L87" s="2339" t="n"/>
      <c r="M87" s="2339" t="n"/>
      <c r="N87" s="2339" t="n"/>
      <c r="O87" s="2339" t="n"/>
      <c r="P87" s="2371" t="n">
        <v>69999</v>
      </c>
      <c r="Q87" s="2339" t="n"/>
      <c r="R87" s="2339" t="n"/>
      <c r="S87" s="2339" t="n"/>
      <c r="T87" s="2339" t="n"/>
      <c r="U87" s="2339" t="n"/>
      <c r="V87" s="2339" t="n"/>
      <c r="W87" s="2339" t="n"/>
      <c r="X87" s="2339" t="n"/>
      <c r="Y87" s="2339" t="n"/>
      <c r="Z87" s="2339" t="n"/>
      <c r="AA87" s="2339" t="n"/>
      <c r="AB87" s="2339" t="n"/>
      <c r="AC87" s="2339" t="n"/>
      <c r="AD87" s="2339" t="n"/>
      <c r="AE87" s="2339" t="n"/>
      <c r="AF87" s="2339" t="n"/>
      <c r="AG87" s="2339" t="n"/>
      <c r="AH87" s="2339" t="n"/>
      <c r="AI87" s="2371" t="n">
        <v>1080500</v>
      </c>
      <c r="AJ87" s="2371" t="n">
        <v>1527913</v>
      </c>
      <c r="AK87" s="2371" t="n">
        <v>2475461</v>
      </c>
      <c r="AL87" s="2339" t="n"/>
      <c r="AM87" s="2364" t="inlineStr">
        <is>
          <t>[NO SF] Amazon AMZL Site 51812; 2022 dominated by RE Tax $1.08M; asset mgmt fee $70k</t>
        </is>
      </c>
    </row>
    <row r="88" ht="14.1" customHeight="1" s="1449">
      <c r="A88" s="2372" t="inlineStr">
        <is>
          <t>P041</t>
        </is>
      </c>
      <c r="B88" s="2338" t="n">
        <v>386</v>
      </c>
      <c r="C88" s="2372" t="inlineStr">
        <is>
          <t>R0189384</t>
        </is>
      </c>
      <c r="D88" s="2372" t="inlineStr">
        <is>
          <t>1101 Colorado Blvd</t>
        </is>
      </c>
      <c r="E88" s="2372" t="inlineStr">
        <is>
          <t>Thornton</t>
        </is>
      </c>
      <c r="F88" s="2372" t="inlineStr">
        <is>
          <t>CO</t>
        </is>
      </c>
      <c r="G88" s="2372" t="inlineStr">
        <is>
          <t>Self-Storage</t>
        </is>
      </c>
      <c r="H88" s="2372" t="inlineStr">
        <is>
          <t>Climate-Controlled</t>
        </is>
      </c>
      <c r="I88" s="2373" t="n"/>
      <c r="J88" s="2373" t="n">
        <v>65766</v>
      </c>
      <c r="K88" s="2373" t="n">
        <v>2021</v>
      </c>
      <c r="L88" s="2372" t="n"/>
      <c r="M88" s="2372" t="n"/>
      <c r="N88" s="2374" t="n">
        <v>13.3807</v>
      </c>
      <c r="O88" s="2372" t="n"/>
      <c r="P88" s="2372" t="n"/>
      <c r="Q88" s="2372" t="n"/>
      <c r="R88" s="2372" t="n"/>
      <c r="S88" s="2372" t="n"/>
      <c r="T88" s="2372" t="n"/>
      <c r="U88" s="2372" t="n"/>
      <c r="V88" s="2372" t="n"/>
      <c r="W88" s="2372" t="n"/>
      <c r="X88" s="2372" t="n"/>
      <c r="Y88" s="2372" t="n"/>
      <c r="Z88" s="2372" t="n"/>
      <c r="AA88" s="2372" t="n"/>
      <c r="AB88" s="2372" t="n"/>
      <c r="AC88" s="2372" t="n"/>
      <c r="AD88" s="2372" t="n"/>
      <c r="AE88" s="2372" t="n"/>
      <c r="AF88" s="2372" t="n"/>
      <c r="AG88" s="2372" t="n"/>
      <c r="AH88" s="2372" t="n"/>
      <c r="AI88" s="2372" t="n"/>
      <c r="AJ88" s="2374" t="n">
        <v>6.3574</v>
      </c>
      <c r="AK88" s="2374" t="n">
        <v>7.0233</v>
      </c>
      <c r="AL88" s="2372" t="n"/>
      <c r="AM88" s="2375" t="inlineStr">
        <is>
          <t>Actual SS P&amp;L; mgmt=off-site+on-site combined; admin+adv in Other</t>
        </is>
      </c>
    </row>
    <row r="89" ht="14.1" customHeight="1" s="1449">
      <c r="A89" s="2372" t="inlineStr">
        <is>
          <t>P041</t>
        </is>
      </c>
      <c r="B89" s="2338" t="n">
        <v>386</v>
      </c>
      <c r="C89" s="2372" t="inlineStr">
        <is>
          <t>R0189384</t>
        </is>
      </c>
      <c r="D89" s="2372" t="inlineStr">
        <is>
          <t>1101 Colorado Blvd</t>
        </is>
      </c>
      <c r="E89" s="2372" t="inlineStr">
        <is>
          <t>Thornton</t>
        </is>
      </c>
      <c r="F89" s="2372" t="inlineStr">
        <is>
          <t>CO</t>
        </is>
      </c>
      <c r="G89" s="2372" t="inlineStr">
        <is>
          <t>Self-Storage</t>
        </is>
      </c>
      <c r="H89" s="2372" t="inlineStr">
        <is>
          <t>Climate-Controlled</t>
        </is>
      </c>
      <c r="I89" s="2373" t="n"/>
      <c r="J89" s="2373" t="n">
        <v>65766</v>
      </c>
      <c r="K89" s="2373" t="n">
        <v>2022</v>
      </c>
      <c r="L89" s="2372" t="n"/>
      <c r="M89" s="2372" t="n"/>
      <c r="N89" s="2374" t="n">
        <v>14.0623</v>
      </c>
      <c r="O89" s="2372" t="n"/>
      <c r="P89" s="2372" t="n"/>
      <c r="Q89" s="2372" t="n"/>
      <c r="R89" s="2372" t="n"/>
      <c r="S89" s="2372" t="n"/>
      <c r="T89" s="2372" t="n"/>
      <c r="U89" s="2372" t="n"/>
      <c r="V89" s="2372" t="n"/>
      <c r="W89" s="2372" t="n"/>
      <c r="X89" s="2372" t="n"/>
      <c r="Y89" s="2372" t="n"/>
      <c r="Z89" s="2372" t="n"/>
      <c r="AA89" s="2372" t="n"/>
      <c r="AB89" s="2372" t="n"/>
      <c r="AC89" s="2372" t="n"/>
      <c r="AD89" s="2372" t="n"/>
      <c r="AE89" s="2372" t="n"/>
      <c r="AF89" s="2372" t="n"/>
      <c r="AG89" s="2372" t="n"/>
      <c r="AH89" s="2372" t="n"/>
      <c r="AI89" s="2372" t="n"/>
      <c r="AJ89" s="2374" t="n">
        <v>6.9302</v>
      </c>
      <c r="AK89" s="2374" t="n">
        <v>7.1322</v>
      </c>
      <c r="AL89" s="2372" t="n"/>
      <c r="AM89" s="2375" t="inlineStr">
        <is>
          <t>Actual SS P&amp;L; mgmt=off-site+on-site combined; admin+adv in Other</t>
        </is>
      </c>
    </row>
    <row r="90" ht="14.1" customHeight="1" s="1449">
      <c r="A90" s="2372" t="inlineStr">
        <is>
          <t>P041</t>
        </is>
      </c>
      <c r="B90" s="2338" t="n">
        <v>386</v>
      </c>
      <c r="C90" s="2372" t="inlineStr">
        <is>
          <t>R0189384</t>
        </is>
      </c>
      <c r="D90" s="2372" t="inlineStr">
        <is>
          <t>1101 Colorado Blvd</t>
        </is>
      </c>
      <c r="E90" s="2372" t="inlineStr">
        <is>
          <t>Thornton</t>
        </is>
      </c>
      <c r="F90" s="2372" t="inlineStr">
        <is>
          <t>CO</t>
        </is>
      </c>
      <c r="G90" s="2372" t="inlineStr">
        <is>
          <t>Self-Storage</t>
        </is>
      </c>
      <c r="H90" s="2372" t="inlineStr">
        <is>
          <t>Climate-Controlled</t>
        </is>
      </c>
      <c r="I90" s="2373" t="n"/>
      <c r="J90" s="2373" t="n">
        <v>65766</v>
      </c>
      <c r="K90" s="2373" t="n">
        <v>2023</v>
      </c>
      <c r="L90" s="2372" t="n"/>
      <c r="M90" s="2372" t="n"/>
      <c r="N90" s="2374" t="n">
        <v>14.16</v>
      </c>
      <c r="O90" s="2374" t="n">
        <v>0.6306</v>
      </c>
      <c r="P90" s="2374" t="n">
        <v>1.5829</v>
      </c>
      <c r="Q90" s="2372" t="n"/>
      <c r="R90" s="2372" t="n"/>
      <c r="S90" s="2372" t="n"/>
      <c r="T90" s="2372" t="n"/>
      <c r="U90" s="2372" t="n"/>
      <c r="V90" s="2372" t="n"/>
      <c r="W90" s="2372" t="n"/>
      <c r="X90" s="2372" t="n"/>
      <c r="Y90" s="2374" t="n">
        <v>0.2367</v>
      </c>
      <c r="Z90" s="2372" t="n"/>
      <c r="AA90" s="2372" t="n"/>
      <c r="AB90" s="2372" t="n"/>
      <c r="AC90" s="2372" t="n"/>
      <c r="AD90" s="2372" t="n"/>
      <c r="AE90" s="2372" t="n"/>
      <c r="AF90" s="2374" t="n">
        <v>0.5644</v>
      </c>
      <c r="AG90" s="2372" t="n"/>
      <c r="AH90" s="2374" t="n">
        <v>4.479</v>
      </c>
      <c r="AI90" s="2374" t="n">
        <v>2.7358</v>
      </c>
      <c r="AJ90" s="2374" t="n">
        <v>7.2147</v>
      </c>
      <c r="AK90" s="2374" t="n">
        <v>7.1427</v>
      </c>
      <c r="AL90" s="2372" t="n"/>
      <c r="AM90" s="2375" t="inlineStr">
        <is>
          <t>Actual SS P&amp;L; mgmt=off-site+on-site combined; admin+adv in Other</t>
        </is>
      </c>
    </row>
    <row r="91" ht="14.1" customHeight="1" s="1449">
      <c r="A91" s="2372" t="inlineStr">
        <is>
          <t>P042</t>
        </is>
      </c>
      <c r="B91" s="2338" t="n">
        <v>386</v>
      </c>
      <c r="C91" s="2372" t="inlineStr">
        <is>
          <t>R0126235</t>
        </is>
      </c>
      <c r="D91" s="2372" t="inlineStr">
        <is>
          <t>15024 Laroy Drive</t>
        </is>
      </c>
      <c r="E91" s="2372" t="inlineStr">
        <is>
          <t>Northglenn</t>
        </is>
      </c>
      <c r="F91" s="2372" t="inlineStr">
        <is>
          <t>CO</t>
        </is>
      </c>
      <c r="G91" s="2372" t="inlineStr">
        <is>
          <t>Self-Storage</t>
        </is>
      </c>
      <c r="H91" s="2372" t="inlineStr">
        <is>
          <t>Climate-Controlled</t>
        </is>
      </c>
      <c r="I91" s="2373" t="n"/>
      <c r="J91" s="2373" t="n">
        <v>79950</v>
      </c>
      <c r="K91" s="2373" t="n">
        <v>2021</v>
      </c>
      <c r="L91" s="2372" t="n"/>
      <c r="M91" s="2372" t="n"/>
      <c r="N91" s="2374" t="n">
        <v>11.9617</v>
      </c>
      <c r="O91" s="2372" t="n"/>
      <c r="P91" s="2372" t="n"/>
      <c r="Q91" s="2372" t="n"/>
      <c r="R91" s="2372" t="n"/>
      <c r="S91" s="2372" t="n"/>
      <c r="T91" s="2372" t="n"/>
      <c r="U91" s="2372" t="n"/>
      <c r="V91" s="2372" t="n"/>
      <c r="W91" s="2372" t="n"/>
      <c r="X91" s="2372" t="n"/>
      <c r="Y91" s="2372" t="n"/>
      <c r="Z91" s="2372" t="n"/>
      <c r="AA91" s="2372" t="n"/>
      <c r="AB91" s="2372" t="n"/>
      <c r="AC91" s="2372" t="n"/>
      <c r="AD91" s="2372" t="n"/>
      <c r="AE91" s="2372" t="n"/>
      <c r="AF91" s="2372" t="n"/>
      <c r="AG91" s="2372" t="n"/>
      <c r="AH91" s="2372" t="n"/>
      <c r="AI91" s="2372" t="n"/>
      <c r="AJ91" s="2374" t="n">
        <v>6.0239</v>
      </c>
      <c r="AK91" s="2374" t="n">
        <v>6.4381</v>
      </c>
      <c r="AL91" s="2372" t="n"/>
      <c r="AM91" s="2375" t="inlineStr">
        <is>
          <t>Actual SS P&amp;L; mgmt=off-site+on-site combined</t>
        </is>
      </c>
    </row>
    <row r="92" ht="14.1" customHeight="1" s="1449">
      <c r="A92" s="2372" t="inlineStr">
        <is>
          <t>P042</t>
        </is>
      </c>
      <c r="B92" s="2338" t="n">
        <v>386</v>
      </c>
      <c r="C92" s="2372" t="inlineStr">
        <is>
          <t>R0126235</t>
        </is>
      </c>
      <c r="D92" s="2372" t="inlineStr">
        <is>
          <t>15024 Laroy Drive</t>
        </is>
      </c>
      <c r="E92" s="2372" t="inlineStr">
        <is>
          <t>Northglenn</t>
        </is>
      </c>
      <c r="F92" s="2372" t="inlineStr">
        <is>
          <t>CO</t>
        </is>
      </c>
      <c r="G92" s="2372" t="inlineStr">
        <is>
          <t>Self-Storage</t>
        </is>
      </c>
      <c r="H92" s="2372" t="inlineStr">
        <is>
          <t>Climate-Controlled</t>
        </is>
      </c>
      <c r="I92" s="2373" t="n"/>
      <c r="J92" s="2373" t="n">
        <v>79950</v>
      </c>
      <c r="K92" s="2373" t="n">
        <v>2022</v>
      </c>
      <c r="L92" s="2372" t="n"/>
      <c r="M92" s="2372" t="n"/>
      <c r="N92" s="2374" t="n">
        <v>12.7321</v>
      </c>
      <c r="O92" s="2372" t="n"/>
      <c r="P92" s="2372" t="n"/>
      <c r="Q92" s="2372" t="n"/>
      <c r="R92" s="2372" t="n"/>
      <c r="S92" s="2372" t="n"/>
      <c r="T92" s="2372" t="n"/>
      <c r="U92" s="2372" t="n"/>
      <c r="V92" s="2372" t="n"/>
      <c r="W92" s="2372" t="n"/>
      <c r="X92" s="2372" t="n"/>
      <c r="Y92" s="2372" t="n"/>
      <c r="Z92" s="2372" t="n"/>
      <c r="AA92" s="2372" t="n"/>
      <c r="AB92" s="2372" t="n"/>
      <c r="AC92" s="2372" t="n"/>
      <c r="AD92" s="2372" t="n"/>
      <c r="AE92" s="2372" t="n"/>
      <c r="AF92" s="2372" t="n"/>
      <c r="AG92" s="2372" t="n"/>
      <c r="AH92" s="2372" t="n"/>
      <c r="AI92" s="2372" t="n"/>
      <c r="AJ92" s="2374" t="n">
        <v>5.4064</v>
      </c>
      <c r="AK92" s="2374" t="n">
        <v>7.3257</v>
      </c>
      <c r="AL92" s="2372" t="n"/>
      <c r="AM92" s="2375" t="inlineStr">
        <is>
          <t>Actual SS P&amp;L; mgmt=off-site+on-site combined</t>
        </is>
      </c>
    </row>
    <row r="93" ht="14.1" customHeight="1" s="1449">
      <c r="A93" s="2372" t="inlineStr">
        <is>
          <t>P042</t>
        </is>
      </c>
      <c r="B93" s="2338" t="n">
        <v>386</v>
      </c>
      <c r="C93" s="2372" t="inlineStr">
        <is>
          <t>R0126235</t>
        </is>
      </c>
      <c r="D93" s="2372" t="inlineStr">
        <is>
          <t>15024 Laroy Drive</t>
        </is>
      </c>
      <c r="E93" s="2372" t="inlineStr">
        <is>
          <t>Northglenn</t>
        </is>
      </c>
      <c r="F93" s="2372" t="inlineStr">
        <is>
          <t>CO</t>
        </is>
      </c>
      <c r="G93" s="2372" t="inlineStr">
        <is>
          <t>Self-Storage</t>
        </is>
      </c>
      <c r="H93" s="2372" t="inlineStr">
        <is>
          <t>Climate-Controlled</t>
        </is>
      </c>
      <c r="I93" s="2373" t="n"/>
      <c r="J93" s="2373" t="n">
        <v>79950</v>
      </c>
      <c r="K93" s="2373" t="n">
        <v>2023</v>
      </c>
      <c r="L93" s="2372" t="n"/>
      <c r="M93" s="2372" t="n"/>
      <c r="N93" s="2374" t="n">
        <v>11.94</v>
      </c>
      <c r="O93" s="2374" t="n">
        <v>0.5105</v>
      </c>
      <c r="P93" s="2374" t="n">
        <v>1.3574</v>
      </c>
      <c r="Q93" s="2372" t="n"/>
      <c r="R93" s="2372" t="n"/>
      <c r="S93" s="2372" t="n"/>
      <c r="T93" s="2372" t="n"/>
      <c r="U93" s="2372" t="n"/>
      <c r="V93" s="2372" t="n"/>
      <c r="W93" s="2372" t="n"/>
      <c r="X93" s="2372" t="n"/>
      <c r="Y93" s="2374" t="n">
        <v>0.301</v>
      </c>
      <c r="Z93" s="2372" t="n"/>
      <c r="AA93" s="2372" t="n"/>
      <c r="AB93" s="2372" t="n"/>
      <c r="AC93" s="2372" t="n"/>
      <c r="AD93" s="2372" t="n"/>
      <c r="AE93" s="2372" t="n"/>
      <c r="AF93" s="2374" t="n">
        <v>0.2587</v>
      </c>
      <c r="AG93" s="2372" t="n"/>
      <c r="AH93" s="2374" t="n">
        <v>3.4355</v>
      </c>
      <c r="AI93" s="2374" t="n">
        <v>3.061</v>
      </c>
      <c r="AJ93" s="2374" t="n">
        <v>6.4964</v>
      </c>
      <c r="AK93" s="2374" t="n">
        <v>5.4436</v>
      </c>
      <c r="AL93" s="2372" t="n"/>
      <c r="AM93" s="2375" t="inlineStr">
        <is>
          <t>Actual SS P&amp;L; mgmt=off-site+on-site combined</t>
        </is>
      </c>
    </row>
    <row r="94" ht="14.1" customHeight="1" s="1449">
      <c r="A94" s="2372" t="inlineStr">
        <is>
          <t>P043</t>
        </is>
      </c>
      <c r="B94" s="2338" t="n">
        <v>386</v>
      </c>
      <c r="C94" s="2372" t="inlineStr">
        <is>
          <t>R0126234</t>
        </is>
      </c>
      <c r="D94" s="2372" t="inlineStr">
        <is>
          <t>715 W 112th Ave</t>
        </is>
      </c>
      <c r="E94" s="2372" t="inlineStr">
        <is>
          <t>Northglenn</t>
        </is>
      </c>
      <c r="F94" s="2372" t="inlineStr">
        <is>
          <t>CO</t>
        </is>
      </c>
      <c r="G94" s="2372" t="inlineStr">
        <is>
          <t>Self-Storage</t>
        </is>
      </c>
      <c r="H94" s="2372" t="inlineStr">
        <is>
          <t>Drive-Up/Drop-Off</t>
        </is>
      </c>
      <c r="I94" s="2373" t="n"/>
      <c r="J94" s="2373" t="n">
        <v>83756</v>
      </c>
      <c r="K94" s="2373" t="n">
        <v>2021</v>
      </c>
      <c r="L94" s="2372" t="n"/>
      <c r="M94" s="2372" t="n"/>
      <c r="N94" s="2374" t="n">
        <v>9.7278</v>
      </c>
      <c r="O94" s="2372" t="n"/>
      <c r="P94" s="2372" t="n"/>
      <c r="Q94" s="2372" t="n"/>
      <c r="R94" s="2372" t="n"/>
      <c r="S94" s="2372" t="n"/>
      <c r="T94" s="2372" t="n"/>
      <c r="U94" s="2372" t="n"/>
      <c r="V94" s="2372" t="n"/>
      <c r="W94" s="2372" t="n"/>
      <c r="X94" s="2372" t="n"/>
      <c r="Y94" s="2372" t="n"/>
      <c r="Z94" s="2372" t="n"/>
      <c r="AA94" s="2372" t="n"/>
      <c r="AB94" s="2372" t="n"/>
      <c r="AC94" s="2372" t="n"/>
      <c r="AD94" s="2372" t="n"/>
      <c r="AE94" s="2372" t="n"/>
      <c r="AF94" s="2372" t="n"/>
      <c r="AG94" s="2372" t="n"/>
      <c r="AH94" s="2372" t="n"/>
      <c r="AI94" s="2372" t="n"/>
      <c r="AJ94" s="2374" t="n">
        <v>5.2127</v>
      </c>
      <c r="AK94" s="2374" t="n">
        <v>4.5151</v>
      </c>
      <c r="AL94" s="2372" t="n"/>
      <c r="AM94" s="2375" t="inlineStr">
        <is>
          <t>Actual SS P&amp;L; mgmt=off-site+on-site combined</t>
        </is>
      </c>
    </row>
    <row r="95" ht="14.1" customHeight="1" s="1449">
      <c r="A95" s="2372" t="inlineStr">
        <is>
          <t>P043</t>
        </is>
      </c>
      <c r="B95" s="2338" t="n">
        <v>386</v>
      </c>
      <c r="C95" s="2372" t="inlineStr">
        <is>
          <t>R0126234</t>
        </is>
      </c>
      <c r="D95" s="2372" t="inlineStr">
        <is>
          <t>715 W 112th Ave</t>
        </is>
      </c>
      <c r="E95" s="2372" t="inlineStr">
        <is>
          <t>Northglenn</t>
        </is>
      </c>
      <c r="F95" s="2372" t="inlineStr">
        <is>
          <t>CO</t>
        </is>
      </c>
      <c r="G95" s="2372" t="inlineStr">
        <is>
          <t>Self-Storage</t>
        </is>
      </c>
      <c r="H95" s="2372" t="inlineStr">
        <is>
          <t>Drive-Up/Drop-Off</t>
        </is>
      </c>
      <c r="I95" s="2373" t="n"/>
      <c r="J95" s="2373" t="n">
        <v>83756</v>
      </c>
      <c r="K95" s="2373" t="n">
        <v>2022</v>
      </c>
      <c r="L95" s="2372" t="n"/>
      <c r="M95" s="2372" t="n"/>
      <c r="N95" s="2374" t="n">
        <v>11.7102</v>
      </c>
      <c r="O95" s="2372" t="n"/>
      <c r="P95" s="2372" t="n"/>
      <c r="Q95" s="2372" t="n"/>
      <c r="R95" s="2372" t="n"/>
      <c r="S95" s="2372" t="n"/>
      <c r="T95" s="2372" t="n"/>
      <c r="U95" s="2372" t="n"/>
      <c r="V95" s="2372" t="n"/>
      <c r="W95" s="2372" t="n"/>
      <c r="X95" s="2372" t="n"/>
      <c r="Y95" s="2372" t="n"/>
      <c r="Z95" s="2372" t="n"/>
      <c r="AA95" s="2372" t="n"/>
      <c r="AB95" s="2372" t="n"/>
      <c r="AC95" s="2372" t="n"/>
      <c r="AD95" s="2372" t="n"/>
      <c r="AE95" s="2372" t="n"/>
      <c r="AF95" s="2372" t="n"/>
      <c r="AG95" s="2372" t="n"/>
      <c r="AH95" s="2372" t="n"/>
      <c r="AI95" s="2372" t="n"/>
      <c r="AJ95" s="2374" t="n">
        <v>5.4426</v>
      </c>
      <c r="AK95" s="2374" t="n">
        <v>6.2675</v>
      </c>
      <c r="AL95" s="2372" t="n"/>
      <c r="AM95" s="2375" t="inlineStr">
        <is>
          <t>Actual SS P&amp;L; mgmt=off-site+on-site combined</t>
        </is>
      </c>
    </row>
    <row r="96" ht="14.1" customHeight="1" s="1449">
      <c r="A96" s="2372" t="inlineStr">
        <is>
          <t>P043</t>
        </is>
      </c>
      <c r="B96" s="2338" t="n">
        <v>386</v>
      </c>
      <c r="C96" s="2372" t="inlineStr">
        <is>
          <t>R0126234</t>
        </is>
      </c>
      <c r="D96" s="2372" t="inlineStr">
        <is>
          <t>715 W 112th Ave</t>
        </is>
      </c>
      <c r="E96" s="2372" t="inlineStr">
        <is>
          <t>Northglenn</t>
        </is>
      </c>
      <c r="F96" s="2372" t="inlineStr">
        <is>
          <t>CO</t>
        </is>
      </c>
      <c r="G96" s="2372" t="inlineStr">
        <is>
          <t>Self-Storage</t>
        </is>
      </c>
      <c r="H96" s="2372" t="inlineStr">
        <is>
          <t>Drive-Up/Drop-Off</t>
        </is>
      </c>
      <c r="I96" s="2373" t="n"/>
      <c r="J96" s="2373" t="n">
        <v>83756</v>
      </c>
      <c r="K96" s="2373" t="n">
        <v>2023</v>
      </c>
      <c r="L96" s="2372" t="n"/>
      <c r="M96" s="2372" t="n"/>
      <c r="N96" s="2374" t="n">
        <v>12.0821</v>
      </c>
      <c r="O96" s="2374" t="n">
        <v>0.5624</v>
      </c>
      <c r="P96" s="2374" t="n">
        <v>1.3342</v>
      </c>
      <c r="Q96" s="2372" t="n"/>
      <c r="R96" s="2372" t="n"/>
      <c r="S96" s="2372" t="n"/>
      <c r="T96" s="2372" t="n"/>
      <c r="U96" s="2372" t="n"/>
      <c r="V96" s="2372" t="n"/>
      <c r="W96" s="2372" t="n"/>
      <c r="X96" s="2372" t="n"/>
      <c r="Y96" s="2374" t="n">
        <v>0.1222</v>
      </c>
      <c r="Z96" s="2372" t="n"/>
      <c r="AA96" s="2372" t="n"/>
      <c r="AB96" s="2372" t="n"/>
      <c r="AC96" s="2372" t="n"/>
      <c r="AD96" s="2372" t="n"/>
      <c r="AE96" s="2372" t="n"/>
      <c r="AF96" s="2374" t="n">
        <v>0.1904</v>
      </c>
      <c r="AG96" s="2372" t="n"/>
      <c r="AH96" s="2374" t="n">
        <v>3.0787</v>
      </c>
      <c r="AI96" s="2374" t="n">
        <v>2.42</v>
      </c>
      <c r="AJ96" s="2374" t="n">
        <v>5.4986</v>
      </c>
      <c r="AK96" s="2374" t="n">
        <v>6.5859</v>
      </c>
      <c r="AL96" s="2372" t="n"/>
      <c r="AM96" s="2375" t="inlineStr">
        <is>
          <t>Actual SS P&amp;L; mgmt=off-site+on-site combined</t>
        </is>
      </c>
    </row>
    <row r="97" ht="14.1" customHeight="1" s="1449">
      <c r="A97" s="2372" t="inlineStr">
        <is>
          <t>P044</t>
        </is>
      </c>
      <c r="B97" s="2338" t="n">
        <v>386</v>
      </c>
      <c r="C97" s="2372" t="inlineStr">
        <is>
          <t>R0027089/R0178319</t>
        </is>
      </c>
      <c r="D97" s="2372" t="inlineStr">
        <is>
          <t>2290 E 120th Ave</t>
        </is>
      </c>
      <c r="E97" s="2372" t="inlineStr">
        <is>
          <t>Thornton</t>
        </is>
      </c>
      <c r="F97" s="2372" t="inlineStr">
        <is>
          <t>CO</t>
        </is>
      </c>
      <c r="G97" s="2372" t="inlineStr">
        <is>
          <t>Self-Storage</t>
        </is>
      </c>
      <c r="H97" s="2372" t="inlineStr">
        <is>
          <t>Drive-Up/Drop-Off</t>
        </is>
      </c>
      <c r="I97" s="2373" t="n"/>
      <c r="J97" s="2373" t="n">
        <v>71909</v>
      </c>
      <c r="K97" s="2373" t="n">
        <v>2021</v>
      </c>
      <c r="L97" s="2372" t="n"/>
      <c r="M97" s="2372" t="n"/>
      <c r="N97" s="2374" t="n">
        <v>11.6457</v>
      </c>
      <c r="O97" s="2372" t="n"/>
      <c r="P97" s="2372" t="n"/>
      <c r="Q97" s="2372" t="n"/>
      <c r="R97" s="2372" t="n"/>
      <c r="S97" s="2372" t="n"/>
      <c r="T97" s="2372" t="n"/>
      <c r="U97" s="2372" t="n"/>
      <c r="V97" s="2372" t="n"/>
      <c r="W97" s="2372" t="n"/>
      <c r="X97" s="2372" t="n"/>
      <c r="Y97" s="2372" t="n"/>
      <c r="Z97" s="2372" t="n"/>
      <c r="AA97" s="2372" t="n"/>
      <c r="AB97" s="2372" t="n"/>
      <c r="AC97" s="2372" t="n"/>
      <c r="AD97" s="2372" t="n"/>
      <c r="AE97" s="2372" t="n"/>
      <c r="AF97" s="2372" t="n"/>
      <c r="AG97" s="2372" t="n"/>
      <c r="AH97" s="2372" t="n"/>
      <c r="AI97" s="2372" t="n"/>
      <c r="AJ97" s="2374" t="n">
        <v>6.1981</v>
      </c>
      <c r="AK97" s="2374" t="n">
        <v>5.4476</v>
      </c>
      <c r="AL97" s="2372" t="n"/>
      <c r="AM97" s="2375" t="inlineStr">
        <is>
          <t>Actual SS P&amp;L; combined parcels R0027089+R0178319; mgmt=off-site+on-site</t>
        </is>
      </c>
    </row>
    <row r="98" ht="14.1" customHeight="1" s="1449">
      <c r="A98" s="2372" t="inlineStr">
        <is>
          <t>P044</t>
        </is>
      </c>
      <c r="B98" s="2338" t="n">
        <v>386</v>
      </c>
      <c r="C98" s="2372" t="inlineStr">
        <is>
          <t>R0027089/R0178319</t>
        </is>
      </c>
      <c r="D98" s="2372" t="inlineStr">
        <is>
          <t>2290 E 120th Ave</t>
        </is>
      </c>
      <c r="E98" s="2372" t="inlineStr">
        <is>
          <t>Thornton</t>
        </is>
      </c>
      <c r="F98" s="2372" t="inlineStr">
        <is>
          <t>CO</t>
        </is>
      </c>
      <c r="G98" s="2372" t="inlineStr">
        <is>
          <t>Self-Storage</t>
        </is>
      </c>
      <c r="H98" s="2372" t="inlineStr">
        <is>
          <t>Drive-Up/Drop-Off</t>
        </is>
      </c>
      <c r="I98" s="2373" t="n"/>
      <c r="J98" s="2373" t="n">
        <v>71909</v>
      </c>
      <c r="K98" s="2373" t="n">
        <v>2022</v>
      </c>
      <c r="L98" s="2372" t="n"/>
      <c r="M98" s="2372" t="n"/>
      <c r="N98" s="2374" t="n">
        <v>13.1494</v>
      </c>
      <c r="O98" s="2372" t="n"/>
      <c r="P98" s="2372" t="n"/>
      <c r="Q98" s="2372" t="n"/>
      <c r="R98" s="2372" t="n"/>
      <c r="S98" s="2372" t="n"/>
      <c r="T98" s="2372" t="n"/>
      <c r="U98" s="2372" t="n"/>
      <c r="V98" s="2372" t="n"/>
      <c r="W98" s="2372" t="n"/>
      <c r="X98" s="2372" t="n"/>
      <c r="Y98" s="2372" t="n"/>
      <c r="Z98" s="2372" t="n"/>
      <c r="AA98" s="2372" t="n"/>
      <c r="AB98" s="2372" t="n"/>
      <c r="AC98" s="2372" t="n"/>
      <c r="AD98" s="2372" t="n"/>
      <c r="AE98" s="2372" t="n"/>
      <c r="AF98" s="2372" t="n"/>
      <c r="AG98" s="2372" t="n"/>
      <c r="AH98" s="2372" t="n"/>
      <c r="AI98" s="2372" t="n"/>
      <c r="AJ98" s="2374" t="n">
        <v>6.1981</v>
      </c>
      <c r="AK98" s="2374" t="n">
        <v>6.4846</v>
      </c>
      <c r="AL98" s="2372" t="n"/>
      <c r="AM98" s="2375" t="inlineStr">
        <is>
          <t>Actual SS P&amp;L; combined parcels R0027089+R0178319; mgmt=off-site+on-site</t>
        </is>
      </c>
    </row>
    <row r="99" ht="14.1" customHeight="1" s="1449">
      <c r="A99" s="2372" t="inlineStr">
        <is>
          <t>P044</t>
        </is>
      </c>
      <c r="B99" s="2338" t="n">
        <v>386</v>
      </c>
      <c r="C99" s="2372" t="inlineStr">
        <is>
          <t>R0027089/R0178319</t>
        </is>
      </c>
      <c r="D99" s="2372" t="inlineStr">
        <is>
          <t>2290 E 120th Ave</t>
        </is>
      </c>
      <c r="E99" s="2372" t="inlineStr">
        <is>
          <t>Thornton</t>
        </is>
      </c>
      <c r="F99" s="2372" t="inlineStr">
        <is>
          <t>CO</t>
        </is>
      </c>
      <c r="G99" s="2372" t="inlineStr">
        <is>
          <t>Self-Storage</t>
        </is>
      </c>
      <c r="H99" s="2372" t="inlineStr">
        <is>
          <t>Drive-Up/Drop-Off</t>
        </is>
      </c>
      <c r="I99" s="2373" t="n"/>
      <c r="J99" s="2373" t="n">
        <v>71909</v>
      </c>
      <c r="K99" s="2373" t="n">
        <v>2023</v>
      </c>
      <c r="L99" s="2372" t="n"/>
      <c r="M99" s="2372" t="n"/>
      <c r="N99" s="2374" t="n">
        <v>13.6392</v>
      </c>
      <c r="O99" s="2374" t="n">
        <v>0.6036</v>
      </c>
      <c r="P99" s="2374" t="n">
        <v>1.9706</v>
      </c>
      <c r="Q99" s="2372" t="n"/>
      <c r="R99" s="2372" t="n"/>
      <c r="S99" s="2372" t="n"/>
      <c r="T99" s="2372" t="n"/>
      <c r="U99" s="2372" t="n"/>
      <c r="V99" s="2372" t="n"/>
      <c r="W99" s="2372" t="n"/>
      <c r="X99" s="2372" t="n"/>
      <c r="Y99" s="2374" t="n">
        <v>0.248</v>
      </c>
      <c r="Z99" s="2372" t="n"/>
      <c r="AA99" s="2372" t="n"/>
      <c r="AB99" s="2372" t="n"/>
      <c r="AC99" s="2372" t="n"/>
      <c r="AD99" s="2372" t="n"/>
      <c r="AE99" s="2372" t="n"/>
      <c r="AF99" s="2374" t="n">
        <v>0.298</v>
      </c>
      <c r="AG99" s="2372" t="n"/>
      <c r="AH99" s="2374" t="n">
        <v>4.1574</v>
      </c>
      <c r="AI99" s="2374" t="n">
        <v>2.5917</v>
      </c>
      <c r="AJ99" s="2374" t="n">
        <v>6.7491</v>
      </c>
      <c r="AK99" s="2374" t="n">
        <v>6.8462</v>
      </c>
      <c r="AL99" s="2372" t="n"/>
      <c r="AM99" s="2375" t="inlineStr">
        <is>
          <t>Actual SS P&amp;L; combined parcels R0027089+R0178319; mgmt=off-site+on-site</t>
        </is>
      </c>
    </row>
    <row r="100" ht="14.1" customHeight="1" s="1449">
      <c r="A100" s="2372" t="inlineStr">
        <is>
          <t>P045</t>
        </is>
      </c>
      <c r="B100" s="2338" t="n">
        <v>386</v>
      </c>
      <c r="C100" s="2372" t="inlineStr">
        <is>
          <t>R0043569</t>
        </is>
      </c>
      <c r="D100" s="2372" t="inlineStr">
        <is>
          <t>40131 Quivas St</t>
        </is>
      </c>
      <c r="E100" s="2372" t="inlineStr">
        <is>
          <t>Thornton</t>
        </is>
      </c>
      <c r="F100" s="2372" t="inlineStr">
        <is>
          <t>CO</t>
        </is>
      </c>
      <c r="G100" s="2372" t="inlineStr">
        <is>
          <t>Self-Storage</t>
        </is>
      </c>
      <c r="H100" s="2372" t="inlineStr">
        <is>
          <t>Drive-Up/Drop-Off</t>
        </is>
      </c>
      <c r="I100" s="2373" t="n"/>
      <c r="J100" s="2373" t="n">
        <v>41900</v>
      </c>
      <c r="K100" s="2373" t="n">
        <v>2024</v>
      </c>
      <c r="L100" s="2372" t="n"/>
      <c r="M100" s="2372" t="n"/>
      <c r="N100" s="2374" t="n">
        <v>17.1375</v>
      </c>
      <c r="O100" s="2374" t="n">
        <v>0.4543</v>
      </c>
      <c r="P100" s="2374" t="n">
        <v>2.2428</v>
      </c>
      <c r="Q100" s="2372" t="n"/>
      <c r="R100" s="2372" t="n"/>
      <c r="S100" s="2372" t="n"/>
      <c r="T100" s="2372" t="n"/>
      <c r="U100" s="2372" t="n"/>
      <c r="V100" s="2372" t="n"/>
      <c r="W100" s="2372" t="n"/>
      <c r="X100" s="2372" t="n"/>
      <c r="Y100" s="2374" t="n">
        <v>0.2809</v>
      </c>
      <c r="Z100" s="2372" t="n"/>
      <c r="AA100" s="2372" t="n"/>
      <c r="AB100" s="2372" t="n"/>
      <c r="AC100" s="2372" t="n"/>
      <c r="AD100" s="2372" t="n"/>
      <c r="AE100" s="2372" t="n"/>
      <c r="AF100" s="2374" t="n">
        <v>0.1293</v>
      </c>
      <c r="AG100" s="2372" t="n"/>
      <c r="AH100" s="2374" t="n">
        <v>4.9831</v>
      </c>
      <c r="AI100" s="2374" t="n">
        <v>4.213</v>
      </c>
      <c r="AJ100" s="2374" t="n">
        <v>9.196</v>
      </c>
      <c r="AK100" s="2374" t="n">
        <v>7.9414</v>
      </c>
      <c r="AL100" s="2372" t="n"/>
      <c r="AM100" s="2375" t="inlineStr">
        <is>
          <t>Actual FY2024 P&amp;L; mgmt=off-site $42,964+on-site $51,011; RE Tax est from matrix</t>
        </is>
      </c>
    </row>
    <row r="101" ht="14.1" customHeight="1" s="1449">
      <c r="A101" s="2372" t="inlineStr">
        <is>
          <t>P046</t>
        </is>
      </c>
      <c r="B101" s="2338" t="n">
        <v>386</v>
      </c>
      <c r="C101" s="2372" t="inlineStr">
        <is>
          <t>R0193009</t>
        </is>
      </c>
      <c r="D101" s="2372" t="inlineStr">
        <is>
          <t>Address unknown – see R0193009</t>
        </is>
      </c>
      <c r="E101" s="2372" t="inlineStr">
        <is>
          <t>Adams County</t>
        </is>
      </c>
      <c r="F101" s="2372" t="inlineStr">
        <is>
          <t>CO</t>
        </is>
      </c>
      <c r="G101" s="2372" t="inlineStr">
        <is>
          <t>Self-Storage</t>
        </is>
      </c>
      <c r="H101" s="2372" t="inlineStr">
        <is>
          <t>Climate-Controlled</t>
        </is>
      </c>
      <c r="I101" s="2373" t="n"/>
      <c r="J101" s="2373" t="n">
        <v>94736</v>
      </c>
      <c r="K101" s="2373" t="n"/>
      <c r="L101" s="2372" t="n"/>
      <c r="M101" s="2372" t="n"/>
      <c r="N101" s="2374" t="n">
        <v>16.7</v>
      </c>
      <c r="O101" s="2374" t="n">
        <v>0.4183</v>
      </c>
      <c r="P101" s="2374" t="n">
        <v>1.7666</v>
      </c>
      <c r="Q101" s="2372" t="n"/>
      <c r="R101" s="2372" t="n"/>
      <c r="S101" s="2372" t="n"/>
      <c r="T101" s="2372" t="n"/>
      <c r="U101" s="2372" t="n"/>
      <c r="V101" s="2372" t="n"/>
      <c r="W101" s="2372" t="n"/>
      <c r="X101" s="2372" t="n"/>
      <c r="Y101" s="2374" t="n">
        <v>0.4073</v>
      </c>
      <c r="Z101" s="2372" t="n"/>
      <c r="AA101" s="2372" t="n"/>
      <c r="AB101" s="2372" t="n"/>
      <c r="AC101" s="2372" t="n"/>
      <c r="AD101" s="2372" t="n"/>
      <c r="AE101" s="2372" t="n"/>
      <c r="AF101" s="2374" t="n">
        <v>0.207</v>
      </c>
      <c r="AG101" s="2372" t="n"/>
      <c r="AH101" s="2374" t="n">
        <v>3.6866</v>
      </c>
      <c r="AI101" s="2374" t="n">
        <v>4.474</v>
      </c>
      <c r="AJ101" s="2374" t="n">
        <v>8.160600000000001</v>
      </c>
      <c r="AK101" s="2374" t="n">
        <v>8.539400000000001</v>
      </c>
      <c r="AL101" s="2372" t="n"/>
      <c r="AM101" s="2375" t="inlineStr">
        <is>
          <t>AXG SS Expense Matrix; year not specified (~2022/23); R0193009</t>
        </is>
      </c>
    </row>
    <row r="102" ht="14.1" customHeight="1" s="1449">
      <c r="A102" s="2372" t="inlineStr">
        <is>
          <t>P047</t>
        </is>
      </c>
      <c r="B102" s="2338" t="n">
        <v>386</v>
      </c>
      <c r="C102" s="2372" t="inlineStr">
        <is>
          <t>R0099616</t>
        </is>
      </c>
      <c r="D102" s="2372" t="inlineStr">
        <is>
          <t>Address unknown – see R0099616</t>
        </is>
      </c>
      <c r="E102" s="2372" t="inlineStr">
        <is>
          <t>Adams County</t>
        </is>
      </c>
      <c r="F102" s="2372" t="inlineStr">
        <is>
          <t>CO</t>
        </is>
      </c>
      <c r="G102" s="2372" t="inlineStr">
        <is>
          <t>Self-Storage</t>
        </is>
      </c>
      <c r="H102" s="2372" t="inlineStr">
        <is>
          <t>Drive-Up/Drop-Off</t>
        </is>
      </c>
      <c r="I102" s="2373" t="n"/>
      <c r="J102" s="2373" t="n">
        <v>73500</v>
      </c>
      <c r="K102" s="2373" t="n"/>
      <c r="L102" s="2372" t="n"/>
      <c r="M102" s="2372" t="n"/>
      <c r="N102" s="2374" t="n">
        <v>11.3518</v>
      </c>
      <c r="O102" s="2374" t="n">
        <v>0.2504</v>
      </c>
      <c r="P102" s="2374" t="n">
        <v>0.8845</v>
      </c>
      <c r="Q102" s="2372" t="n"/>
      <c r="R102" s="2372" t="n"/>
      <c r="S102" s="2372" t="n"/>
      <c r="T102" s="2372" t="n"/>
      <c r="U102" s="2372" t="n"/>
      <c r="V102" s="2372" t="n"/>
      <c r="W102" s="2372" t="n"/>
      <c r="X102" s="2372" t="n"/>
      <c r="Y102" s="2374" t="n">
        <v>0.3368</v>
      </c>
      <c r="Z102" s="2372" t="n"/>
      <c r="AA102" s="2372" t="n"/>
      <c r="AB102" s="2372" t="n"/>
      <c r="AC102" s="2372" t="n"/>
      <c r="AD102" s="2372" t="n"/>
      <c r="AE102" s="2372" t="n"/>
      <c r="AF102" s="2374" t="n">
        <v>0.2348</v>
      </c>
      <c r="AG102" s="2372" t="n"/>
      <c r="AH102" s="2374" t="n">
        <v>2.7024</v>
      </c>
      <c r="AI102" s="2374" t="n">
        <v>2.144</v>
      </c>
      <c r="AJ102" s="2374" t="n">
        <v>4.8463</v>
      </c>
      <c r="AK102" s="2374" t="n">
        <v>6.5055</v>
      </c>
      <c r="AL102" s="2372" t="n"/>
      <c r="AM102" s="2375" t="inlineStr">
        <is>
          <t>AXG SS Expense Matrix; year not specified (~2022/23); R0099616</t>
        </is>
      </c>
    </row>
    <row r="103" ht="14.1" customHeight="1" s="1449">
      <c r="A103" s="2372" t="inlineStr">
        <is>
          <t>P048</t>
        </is>
      </c>
      <c r="B103" s="2338" t="n">
        <v>386</v>
      </c>
      <c r="C103" s="2372" t="inlineStr">
        <is>
          <t>R0098019</t>
        </is>
      </c>
      <c r="D103" s="2372" t="inlineStr">
        <is>
          <t>Address unknown – see R0098019</t>
        </is>
      </c>
      <c r="E103" s="2372" t="inlineStr">
        <is>
          <t>Adams County</t>
        </is>
      </c>
      <c r="F103" s="2372" t="inlineStr">
        <is>
          <t>CO</t>
        </is>
      </c>
      <c r="G103" s="2372" t="inlineStr">
        <is>
          <t>Self-Storage</t>
        </is>
      </c>
      <c r="H103" s="2372" t="inlineStr">
        <is>
          <t>Drive-Up/Drop-Off</t>
        </is>
      </c>
      <c r="I103" s="2373" t="n"/>
      <c r="J103" s="2373" t="n">
        <v>44975</v>
      </c>
      <c r="K103" s="2373" t="n"/>
      <c r="L103" s="2372" t="n"/>
      <c r="M103" s="2372" t="n"/>
      <c r="N103" s="2374" t="n">
        <v>13.0923</v>
      </c>
      <c r="O103" s="2374" t="n">
        <v>0.4933</v>
      </c>
      <c r="P103" s="2374" t="n">
        <v>0.8561</v>
      </c>
      <c r="Q103" s="2372" t="n"/>
      <c r="R103" s="2372" t="n"/>
      <c r="S103" s="2372" t="n"/>
      <c r="T103" s="2372" t="n"/>
      <c r="U103" s="2372" t="n"/>
      <c r="V103" s="2372" t="n"/>
      <c r="W103" s="2372" t="n"/>
      <c r="X103" s="2372" t="n"/>
      <c r="Y103" s="2374" t="n">
        <v>0.8597</v>
      </c>
      <c r="Z103" s="2372" t="n"/>
      <c r="AA103" s="2372" t="n"/>
      <c r="AB103" s="2372" t="n"/>
      <c r="AC103" s="2372" t="n"/>
      <c r="AD103" s="2372" t="n"/>
      <c r="AE103" s="2372" t="n"/>
      <c r="AF103" s="2374" t="n">
        <v>0.6947</v>
      </c>
      <c r="AG103" s="2372" t="n"/>
      <c r="AH103" s="2374" t="n">
        <v>3.1997</v>
      </c>
      <c r="AI103" s="2374" t="n">
        <v>2.8576</v>
      </c>
      <c r="AJ103" s="2374" t="n">
        <v>6.0573</v>
      </c>
      <c r="AK103" s="2374" t="n">
        <v>7.035</v>
      </c>
      <c r="AL103" s="2372" t="n"/>
      <c r="AM103" s="2375" t="inlineStr">
        <is>
          <t>AXG SS Expense Matrix; year not specified (~2022/23); R0098019</t>
        </is>
      </c>
    </row>
    <row r="104" ht="14.1" customHeight="1" s="1449">
      <c r="A104" s="2372" t="inlineStr">
        <is>
          <t>P049</t>
        </is>
      </c>
      <c r="B104" s="2338" t="n">
        <v>386</v>
      </c>
      <c r="C104" s="2372" t="inlineStr">
        <is>
          <t>R0102989</t>
        </is>
      </c>
      <c r="D104" s="2372" t="inlineStr">
        <is>
          <t>Address unknown – see R0102989</t>
        </is>
      </c>
      <c r="E104" s="2372" t="inlineStr">
        <is>
          <t>Adams County</t>
        </is>
      </c>
      <c r="F104" s="2372" t="inlineStr">
        <is>
          <t>CO</t>
        </is>
      </c>
      <c r="G104" s="2372" t="inlineStr">
        <is>
          <t>Self-Storage</t>
        </is>
      </c>
      <c r="H104" s="2372" t="inlineStr">
        <is>
          <t>Climate-Controlled</t>
        </is>
      </c>
      <c r="I104" s="2373" t="n"/>
      <c r="J104" s="2373" t="n">
        <v>94797</v>
      </c>
      <c r="K104" s="2373" t="n"/>
      <c r="L104" s="2372" t="n"/>
      <c r="M104" s="2372" t="n"/>
      <c r="N104" s="2374" t="n">
        <v>12.4952</v>
      </c>
      <c r="O104" s="2374" t="n">
        <v>0.2668</v>
      </c>
      <c r="P104" s="2374" t="n">
        <v>2.1805</v>
      </c>
      <c r="Q104" s="2372" t="n"/>
      <c r="R104" s="2372" t="n"/>
      <c r="S104" s="2372" t="n"/>
      <c r="T104" s="2372" t="n"/>
      <c r="U104" s="2372" t="n"/>
      <c r="V104" s="2372" t="n"/>
      <c r="W104" s="2372" t="n"/>
      <c r="X104" s="2372" t="n"/>
      <c r="Y104" s="2374" t="n">
        <v>0.3013</v>
      </c>
      <c r="Z104" s="2372" t="n"/>
      <c r="AA104" s="2372" t="n"/>
      <c r="AB104" s="2372" t="n"/>
      <c r="AC104" s="2372" t="n"/>
      <c r="AD104" s="2372" t="n"/>
      <c r="AE104" s="2372" t="n"/>
      <c r="AF104" s="2374" t="n">
        <v>0.5221</v>
      </c>
      <c r="AG104" s="2372" t="n"/>
      <c r="AH104" s="2374" t="n">
        <v>4.5787</v>
      </c>
      <c r="AI104" s="2374" t="n">
        <v>2.7378</v>
      </c>
      <c r="AJ104" s="2374" t="n">
        <v>7.3165</v>
      </c>
      <c r="AK104" s="2374" t="n">
        <v>5.1786</v>
      </c>
      <c r="AL104" s="2372" t="n"/>
      <c r="AM104" s="2375" t="inlineStr">
        <is>
          <t>AXG SS Expense Matrix; year not specified (~2022/23); R0102989</t>
        </is>
      </c>
    </row>
    <row r="105" ht="14.1" customHeight="1" s="1449">
      <c r="A105" s="2372" t="inlineStr">
        <is>
          <t>P050</t>
        </is>
      </c>
      <c r="B105" s="2338" t="n">
        <v>386</v>
      </c>
      <c r="C105" s="2372" t="inlineStr">
        <is>
          <t>R0085523</t>
        </is>
      </c>
      <c r="D105" s="2372" t="inlineStr">
        <is>
          <t>Address unknown – see R0085523</t>
        </is>
      </c>
      <c r="E105" s="2372" t="inlineStr">
        <is>
          <t>Adams County</t>
        </is>
      </c>
      <c r="F105" s="2372" t="inlineStr">
        <is>
          <t>CO</t>
        </is>
      </c>
      <c r="G105" s="2372" t="inlineStr">
        <is>
          <t>Self-Storage</t>
        </is>
      </c>
      <c r="H105" s="2372" t="inlineStr">
        <is>
          <t>Drive-Up/Drop-Off</t>
        </is>
      </c>
      <c r="I105" s="2373" t="n"/>
      <c r="J105" s="2373" t="n">
        <v>39525</v>
      </c>
      <c r="K105" s="2373" t="n"/>
      <c r="L105" s="2372" t="n"/>
      <c r="M105" s="2372" t="n"/>
      <c r="N105" s="2374" t="n">
        <v>13.7122</v>
      </c>
      <c r="O105" s="2374" t="n">
        <v>0.2102</v>
      </c>
      <c r="P105" s="2374" t="n">
        <v>2.3853</v>
      </c>
      <c r="Q105" s="2372" t="n"/>
      <c r="R105" s="2372" t="n"/>
      <c r="S105" s="2372" t="n"/>
      <c r="T105" s="2372" t="n"/>
      <c r="U105" s="2372" t="n"/>
      <c r="V105" s="2372" t="n"/>
      <c r="W105" s="2372" t="n"/>
      <c r="X105" s="2372" t="n"/>
      <c r="Y105" s="2374" t="n">
        <v>0.5387</v>
      </c>
      <c r="Z105" s="2372" t="n"/>
      <c r="AA105" s="2372" t="n"/>
      <c r="AB105" s="2372" t="n"/>
      <c r="AC105" s="2372" t="n"/>
      <c r="AD105" s="2372" t="n"/>
      <c r="AE105" s="2372" t="n"/>
      <c r="AF105" s="2374" t="n">
        <v>0.4172</v>
      </c>
      <c r="AG105" s="2372" t="n"/>
      <c r="AH105" s="2374" t="n">
        <v>3.7856</v>
      </c>
      <c r="AI105" s="2374" t="n">
        <v>5.2913</v>
      </c>
      <c r="AJ105" s="2374" t="n">
        <v>9.0769</v>
      </c>
      <c r="AK105" s="2374" t="n">
        <v>4.6352</v>
      </c>
      <c r="AL105" s="2372" t="n"/>
      <c r="AM105" s="2375" t="inlineStr">
        <is>
          <t>AXG SS Expense Matrix; year not specified (~2022/23); R0085523</t>
        </is>
      </c>
    </row>
    <row r="106" ht="14.1" customHeight="1" s="1449">
      <c r="A106" s="2372" t="inlineStr">
        <is>
          <t>P051</t>
        </is>
      </c>
      <c r="B106" s="2338" t="n">
        <v>386</v>
      </c>
      <c r="C106" s="2372" t="inlineStr">
        <is>
          <t>R0174860</t>
        </is>
      </c>
      <c r="D106" s="2372" t="inlineStr">
        <is>
          <t>Address unknown – see R0174860</t>
        </is>
      </c>
      <c r="E106" s="2372" t="inlineStr">
        <is>
          <t>Adams County</t>
        </is>
      </c>
      <c r="F106" s="2372" t="inlineStr">
        <is>
          <t>CO</t>
        </is>
      </c>
      <c r="G106" s="2372" t="inlineStr">
        <is>
          <t>Self-Storage</t>
        </is>
      </c>
      <c r="H106" s="2372" t="inlineStr">
        <is>
          <t>Drive-Up/Drop-Off (containers)</t>
        </is>
      </c>
      <c r="I106" s="2373" t="n"/>
      <c r="J106" s="2373" t="n">
        <v>45980</v>
      </c>
      <c r="K106" s="2373" t="n"/>
      <c r="L106" s="2372" t="n"/>
      <c r="M106" s="2372" t="n"/>
      <c r="N106" s="2374" t="n">
        <v>14.0604</v>
      </c>
      <c r="O106" s="2374" t="n">
        <v>0.1085</v>
      </c>
      <c r="P106" s="2374" t="n">
        <v>1.5224</v>
      </c>
      <c r="Q106" s="2372" t="n"/>
      <c r="R106" s="2372" t="n"/>
      <c r="S106" s="2372" t="n"/>
      <c r="T106" s="2372" t="n"/>
      <c r="U106" s="2372" t="n"/>
      <c r="V106" s="2372" t="n"/>
      <c r="W106" s="2372" t="n"/>
      <c r="X106" s="2372" t="n"/>
      <c r="Y106" s="2374" t="n">
        <v>0.261</v>
      </c>
      <c r="Z106" s="2372" t="n"/>
      <c r="AA106" s="2372" t="n"/>
      <c r="AB106" s="2372" t="n"/>
      <c r="AC106" s="2372" t="n"/>
      <c r="AD106" s="2372" t="n"/>
      <c r="AE106" s="2372" t="n"/>
      <c r="AF106" s="2374" t="n">
        <v>0.2604</v>
      </c>
      <c r="AG106" s="2372" t="n"/>
      <c r="AH106" s="2374" t="n">
        <v>3.1926</v>
      </c>
      <c r="AI106" s="2374" t="n">
        <v>1.806</v>
      </c>
      <c r="AJ106" s="2374" t="n">
        <v>4.9986</v>
      </c>
      <c r="AK106" s="2374" t="n">
        <v>9.0617</v>
      </c>
      <c r="AL106" s="2372" t="n"/>
      <c r="AM106" s="2375" t="inlineStr">
        <is>
          <t>AXG SS Expense Matrix; year not specified (~2022/23); R0174860</t>
        </is>
      </c>
    </row>
    <row r="107" ht="14.1" customHeight="1" s="1449">
      <c r="A107" s="2372" t="inlineStr">
        <is>
          <t>P052</t>
        </is>
      </c>
      <c r="B107" s="2338" t="n">
        <v>386</v>
      </c>
      <c r="C107" s="2372" t="inlineStr">
        <is>
          <t>R0161412</t>
        </is>
      </c>
      <c r="D107" s="2372" t="inlineStr">
        <is>
          <t>Address unknown – see R0161412</t>
        </is>
      </c>
      <c r="E107" s="2372" t="inlineStr">
        <is>
          <t>Adams County</t>
        </is>
      </c>
      <c r="F107" s="2372" t="inlineStr">
        <is>
          <t>CO</t>
        </is>
      </c>
      <c r="G107" s="2372" t="inlineStr">
        <is>
          <t>Self-Storage</t>
        </is>
      </c>
      <c r="H107" s="2372" t="inlineStr">
        <is>
          <t>Drive-Up/Drop-Off</t>
        </is>
      </c>
      <c r="I107" s="2373" t="n"/>
      <c r="J107" s="2373" t="n">
        <v>88043</v>
      </c>
      <c r="K107" s="2373" t="n"/>
      <c r="L107" s="2372" t="n"/>
      <c r="M107" s="2372" t="n"/>
      <c r="N107" s="2374" t="n">
        <v>13.7047</v>
      </c>
      <c r="O107" s="2374" t="n">
        <v>0.1417</v>
      </c>
      <c r="P107" s="2374" t="n">
        <v>2.0341</v>
      </c>
      <c r="Q107" s="2372" t="n"/>
      <c r="R107" s="2372" t="n"/>
      <c r="S107" s="2372" t="n"/>
      <c r="T107" s="2372" t="n"/>
      <c r="U107" s="2372" t="n"/>
      <c r="V107" s="2372" t="n"/>
      <c r="W107" s="2372" t="n"/>
      <c r="X107" s="2372" t="n"/>
      <c r="Y107" s="2374" t="n">
        <v>0.2303</v>
      </c>
      <c r="Z107" s="2372" t="n"/>
      <c r="AA107" s="2372" t="n"/>
      <c r="AB107" s="2372" t="n"/>
      <c r="AC107" s="2372" t="n"/>
      <c r="AD107" s="2372" t="n"/>
      <c r="AE107" s="2372" t="n"/>
      <c r="AF107" s="2374" t="n">
        <v>0.1926</v>
      </c>
      <c r="AG107" s="2372" t="n"/>
      <c r="AH107" s="2374" t="n">
        <v>3.2267</v>
      </c>
      <c r="AI107" s="2374" t="n">
        <v>4.424</v>
      </c>
      <c r="AJ107" s="2374" t="n">
        <v>7.6507</v>
      </c>
      <c r="AK107" s="2374" t="n">
        <v>6.054</v>
      </c>
      <c r="AL107" s="2372" t="n"/>
      <c r="AM107" s="2375" t="inlineStr">
        <is>
          <t>AXG SS Expense Matrix; year not specified (~2022/23); R0161412</t>
        </is>
      </c>
    </row>
    <row r="108" ht="14.1" customHeight="1" s="1449">
      <c r="A108" s="2372" t="inlineStr">
        <is>
          <t>P053</t>
        </is>
      </c>
      <c r="B108" s="2338" t="n">
        <v>386</v>
      </c>
      <c r="C108" s="2372" t="inlineStr">
        <is>
          <t>R0169115</t>
        </is>
      </c>
      <c r="D108" s="2372" t="inlineStr">
        <is>
          <t>Address unknown – see R0169115</t>
        </is>
      </c>
      <c r="E108" s="2372" t="inlineStr">
        <is>
          <t>Adams County</t>
        </is>
      </c>
      <c r="F108" s="2372" t="inlineStr">
        <is>
          <t>CO</t>
        </is>
      </c>
      <c r="G108" s="2372" t="inlineStr">
        <is>
          <t>Self-Storage</t>
        </is>
      </c>
      <c r="H108" s="2372" t="inlineStr">
        <is>
          <t>Drive-Up/Drop-Off</t>
        </is>
      </c>
      <c r="I108" s="2373" t="n"/>
      <c r="J108" s="2373" t="n">
        <v>41764</v>
      </c>
      <c r="K108" s="2373" t="n"/>
      <c r="L108" s="2372" t="n"/>
      <c r="M108" s="2372" t="n"/>
      <c r="N108" s="2374" t="n">
        <v>18.8527</v>
      </c>
      <c r="O108" s="2374" t="n">
        <v>0.2311</v>
      </c>
      <c r="P108" s="2374" t="n">
        <v>1.995</v>
      </c>
      <c r="Q108" s="2372" t="n"/>
      <c r="R108" s="2372" t="n"/>
      <c r="S108" s="2372" t="n"/>
      <c r="T108" s="2372" t="n"/>
      <c r="U108" s="2372" t="n"/>
      <c r="V108" s="2372" t="n"/>
      <c r="W108" s="2372" t="n"/>
      <c r="X108" s="2372" t="n"/>
      <c r="Y108" s="2374" t="n">
        <v>0.6139</v>
      </c>
      <c r="Z108" s="2372" t="n"/>
      <c r="AA108" s="2372" t="n"/>
      <c r="AB108" s="2372" t="n"/>
      <c r="AC108" s="2372" t="n"/>
      <c r="AD108" s="2372" t="n"/>
      <c r="AE108" s="2372" t="n"/>
      <c r="AF108" s="2374" t="n">
        <v>0.3821</v>
      </c>
      <c r="AG108" s="2372" t="n"/>
      <c r="AH108" s="2374" t="n">
        <v>4.6124</v>
      </c>
      <c r="AI108" s="2374" t="n">
        <v>4.8634</v>
      </c>
      <c r="AJ108" s="2374" t="n">
        <v>9.4758</v>
      </c>
      <c r="AK108" s="2374" t="n">
        <v>9.376899999999999</v>
      </c>
      <c r="AL108" s="2372" t="n"/>
      <c r="AM108" s="2375" t="inlineStr">
        <is>
          <t>AXG SS Expense Matrix; year not specified (~2022/23); R0169115</t>
        </is>
      </c>
    </row>
    <row r="109" ht="14.1" customHeight="1" s="1449">
      <c r="A109" s="2339" t="inlineStr">
        <is>
          <t>P016</t>
        </is>
      </c>
      <c r="B109" s="2338" t="n">
        <v>584</v>
      </c>
      <c r="C109" s="2339" t="inlineStr">
        <is>
          <t>R0212546/R0212547</t>
        </is>
      </c>
      <c r="D109" s="2339" t="inlineStr">
        <is>
          <t>2780 N Tower Rd</t>
        </is>
      </c>
      <c r="E109" s="2339" t="inlineStr">
        <is>
          <t>Aurora</t>
        </is>
      </c>
      <c r="F109" s="2339" t="inlineStr">
        <is>
          <t>CO</t>
        </is>
      </c>
      <c r="G109" s="2339" t="inlineStr">
        <is>
          <t>Industrial</t>
        </is>
      </c>
      <c r="H109" s="2339" t="inlineStr">
        <is>
          <t>Mega Warehouse NNN</t>
        </is>
      </c>
      <c r="I109" s="2362" t="n">
        <v>1983</v>
      </c>
      <c r="J109" s="2362" t="n">
        <v>377729</v>
      </c>
      <c r="K109" s="2362" t="n">
        <v>2023</v>
      </c>
      <c r="L109" s="2363" t="n">
        <v>7.8884</v>
      </c>
      <c r="M109" s="2339" t="n"/>
      <c r="N109" s="2363" t="n">
        <v>7.8884</v>
      </c>
      <c r="O109" s="2339" t="n"/>
      <c r="P109" s="2363" t="n">
        <v>0.0102</v>
      </c>
      <c r="Q109" s="2339" t="n"/>
      <c r="R109" s="2339" t="n"/>
      <c r="S109" s="2339" t="n"/>
      <c r="T109" s="2339" t="n"/>
      <c r="U109" s="2339" t="n"/>
      <c r="V109" s="2339" t="n"/>
      <c r="W109" s="2339" t="n"/>
      <c r="X109" s="2339" t="n"/>
      <c r="Y109" s="2339" t="n"/>
      <c r="Z109" s="2339" t="n"/>
      <c r="AA109" s="2339" t="n"/>
      <c r="AB109" s="2339" t="n"/>
      <c r="AC109" s="2339" t="n"/>
      <c r="AD109" s="2339" t="n"/>
      <c r="AE109" s="2339" t="n"/>
      <c r="AF109" s="2339" t="n"/>
      <c r="AG109" s="2363" t="n">
        <v>0.0206</v>
      </c>
      <c r="AH109" s="2363" t="n">
        <v>0.1095</v>
      </c>
      <c r="AI109" s="2363" t="n">
        <v>0</v>
      </c>
      <c r="AJ109" s="2363" t="n">
        <v>0.1095</v>
      </c>
      <c r="AK109" s="2363" t="n">
        <v>7.7789</v>
      </c>
      <c r="AL109" s="2339" t="n"/>
      <c r="AM109" s="2364" t="inlineStr">
        <is>
          <t>Absolute NNN; tenant pays ALL RE tax, ins, CAM; owner opex = admin only (excl D&amp;A $456k); supersedes proforma row</t>
        </is>
      </c>
    </row>
    <row r="110" ht="14.1" customHeight="1" s="1449">
      <c r="A110" s="2358" t="inlineStr">
        <is>
          <t>P016</t>
        </is>
      </c>
      <c r="B110" s="2338" t="n">
        <v>584</v>
      </c>
      <c r="C110" s="2358" t="inlineStr">
        <is>
          <t>R0212546/R0212547</t>
        </is>
      </c>
      <c r="D110" s="2358" t="inlineStr">
        <is>
          <t>2780 N Tower Rd</t>
        </is>
      </c>
      <c r="E110" s="2358" t="inlineStr">
        <is>
          <t>Aurora</t>
        </is>
      </c>
      <c r="F110" s="2358" t="inlineStr">
        <is>
          <t>CO</t>
        </is>
      </c>
      <c r="G110" s="2358" t="inlineStr">
        <is>
          <t>Industrial</t>
        </is>
      </c>
      <c r="H110" s="2358" t="inlineStr">
        <is>
          <t>Mega Warehouse NNN</t>
        </is>
      </c>
      <c r="I110" s="2359" t="n">
        <v>1983</v>
      </c>
      <c r="J110" s="2359" t="n">
        <v>377729</v>
      </c>
      <c r="K110" s="2359" t="n">
        <v>2024</v>
      </c>
      <c r="L110" s="2360" t="n">
        <v>8.067600000000001</v>
      </c>
      <c r="M110" s="2358" t="n"/>
      <c r="N110" s="2360" t="n">
        <v>8.067600000000001</v>
      </c>
      <c r="O110" s="2358" t="n"/>
      <c r="P110" s="2360" t="n">
        <v>0.0106</v>
      </c>
      <c r="Q110" s="2358" t="n"/>
      <c r="R110" s="2358" t="n"/>
      <c r="S110" s="2358" t="n"/>
      <c r="T110" s="2358" t="n"/>
      <c r="U110" s="2358" t="n"/>
      <c r="V110" s="2358" t="n"/>
      <c r="W110" s="2358" t="n"/>
      <c r="X110" s="2358" t="n"/>
      <c r="Y110" s="2358" t="n"/>
      <c r="Z110" s="2358" t="n"/>
      <c r="AA110" s="2358" t="n"/>
      <c r="AB110" s="2358" t="n"/>
      <c r="AC110" s="2358" t="n"/>
      <c r="AD110" s="2358" t="n"/>
      <c r="AE110" s="2358" t="n"/>
      <c r="AF110" s="2358" t="n"/>
      <c r="AG110" s="2360" t="n">
        <v>0.06850000000000001</v>
      </c>
      <c r="AH110" s="2360" t="n">
        <v>0.1558</v>
      </c>
      <c r="AI110" s="2360" t="n">
        <v>0</v>
      </c>
      <c r="AJ110" s="2360" t="n">
        <v>0.1558</v>
      </c>
      <c r="AK110" s="2360" t="n">
        <v>7.9118</v>
      </c>
      <c r="AL110" s="2358" t="n"/>
      <c r="AM110" s="2361" t="inlineStr">
        <is>
          <t>Absolute NNN; tenant pays ALL RE tax, ins, CAM; owner opex = admin only (excl D&amp;A $456k); supersedes proforma row</t>
        </is>
      </c>
    </row>
    <row r="111" ht="14.1" customHeight="1" s="1449">
      <c r="A111" s="2339" t="inlineStr">
        <is>
          <t>P034</t>
        </is>
      </c>
      <c r="B111" s="2338" t="n">
        <v>407</v>
      </c>
      <c r="C111" s="2339" t="inlineStr">
        <is>
          <t>R0172865</t>
        </is>
      </c>
      <c r="D111" s="2339" t="inlineStr">
        <is>
          <t>Majestic Commercenter (R0172865)</t>
        </is>
      </c>
      <c r="E111" s="2339" t="inlineStr">
        <is>
          <t>Commerce City</t>
        </is>
      </c>
      <c r="F111" s="2339" t="inlineStr">
        <is>
          <t>CO</t>
        </is>
      </c>
      <c r="G111" s="2339" t="inlineStr">
        <is>
          <t>Industrial</t>
        </is>
      </c>
      <c r="H111" s="2339" t="inlineStr">
        <is>
          <t>Warehouse NNN</t>
        </is>
      </c>
      <c r="I111" s="2362" t="n">
        <v>2008</v>
      </c>
      <c r="J111" s="2362" t="n">
        <v>215461</v>
      </c>
      <c r="K111" s="2362" t="n">
        <v>2024</v>
      </c>
      <c r="L111" s="2363" t="n">
        <v>7.1488</v>
      </c>
      <c r="M111" s="2339" t="n"/>
      <c r="N111" s="2363" t="n">
        <v>7.1488</v>
      </c>
      <c r="O111" s="2339" t="n"/>
      <c r="P111" s="2339" t="n"/>
      <c r="Q111" s="2339" t="n"/>
      <c r="R111" s="2339" t="n"/>
      <c r="S111" s="2339" t="n"/>
      <c r="T111" s="2339" t="n"/>
      <c r="U111" s="2339" t="n"/>
      <c r="V111" s="2339" t="n"/>
      <c r="W111" s="2339" t="n"/>
      <c r="X111" s="2339" t="n"/>
      <c r="Y111" s="2339" t="n"/>
      <c r="Z111" s="2339" t="n"/>
      <c r="AA111" s="2363" t="n">
        <v>0.0459</v>
      </c>
      <c r="AB111" s="2363" t="n">
        <v>0.1387</v>
      </c>
      <c r="AC111" s="2339" t="n"/>
      <c r="AD111" s="2339" t="n"/>
      <c r="AE111" s="2339" t="n"/>
      <c r="AF111" s="2339" t="n"/>
      <c r="AG111" s="2339" t="n"/>
      <c r="AH111" s="2339" t="n"/>
      <c r="AI111" s="2339" t="n"/>
      <c r="AJ111" s="2339" t="n"/>
      <c r="AK111" s="2339" t="n"/>
      <c r="AL111" s="2339" t="n"/>
      <c r="AM111" s="2364" t="inlineStr">
        <is>
          <t>2024 actual 12-month P&amp;L; NOI est. per expense ratio; from 08_2025 Review</t>
        </is>
      </c>
    </row>
    <row r="112" ht="14.1" customHeight="1" s="1449">
      <c r="A112" s="2358" t="inlineStr">
        <is>
          <t>P036</t>
        </is>
      </c>
      <c r="B112" s="2338" t="n">
        <v>407</v>
      </c>
      <c r="C112" s="2358" t="inlineStr">
        <is>
          <t>R0172868</t>
        </is>
      </c>
      <c r="D112" s="2358" t="inlineStr">
        <is>
          <t>Majestic Commercenter (R0172868)</t>
        </is>
      </c>
      <c r="E112" s="2358" t="inlineStr">
        <is>
          <t>Commerce City</t>
        </is>
      </c>
      <c r="F112" s="2358" t="inlineStr">
        <is>
          <t>CO</t>
        </is>
      </c>
      <c r="G112" s="2358" t="inlineStr">
        <is>
          <t>Industrial</t>
        </is>
      </c>
      <c r="H112" s="2358" t="inlineStr">
        <is>
          <t>Warehouse NNN</t>
        </is>
      </c>
      <c r="I112" s="2359" t="n">
        <v>2007</v>
      </c>
      <c r="J112" s="2359" t="n">
        <v>202091</v>
      </c>
      <c r="K112" s="2359" t="n">
        <v>2024</v>
      </c>
      <c r="L112" s="2358" t="n"/>
      <c r="M112" s="2358" t="n"/>
      <c r="N112" s="2360" t="n">
        <v>5.233</v>
      </c>
      <c r="O112" s="2358" t="n"/>
      <c r="P112" s="2358" t="n"/>
      <c r="Q112" s="2358" t="n"/>
      <c r="R112" s="2358" t="n"/>
      <c r="S112" s="2358" t="n"/>
      <c r="T112" s="2358" t="n"/>
      <c r="U112" s="2358" t="n"/>
      <c r="V112" s="2358" t="n"/>
      <c r="W112" s="2358" t="n"/>
      <c r="X112" s="2358" t="n"/>
      <c r="Y112" s="2358" t="n"/>
      <c r="Z112" s="2358" t="n"/>
      <c r="AA112" s="2358" t="n"/>
      <c r="AB112" s="2358" t="n"/>
      <c r="AC112" s="2358" t="n"/>
      <c r="AD112" s="2358" t="n"/>
      <c r="AE112" s="2358" t="n"/>
      <c r="AF112" s="2358" t="n"/>
      <c r="AG112" s="2358" t="n"/>
      <c r="AH112" s="2360" t="n">
        <v>3.5731</v>
      </c>
      <c r="AI112" s="2358" t="n"/>
      <c r="AJ112" s="2360" t="n">
        <v>3.5731</v>
      </c>
      <c r="AK112" s="2360" t="n">
        <v>1.6599</v>
      </c>
      <c r="AL112" s="2358" t="n"/>
      <c r="AM112" s="2361" t="inlineStr">
        <is>
          <t>2024 actual 12-month P&amp;L; from 08_2025 Review</t>
        </is>
      </c>
    </row>
    <row r="113" ht="14.1" customHeight="1" s="1449">
      <c r="A113" s="2339" t="inlineStr">
        <is>
          <t>P054</t>
        </is>
      </c>
      <c r="B113" s="2338" t="n">
        <v>210</v>
      </c>
      <c r="C113" s="2339" t="inlineStr">
        <is>
          <t>R0180551</t>
        </is>
      </c>
      <c r="D113" s="2339" t="inlineStr">
        <is>
          <t>1953 N Gun Club Rd</t>
        </is>
      </c>
      <c r="E113" s="2339" t="inlineStr">
        <is>
          <t>Aurora</t>
        </is>
      </c>
      <c r="F113" s="2339" t="inlineStr">
        <is>
          <t>CO</t>
        </is>
      </c>
      <c r="G113" s="2339" t="inlineStr">
        <is>
          <t>Industrial</t>
        </is>
      </c>
      <c r="H113" s="2339" t="inlineStr">
        <is>
          <t>Multi-Tenant Industrial/Office NNN</t>
        </is>
      </c>
      <c r="I113" s="2362" t="n"/>
      <c r="J113" s="2362" t="n"/>
      <c r="K113" s="2362" t="n">
        <v>2023</v>
      </c>
      <c r="L113" s="2339" t="n"/>
      <c r="M113" s="2339" t="n"/>
      <c r="N113" s="2371" t="n">
        <v>2454080</v>
      </c>
      <c r="O113" s="2371" t="n">
        <v>41179</v>
      </c>
      <c r="P113" s="2371" t="n">
        <v>58394</v>
      </c>
      <c r="Q113" s="2339" t="n"/>
      <c r="R113" s="2339" t="n"/>
      <c r="S113" s="2371" t="n">
        <v>36166</v>
      </c>
      <c r="T113" s="2371" t="n">
        <v>1942</v>
      </c>
      <c r="U113" s="2339" t="n"/>
      <c r="V113" s="2339" t="n"/>
      <c r="W113" s="2339" t="n"/>
      <c r="X113" s="2371" t="n">
        <v>549</v>
      </c>
      <c r="Y113" s="2371" t="n">
        <v>38657</v>
      </c>
      <c r="Z113" s="2339" t="n"/>
      <c r="AA113" s="2371" t="n">
        <v>15068</v>
      </c>
      <c r="AB113" s="2371" t="n">
        <v>55875</v>
      </c>
      <c r="AC113" s="2371" t="n">
        <v>70943</v>
      </c>
      <c r="AD113" s="2371" t="n">
        <v>25682</v>
      </c>
      <c r="AE113" s="2339" t="n"/>
      <c r="AF113" s="2371" t="n">
        <v>25682</v>
      </c>
      <c r="AG113" s="2371" t="n">
        <v>1654</v>
      </c>
      <c r="AH113" s="2371" t="n">
        <v>220784</v>
      </c>
      <c r="AI113" s="2371" t="n">
        <v>1347168</v>
      </c>
      <c r="AJ113" s="2371" t="n">
        <v>1568172</v>
      </c>
      <c r="AK113" s="2371" t="n">
        <v>885908</v>
      </c>
      <c r="AL113" s="2339" t="n"/>
      <c r="AM113" s="2364" t="inlineStr">
        <is>
          <t>[NO SF] Actual accrual; base rent $880k; recovery $1.59M; prior-yr adj included</t>
        </is>
      </c>
    </row>
    <row r="114" ht="14.1" customHeight="1" s="1449">
      <c r="A114" s="2358" t="inlineStr">
        <is>
          <t>P054</t>
        </is>
      </c>
      <c r="B114" s="2338" t="n">
        <v>210</v>
      </c>
      <c r="C114" s="2358" t="inlineStr">
        <is>
          <t>R0180551</t>
        </is>
      </c>
      <c r="D114" s="2358" t="inlineStr">
        <is>
          <t>1953 N Gun Club Rd</t>
        </is>
      </c>
      <c r="E114" s="2358" t="inlineStr">
        <is>
          <t>Aurora</t>
        </is>
      </c>
      <c r="F114" s="2358" t="inlineStr">
        <is>
          <t>CO</t>
        </is>
      </c>
      <c r="G114" s="2358" t="inlineStr">
        <is>
          <t>Industrial</t>
        </is>
      </c>
      <c r="H114" s="2358" t="inlineStr">
        <is>
          <t>Multi-Tenant Industrial/Office NNN</t>
        </is>
      </c>
      <c r="I114" s="2359" t="n"/>
      <c r="J114" s="2359" t="n"/>
      <c r="K114" s="2359" t="n">
        <v>2024</v>
      </c>
      <c r="L114" s="2358" t="n"/>
      <c r="M114" s="2358" t="n"/>
      <c r="N114" s="2370" t="n">
        <v>2720117</v>
      </c>
      <c r="O114" s="2370" t="n">
        <v>53324</v>
      </c>
      <c r="P114" s="2370" t="n">
        <v>85426</v>
      </c>
      <c r="Q114" s="2358" t="n"/>
      <c r="R114" s="2358" t="n"/>
      <c r="S114" s="2370" t="n">
        <v>10052</v>
      </c>
      <c r="T114" s="2370" t="n">
        <v>12752</v>
      </c>
      <c r="U114" s="2358" t="n"/>
      <c r="V114" s="2358" t="n"/>
      <c r="W114" s="2358" t="n"/>
      <c r="X114" s="2370" t="n">
        <v>789</v>
      </c>
      <c r="Y114" s="2370" t="n">
        <v>23593</v>
      </c>
      <c r="Z114" s="2358" t="n"/>
      <c r="AA114" s="2370" t="n">
        <v>16126</v>
      </c>
      <c r="AB114" s="2370" t="n">
        <v>57314</v>
      </c>
      <c r="AC114" s="2370" t="n">
        <v>73440</v>
      </c>
      <c r="AD114" s="2370" t="n">
        <v>21725</v>
      </c>
      <c r="AE114" s="2358" t="n"/>
      <c r="AF114" s="2370" t="n">
        <v>21725</v>
      </c>
      <c r="AG114" s="2370" t="n">
        <v>2601</v>
      </c>
      <c r="AH114" s="2370" t="n">
        <v>265585</v>
      </c>
      <c r="AI114" s="2370" t="n">
        <v>1331347</v>
      </c>
      <c r="AJ114" s="2370" t="n">
        <v>1596932</v>
      </c>
      <c r="AK114" s="2370" t="n">
        <v>1123184</v>
      </c>
      <c r="AL114" s="2358" t="n"/>
      <c r="AM114" s="2361" t="inlineStr">
        <is>
          <t>[NO SF] Actual accrual; base rent $1.09M stepped; recovery $1.62M</t>
        </is>
      </c>
    </row>
    <row r="115" ht="14.1" customHeight="1" s="1449">
      <c r="A115" s="2339" t="inlineStr">
        <is>
          <t>P055</t>
        </is>
      </c>
      <c r="B115" s="2338" t="n">
        <v>407</v>
      </c>
      <c r="C115" s="2339" t="inlineStr">
        <is>
          <t>R0211072/R0211073/R0211074</t>
        </is>
      </c>
      <c r="D115" s="2339" t="inlineStr">
        <is>
          <t>Park 76 Distribution Center</t>
        </is>
      </c>
      <c r="E115" s="2339" t="inlineStr">
        <is>
          <t>Aurora</t>
        </is>
      </c>
      <c r="F115" s="2339" t="inlineStr">
        <is>
          <t>CO</t>
        </is>
      </c>
      <c r="G115" s="2339" t="inlineStr">
        <is>
          <t>Industrial</t>
        </is>
      </c>
      <c r="H115" s="2339" t="inlineStr">
        <is>
          <t>Industrial Warehouse NNN</t>
        </is>
      </c>
      <c r="I115" s="2362" t="n"/>
      <c r="J115" s="2362" t="n"/>
      <c r="K115" s="2362" t="n">
        <v>2023</v>
      </c>
      <c r="L115" s="2371" t="n">
        <v>1865903</v>
      </c>
      <c r="M115" s="2339" t="n"/>
      <c r="N115" s="2371" t="n">
        <v>2819460</v>
      </c>
      <c r="O115" s="2371" t="n">
        <v>30551</v>
      </c>
      <c r="P115" s="2371" t="n">
        <v>174961</v>
      </c>
      <c r="Q115" s="2339" t="n"/>
      <c r="R115" s="2339" t="n"/>
      <c r="S115" s="2371" t="n">
        <v>38995</v>
      </c>
      <c r="T115" s="2371" t="n">
        <v>27460</v>
      </c>
      <c r="U115" s="2339" t="n"/>
      <c r="V115" s="2339" t="n"/>
      <c r="W115" s="2339" t="n"/>
      <c r="X115" s="2371" t="n">
        <v>2475</v>
      </c>
      <c r="Y115" s="2371" t="n">
        <v>68930</v>
      </c>
      <c r="Z115" s="2339" t="n"/>
      <c r="AA115" s="2371" t="n">
        <v>18672</v>
      </c>
      <c r="AB115" s="2371" t="n">
        <v>19945</v>
      </c>
      <c r="AC115" s="2371" t="n">
        <v>38617</v>
      </c>
      <c r="AD115" s="2339" t="n"/>
      <c r="AE115" s="2339" t="n"/>
      <c r="AF115" s="2371" t="n">
        <v>58172</v>
      </c>
      <c r="AG115" s="2371" t="n">
        <v>18488</v>
      </c>
      <c r="AH115" s="2371" t="n">
        <v>379535</v>
      </c>
      <c r="AI115" s="2371" t="n">
        <v>895967</v>
      </c>
      <c r="AJ115" s="2371" t="n">
        <v>1013502</v>
      </c>
      <c r="AK115" s="2371" t="n">
        <v>1805958</v>
      </c>
      <c r="AL115" s="2339" t="n"/>
      <c r="AM115" s="2364" t="inlineStr">
        <is>
          <t>[NO SF] 3-bldg campus; actual accrual; base rent $1.87M; recovery $992k; prior-yr tax credit ($186k) netted</t>
        </is>
      </c>
    </row>
    <row r="116" ht="14.1" customHeight="1" s="1449">
      <c r="A116" s="2358" t="inlineStr">
        <is>
          <t>P055</t>
        </is>
      </c>
      <c r="B116" s="2338" t="n">
        <v>407</v>
      </c>
      <c r="C116" s="2358" t="inlineStr">
        <is>
          <t>R0211072/R0211073/R0211074</t>
        </is>
      </c>
      <c r="D116" s="2358" t="inlineStr">
        <is>
          <t>Park 76 Distribution Center</t>
        </is>
      </c>
      <c r="E116" s="2358" t="inlineStr">
        <is>
          <t>Aurora</t>
        </is>
      </c>
      <c r="F116" s="2358" t="inlineStr">
        <is>
          <t>CO</t>
        </is>
      </c>
      <c r="G116" s="2358" t="inlineStr">
        <is>
          <t>Industrial</t>
        </is>
      </c>
      <c r="H116" s="2358" t="inlineStr">
        <is>
          <t>Industrial Warehouse NNN</t>
        </is>
      </c>
      <c r="I116" s="2359" t="n"/>
      <c r="J116" s="2359" t="n"/>
      <c r="K116" s="2359" t="n">
        <v>2024</v>
      </c>
      <c r="L116" s="2370" t="n">
        <v>2075908</v>
      </c>
      <c r="M116" s="2358" t="n"/>
      <c r="N116" s="2370" t="n">
        <v>3348615</v>
      </c>
      <c r="O116" s="2370" t="n">
        <v>35750</v>
      </c>
      <c r="P116" s="2370" t="n">
        <v>200286</v>
      </c>
      <c r="Q116" s="2358" t="n"/>
      <c r="R116" s="2358" t="n"/>
      <c r="S116" s="2370" t="n">
        <v>22119</v>
      </c>
      <c r="T116" s="2370" t="n">
        <v>33962</v>
      </c>
      <c r="U116" s="2358" t="n"/>
      <c r="V116" s="2358" t="n"/>
      <c r="W116" s="2358" t="n"/>
      <c r="X116" s="2370" t="n">
        <v>3333</v>
      </c>
      <c r="Y116" s="2370" t="n">
        <v>59414</v>
      </c>
      <c r="Z116" s="2358" t="n"/>
      <c r="AA116" s="2370" t="n">
        <v>26689</v>
      </c>
      <c r="AB116" s="2370" t="n">
        <v>56296</v>
      </c>
      <c r="AC116" s="2370" t="n">
        <v>82985</v>
      </c>
      <c r="AD116" s="2358" t="n"/>
      <c r="AE116" s="2358" t="n"/>
      <c r="AF116" s="2370" t="n">
        <v>34195</v>
      </c>
      <c r="AG116" s="2370" t="n">
        <v>4284</v>
      </c>
      <c r="AH116" s="2370" t="n">
        <v>341787</v>
      </c>
      <c r="AI116" s="2370" t="n">
        <v>989805</v>
      </c>
      <c r="AJ116" s="2370" t="n">
        <v>1331592</v>
      </c>
      <c r="AK116" s="2370" t="n">
        <v>2017023</v>
      </c>
      <c r="AL116" s="2358" t="n"/>
      <c r="AM116" s="2361" t="inlineStr">
        <is>
          <t>[NO SF] 3-bldg campus; actual accrual; near-stabilized; base rent $2.08M; recovery $1.23M</t>
        </is>
      </c>
    </row>
    <row r="117" ht="14.1" customHeight="1" s="1449">
      <c r="A117" s="2339" t="inlineStr">
        <is>
          <t>P056</t>
        </is>
      </c>
      <c r="B117" s="2338" t="n">
        <v>407</v>
      </c>
      <c r="C117" s="2339" t="inlineStr">
        <is>
          <t>R0210485</t>
        </is>
      </c>
      <c r="D117" s="2339" t="inlineStr">
        <is>
          <t>1101 E 126th Ave (Bldg A)</t>
        </is>
      </c>
      <c r="E117" s="2339" t="inlineStr">
        <is>
          <t>Thornton</t>
        </is>
      </c>
      <c r="F117" s="2339" t="inlineStr">
        <is>
          <t>CO</t>
        </is>
      </c>
      <c r="G117" s="2339" t="inlineStr">
        <is>
          <t>Industrial</t>
        </is>
      </c>
      <c r="H117" s="2339" t="inlineStr">
        <is>
          <t>Industrial Warehouse NNN</t>
        </is>
      </c>
      <c r="I117" s="2362" t="n">
        <v>2022</v>
      </c>
      <c r="J117" s="2362" t="n"/>
      <c r="K117" s="2362" t="n">
        <v>2024</v>
      </c>
      <c r="L117" s="2371" t="n">
        <v>646186</v>
      </c>
      <c r="M117" s="2339" t="n"/>
      <c r="N117" s="2371" t="n">
        <v>839307</v>
      </c>
      <c r="O117" s="2371" t="n">
        <v>11813</v>
      </c>
      <c r="P117" s="2371" t="n">
        <v>47295</v>
      </c>
      <c r="Q117" s="2339" t="n"/>
      <c r="R117" s="2339" t="n"/>
      <c r="S117" s="2339" t="n"/>
      <c r="T117" s="2371" t="n">
        <v>9156</v>
      </c>
      <c r="U117" s="2339" t="n"/>
      <c r="V117" s="2339" t="n"/>
      <c r="W117" s="2339" t="n"/>
      <c r="X117" s="2371" t="n">
        <v>3898</v>
      </c>
      <c r="Y117" s="2371" t="n">
        <v>13054</v>
      </c>
      <c r="Z117" s="2339" t="n"/>
      <c r="AA117" s="2371" t="n">
        <v>11343</v>
      </c>
      <c r="AB117" s="2371" t="n">
        <v>24799</v>
      </c>
      <c r="AC117" s="2371" t="n">
        <v>36142</v>
      </c>
      <c r="AD117" s="2339" t="n"/>
      <c r="AE117" s="2339" t="n"/>
      <c r="AF117" s="2371" t="n">
        <v>27895</v>
      </c>
      <c r="AG117" s="2339" t="n"/>
      <c r="AH117" s="2371" t="n">
        <v>146517</v>
      </c>
      <c r="AI117" s="2371" t="n">
        <v>558285</v>
      </c>
      <c r="AJ117" s="2371" t="n">
        <v>705154</v>
      </c>
      <c r="AK117" s="2371" t="n">
        <v>134153</v>
      </c>
      <c r="AL117" s="2339" t="n"/>
      <c r="AM117" s="2364" t="inlineStr">
        <is>
          <t>[NO SF] New (YOC ~2022); 2024 near-stabilized; 2023 excluded (lease-up, negative NOI)</t>
        </is>
      </c>
    </row>
    <row r="118" ht="14.1" customHeight="1" s="1449">
      <c r="A118" s="2358" t="inlineStr">
        <is>
          <t>P057</t>
        </is>
      </c>
      <c r="B118" s="2338" t="n">
        <v>407</v>
      </c>
      <c r="C118" s="2358" t="inlineStr">
        <is>
          <t>R0210486</t>
        </is>
      </c>
      <c r="D118" s="2358" t="inlineStr">
        <is>
          <t>12625 Lafayette St (Bldg B)</t>
        </is>
      </c>
      <c r="E118" s="2358" t="inlineStr">
        <is>
          <t>Thornton</t>
        </is>
      </c>
      <c r="F118" s="2358" t="inlineStr">
        <is>
          <t>CO</t>
        </is>
      </c>
      <c r="G118" s="2358" t="inlineStr">
        <is>
          <t>Industrial</t>
        </is>
      </c>
      <c r="H118" s="2358" t="inlineStr">
        <is>
          <t>Industrial Warehouse NNN</t>
        </is>
      </c>
      <c r="I118" s="2359" t="n">
        <v>2022</v>
      </c>
      <c r="J118" s="2359" t="n"/>
      <c r="K118" s="2359" t="n">
        <v>2024</v>
      </c>
      <c r="L118" s="2370" t="n">
        <v>898845</v>
      </c>
      <c r="M118" s="2358" t="n"/>
      <c r="N118" s="2370" t="n">
        <v>1373599</v>
      </c>
      <c r="O118" s="2370" t="n">
        <v>21888</v>
      </c>
      <c r="P118" s="2370" t="n">
        <v>72220</v>
      </c>
      <c r="Q118" s="2358" t="n"/>
      <c r="R118" s="2358" t="n"/>
      <c r="S118" s="2358" t="n"/>
      <c r="T118" s="2370" t="n">
        <v>8438</v>
      </c>
      <c r="U118" s="2358" t="n"/>
      <c r="V118" s="2358" t="n"/>
      <c r="W118" s="2358" t="n"/>
      <c r="X118" s="2370" t="n">
        <v>5773</v>
      </c>
      <c r="Y118" s="2370" t="n">
        <v>14211</v>
      </c>
      <c r="Z118" s="2358" t="n"/>
      <c r="AA118" s="2370" t="n">
        <v>21287</v>
      </c>
      <c r="AB118" s="2370" t="n">
        <v>29625</v>
      </c>
      <c r="AC118" s="2370" t="n">
        <v>50912</v>
      </c>
      <c r="AD118" s="2358" t="n"/>
      <c r="AE118" s="2358" t="n"/>
      <c r="AF118" s="2370" t="n">
        <v>51235</v>
      </c>
      <c r="AG118" s="2358" t="n"/>
      <c r="AH118" s="2370" t="n">
        <v>209004</v>
      </c>
      <c r="AI118" s="2370" t="n">
        <v>762465</v>
      </c>
      <c r="AJ118" s="2370" t="n">
        <v>971469</v>
      </c>
      <c r="AK118" s="2370" t="n">
        <v>402131</v>
      </c>
      <c r="AL118" s="2358" t="n"/>
      <c r="AM118" s="2361" t="inlineStr">
        <is>
          <t>[NO SF] New (YOC ~2022); 2024 near-stabilized; 2023 excluded (lease-up, negative NOI)</t>
        </is>
      </c>
    </row>
    <row r="119" ht="14.1" customHeight="1" s="1449">
      <c r="A119" s="2339" t="inlineStr">
        <is>
          <t>P058</t>
        </is>
      </c>
      <c r="B119" s="2338" t="n">
        <v>407</v>
      </c>
      <c r="C119" s="2339" t="inlineStr">
        <is>
          <t>R0091934</t>
        </is>
      </c>
      <c r="D119" s="2339" t="inlineStr">
        <is>
          <t>350 Park Industrial (5759)</t>
        </is>
      </c>
      <c r="E119" s="2339" t="inlineStr">
        <is>
          <t>Aurora</t>
        </is>
      </c>
      <c r="F119" s="2339" t="inlineStr">
        <is>
          <t>CO</t>
        </is>
      </c>
      <c r="G119" s="2339" t="inlineStr">
        <is>
          <t>Industrial</t>
        </is>
      </c>
      <c r="H119" s="2339" t="inlineStr">
        <is>
          <t>Multi-Tenant Industrial 407</t>
        </is>
      </c>
      <c r="I119" s="2362" t="n">
        <v>1995</v>
      </c>
      <c r="J119" s="2362" t="n">
        <v>32600</v>
      </c>
      <c r="K119" s="2362" t="n">
        <v>2023</v>
      </c>
      <c r="L119" s="2363" t="n">
        <v>9.103300000000001</v>
      </c>
      <c r="M119" s="2339" t="n"/>
      <c r="N119" s="2363" t="n">
        <v>13.7731</v>
      </c>
      <c r="O119" s="2363" t="n">
        <v>0.1782</v>
      </c>
      <c r="P119" s="2363" t="n">
        <v>0.5171</v>
      </c>
      <c r="Q119" s="2363" t="n">
        <v>0.0369</v>
      </c>
      <c r="R119" s="2339" t="n"/>
      <c r="S119" s="2363" t="n">
        <v>0.3072</v>
      </c>
      <c r="T119" s="2363" t="n">
        <v>0.0153</v>
      </c>
      <c r="U119" s="2339" t="n"/>
      <c r="V119" s="2339" t="n"/>
      <c r="W119" s="2339" t="n"/>
      <c r="X119" s="2363" t="n">
        <v>0.238</v>
      </c>
      <c r="Y119" s="2363" t="n">
        <v>0.5975</v>
      </c>
      <c r="Z119" s="2363" t="n">
        <v>0.0417</v>
      </c>
      <c r="AA119" s="2339" t="n"/>
      <c r="AB119" s="2339" t="n"/>
      <c r="AC119" s="2363" t="n">
        <v>0.0417</v>
      </c>
      <c r="AD119" s="2363" t="n">
        <v>0.1872</v>
      </c>
      <c r="AE119" s="2339" t="n"/>
      <c r="AF119" s="2363" t="n">
        <v>0.1872</v>
      </c>
      <c r="AG119" s="2363" t="n">
        <v>0.2377</v>
      </c>
      <c r="AH119" s="2363" t="n">
        <v>1.7506</v>
      </c>
      <c r="AI119" s="2363" t="n">
        <v>3.1503</v>
      </c>
      <c r="AJ119" s="2363" t="n">
        <v>4.8938</v>
      </c>
      <c r="AK119" s="2363" t="n">
        <v>8.879300000000001</v>
      </c>
      <c r="AL119" s="2339" t="n"/>
      <c r="AM119" s="2364" t="inlineStr">
        <is>
          <t>Actual accrual; 3 tenants; multi-tenant industrial</t>
        </is>
      </c>
    </row>
    <row r="120" ht="14.1" customHeight="1" s="1449">
      <c r="A120" s="2358" t="inlineStr">
        <is>
          <t>P058</t>
        </is>
      </c>
      <c r="B120" s="2338" t="n">
        <v>407</v>
      </c>
      <c r="C120" s="2358" t="inlineStr">
        <is>
          <t>R0091934</t>
        </is>
      </c>
      <c r="D120" s="2358" t="inlineStr">
        <is>
          <t>350 Park Industrial (5759)</t>
        </is>
      </c>
      <c r="E120" s="2358" t="inlineStr">
        <is>
          <t>Aurora</t>
        </is>
      </c>
      <c r="F120" s="2358" t="inlineStr">
        <is>
          <t>CO</t>
        </is>
      </c>
      <c r="G120" s="2358" t="inlineStr">
        <is>
          <t>Industrial</t>
        </is>
      </c>
      <c r="H120" s="2358" t="inlineStr">
        <is>
          <t>Multi-Tenant Industrial 407</t>
        </is>
      </c>
      <c r="I120" s="2359" t="n">
        <v>1995</v>
      </c>
      <c r="J120" s="2359" t="n">
        <v>32600</v>
      </c>
      <c r="K120" s="2359" t="n">
        <v>2024</v>
      </c>
      <c r="L120" s="2360" t="n">
        <v>9.582700000000001</v>
      </c>
      <c r="M120" s="2358" t="n"/>
      <c r="N120" s="2360" t="n">
        <v>15.2757</v>
      </c>
      <c r="O120" s="2360" t="n">
        <v>0.1809</v>
      </c>
      <c r="P120" s="2360" t="n">
        <v>0.5698</v>
      </c>
      <c r="Q120" s="2360" t="n">
        <v>0.0384</v>
      </c>
      <c r="R120" s="2358" t="n"/>
      <c r="S120" s="2360" t="n">
        <v>0.2311</v>
      </c>
      <c r="T120" s="2360" t="n">
        <v>0.0375</v>
      </c>
      <c r="U120" s="2358" t="n"/>
      <c r="V120" s="2358" t="n"/>
      <c r="W120" s="2358" t="n"/>
      <c r="X120" s="2360" t="n">
        <v>0.223</v>
      </c>
      <c r="Y120" s="2360" t="n">
        <v>0.53</v>
      </c>
      <c r="Z120" s="2360" t="n">
        <v>0.0422</v>
      </c>
      <c r="AA120" s="2358" t="n"/>
      <c r="AB120" s="2358" t="n"/>
      <c r="AC120" s="2360" t="n">
        <v>0.0422</v>
      </c>
      <c r="AD120" s="2360" t="n">
        <v>0.2095</v>
      </c>
      <c r="AE120" s="2358" t="n"/>
      <c r="AF120" s="2360" t="n">
        <v>0.2095</v>
      </c>
      <c r="AG120" s="2360" t="n">
        <v>0.7716</v>
      </c>
      <c r="AH120" s="2360" t="n">
        <v>2.124</v>
      </c>
      <c r="AI120" s="2360" t="n">
        <v>3.247</v>
      </c>
      <c r="AJ120" s="2360" t="n">
        <v>5.279</v>
      </c>
      <c r="AK120" s="2360" t="n">
        <v>9.996700000000001</v>
      </c>
      <c r="AL120" s="2358" t="n"/>
      <c r="AM120" s="2361" t="inlineStr">
        <is>
          <t>Actual accrual; 3 tenants</t>
        </is>
      </c>
    </row>
    <row r="121" ht="14.1" customHeight="1" s="1449">
      <c r="A121" s="2339" t="inlineStr">
        <is>
          <t>P059</t>
        </is>
      </c>
      <c r="B121" s="2338" t="n">
        <v>407</v>
      </c>
      <c r="C121" s="2339" t="inlineStr">
        <is>
          <t>R0093111</t>
        </is>
      </c>
      <c r="D121" s="2339" t="inlineStr">
        <is>
          <t>Industrial Property (R0093111)</t>
        </is>
      </c>
      <c r="E121" s="2339" t="inlineStr">
        <is>
          <t>Aurora</t>
        </is>
      </c>
      <c r="F121" s="2339" t="inlineStr">
        <is>
          <t>CO</t>
        </is>
      </c>
      <c r="G121" s="2339" t="inlineStr">
        <is>
          <t>Industrial</t>
        </is>
      </c>
      <c r="H121" s="2339" t="inlineStr">
        <is>
          <t>Multi-Tenant Industrial 407</t>
        </is>
      </c>
      <c r="I121" s="2362" t="n"/>
      <c r="J121" s="2362" t="n"/>
      <c r="K121" s="2362" t="n">
        <v>2023</v>
      </c>
      <c r="L121" s="2371" t="n">
        <v>340825</v>
      </c>
      <c r="M121" s="2339" t="n"/>
      <c r="N121" s="2371" t="n">
        <v>817280</v>
      </c>
      <c r="O121" s="2371" t="n">
        <v>396</v>
      </c>
      <c r="P121" s="2371" t="n">
        <v>24226</v>
      </c>
      <c r="Q121" s="2371" t="n">
        <v>2790</v>
      </c>
      <c r="R121" s="2339" t="n"/>
      <c r="S121" s="2371" t="n">
        <v>17586</v>
      </c>
      <c r="T121" s="2339" t="n"/>
      <c r="U121" s="2339" t="n"/>
      <c r="V121" s="2339" t="n"/>
      <c r="W121" s="2339" t="n"/>
      <c r="X121" s="2371" t="n">
        <v>1690</v>
      </c>
      <c r="Y121" s="2371" t="n">
        <v>22066</v>
      </c>
      <c r="Z121" s="2371" t="n">
        <v>1690</v>
      </c>
      <c r="AA121" s="2371" t="n">
        <v>10029</v>
      </c>
      <c r="AB121" s="2371" t="n">
        <v>13406</v>
      </c>
      <c r="AC121" s="2371" t="n">
        <v>15096</v>
      </c>
      <c r="AD121" s="2371" t="n">
        <v>8414</v>
      </c>
      <c r="AE121" s="2339" t="n"/>
      <c r="AF121" s="2371" t="n">
        <v>8414</v>
      </c>
      <c r="AG121" s="2371" t="n">
        <v>7749</v>
      </c>
      <c r="AH121" s="2371" t="n">
        <v>82990</v>
      </c>
      <c r="AI121" s="2371" t="n">
        <v>262422</v>
      </c>
      <c r="AJ121" s="2371" t="n">
        <v>345412</v>
      </c>
      <c r="AK121" s="2371" t="n">
        <v>471868</v>
      </c>
      <c r="AL121" s="2339" t="n"/>
      <c r="AM121" s="2364" t="inlineStr">
        <is>
          <t>[NO SF] Actual; RE tax heavy due to NNN recovery; SF not confirmed</t>
        </is>
      </c>
    </row>
    <row r="122" ht="14.1" customHeight="1" s="1449">
      <c r="A122" s="2358" t="inlineStr">
        <is>
          <t>P059</t>
        </is>
      </c>
      <c r="B122" s="2338" t="n">
        <v>407</v>
      </c>
      <c r="C122" s="2358" t="inlineStr">
        <is>
          <t>R0093111</t>
        </is>
      </c>
      <c r="D122" s="2358" t="inlineStr">
        <is>
          <t>Industrial Property (R0093111)</t>
        </is>
      </c>
      <c r="E122" s="2358" t="inlineStr">
        <is>
          <t>Aurora</t>
        </is>
      </c>
      <c r="F122" s="2358" t="inlineStr">
        <is>
          <t>CO</t>
        </is>
      </c>
      <c r="G122" s="2358" t="inlineStr">
        <is>
          <t>Industrial</t>
        </is>
      </c>
      <c r="H122" s="2358" t="inlineStr">
        <is>
          <t>Multi-Tenant Industrial 407</t>
        </is>
      </c>
      <c r="I122" s="2359" t="n"/>
      <c r="J122" s="2359" t="n"/>
      <c r="K122" s="2359" t="n">
        <v>2024</v>
      </c>
      <c r="L122" s="2370" t="n">
        <v>343350</v>
      </c>
      <c r="M122" s="2358" t="n"/>
      <c r="N122" s="2370" t="n">
        <v>632272</v>
      </c>
      <c r="O122" s="2370" t="n">
        <v>9737</v>
      </c>
      <c r="P122" s="2358" t="n"/>
      <c r="Q122" s="2358" t="n"/>
      <c r="R122" s="2358" t="n"/>
      <c r="S122" s="2358" t="n"/>
      <c r="T122" s="2358" t="n"/>
      <c r="U122" s="2358" t="n"/>
      <c r="V122" s="2358" t="n"/>
      <c r="W122" s="2358" t="n"/>
      <c r="X122" s="2358" t="n"/>
      <c r="Y122" s="2358" t="n"/>
      <c r="Z122" s="2358" t="n"/>
      <c r="AA122" s="2358" t="n"/>
      <c r="AB122" s="2358" t="n"/>
      <c r="AC122" s="2358" t="n"/>
      <c r="AD122" s="2358" t="n"/>
      <c r="AE122" s="2358" t="n"/>
      <c r="AF122" s="2358" t="n"/>
      <c r="AG122" s="2358" t="n"/>
      <c r="AH122" s="2370" t="n">
        <v>119649</v>
      </c>
      <c r="AI122" s="2370" t="n">
        <v>159461</v>
      </c>
      <c r="AJ122" s="2370" t="n">
        <v>279110</v>
      </c>
      <c r="AK122" s="2370" t="n">
        <v>353163</v>
      </c>
      <c r="AL122" s="2358" t="n"/>
      <c r="AM122" s="2361" t="inlineStr">
        <is>
          <t>[NO SF] 2024 summary data; limited line-item detail; SF not confirmed</t>
        </is>
      </c>
    </row>
    <row r="123" ht="14.1" customHeight="1" s="1449">
      <c r="A123" s="2339" t="inlineStr">
        <is>
          <t>P060</t>
        </is>
      </c>
      <c r="B123" s="2338" t="n">
        <v>407</v>
      </c>
      <c r="C123" s="2339" t="inlineStr">
        <is>
          <t>R0100104</t>
        </is>
      </c>
      <c r="D123" s="2339" t="inlineStr">
        <is>
          <t>312 Kew West</t>
        </is>
      </c>
      <c r="E123" s="2339" t="inlineStr">
        <is>
          <t>Aurora</t>
        </is>
      </c>
      <c r="F123" s="2339" t="inlineStr">
        <is>
          <t>CO</t>
        </is>
      </c>
      <c r="G123" s="2339" t="inlineStr">
        <is>
          <t>Industrial</t>
        </is>
      </c>
      <c r="H123" s="2339" t="inlineStr">
        <is>
          <t>Multi-Tenant Industrial 407</t>
        </is>
      </c>
      <c r="I123" s="2362" t="n"/>
      <c r="J123" s="2362" t="n"/>
      <c r="K123" s="2362" t="n">
        <v>2023</v>
      </c>
      <c r="L123" s="2371" t="n">
        <v>246837</v>
      </c>
      <c r="M123" s="2339" t="n"/>
      <c r="N123" s="2371" t="n">
        <v>340193</v>
      </c>
      <c r="O123" s="2371" t="n">
        <v>7355</v>
      </c>
      <c r="P123" s="2371" t="n">
        <v>12734</v>
      </c>
      <c r="Q123" s="2371" t="n">
        <v>1711</v>
      </c>
      <c r="R123" s="2339" t="n"/>
      <c r="S123" s="2371" t="n">
        <v>24740</v>
      </c>
      <c r="T123" s="2371" t="n">
        <v>6577</v>
      </c>
      <c r="U123" s="2339" t="n"/>
      <c r="V123" s="2339" t="n"/>
      <c r="W123" s="2339" t="n"/>
      <c r="X123" s="2371" t="n">
        <v>10612</v>
      </c>
      <c r="Y123" s="2371" t="n">
        <v>43640</v>
      </c>
      <c r="Z123" s="2371" t="n">
        <v>2451</v>
      </c>
      <c r="AA123" s="2371" t="n">
        <v>2474</v>
      </c>
      <c r="AB123" s="2371" t="n">
        <v>9457</v>
      </c>
      <c r="AC123" s="2371" t="n">
        <v>14382</v>
      </c>
      <c r="AD123" s="2371" t="n">
        <v>4092</v>
      </c>
      <c r="AE123" s="2339" t="n"/>
      <c r="AF123" s="2371" t="n">
        <v>4092</v>
      </c>
      <c r="AG123" s="2339" t="n"/>
      <c r="AH123" s="2371" t="n">
        <v>68233</v>
      </c>
      <c r="AI123" s="2371" t="n">
        <v>92861</v>
      </c>
      <c r="AJ123" s="2371" t="n">
        <v>161094</v>
      </c>
      <c r="AK123" s="2371" t="n">
        <v>179099</v>
      </c>
      <c r="AL123" s="2339" t="n"/>
      <c r="AM123" s="2364" t="inlineStr">
        <is>
          <t>[NO SF] Actual accrual; SF not confirmed</t>
        </is>
      </c>
    </row>
    <row r="124" ht="14.1" customHeight="1" s="1449">
      <c r="A124" s="2358" t="inlineStr">
        <is>
          <t>P060</t>
        </is>
      </c>
      <c r="B124" s="2338" t="n">
        <v>407</v>
      </c>
      <c r="C124" s="2358" t="inlineStr">
        <is>
          <t>R0100104</t>
        </is>
      </c>
      <c r="D124" s="2358" t="inlineStr">
        <is>
          <t>312 Kew West</t>
        </is>
      </c>
      <c r="E124" s="2358" t="inlineStr">
        <is>
          <t>Aurora</t>
        </is>
      </c>
      <c r="F124" s="2358" t="inlineStr">
        <is>
          <t>CO</t>
        </is>
      </c>
      <c r="G124" s="2358" t="inlineStr">
        <is>
          <t>Industrial</t>
        </is>
      </c>
      <c r="H124" s="2358" t="inlineStr">
        <is>
          <t>Multi-Tenant Industrial 407</t>
        </is>
      </c>
      <c r="I124" s="2359" t="n"/>
      <c r="J124" s="2359" t="n"/>
      <c r="K124" s="2359" t="n">
        <v>2024</v>
      </c>
      <c r="L124" s="2370" t="n">
        <v>239823</v>
      </c>
      <c r="M124" s="2358" t="n"/>
      <c r="N124" s="2370" t="n">
        <v>375845</v>
      </c>
      <c r="O124" s="2370" t="n">
        <v>7287</v>
      </c>
      <c r="P124" s="2370" t="n">
        <v>18575</v>
      </c>
      <c r="Q124" s="2370" t="n">
        <v>816</v>
      </c>
      <c r="R124" s="2358" t="n"/>
      <c r="S124" s="2370" t="n">
        <v>25607</v>
      </c>
      <c r="T124" s="2370" t="n">
        <v>7834</v>
      </c>
      <c r="U124" s="2358" t="n"/>
      <c r="V124" s="2358" t="n"/>
      <c r="W124" s="2358" t="n"/>
      <c r="X124" s="2370" t="n">
        <v>8752</v>
      </c>
      <c r="Y124" s="2370" t="n">
        <v>42009</v>
      </c>
      <c r="Z124" s="2370" t="n">
        <v>2982</v>
      </c>
      <c r="AA124" s="2370" t="n">
        <v>2720</v>
      </c>
      <c r="AB124" s="2370" t="n">
        <v>10994</v>
      </c>
      <c r="AC124" s="2370" t="n">
        <v>16696</v>
      </c>
      <c r="AD124" s="2370" t="n">
        <v>4502</v>
      </c>
      <c r="AE124" s="2358" t="n"/>
      <c r="AF124" s="2370" t="n">
        <v>4502</v>
      </c>
      <c r="AG124" s="2358" t="n"/>
      <c r="AH124" s="2370" t="n">
        <v>69570</v>
      </c>
      <c r="AI124" s="2370" t="n">
        <v>102524</v>
      </c>
      <c r="AJ124" s="2370" t="n">
        <v>172094</v>
      </c>
      <c r="AK124" s="2370" t="n">
        <v>203752</v>
      </c>
      <c r="AL124" s="2358" t="n"/>
      <c r="AM124" s="2361" t="inlineStr">
        <is>
          <t>[NO SF] Actual accrual; SF not confirmed</t>
        </is>
      </c>
    </row>
    <row r="125" ht="14.1" customHeight="1" s="1449">
      <c r="A125" s="2339" t="inlineStr">
        <is>
          <t>P061</t>
        </is>
      </c>
      <c r="B125" s="2338" t="n">
        <v>584</v>
      </c>
      <c r="C125" s="2339" t="inlineStr">
        <is>
          <t>R0083935</t>
        </is>
      </c>
      <c r="D125" s="2339" t="inlineStr">
        <is>
          <t>20101 E 36th Ave</t>
        </is>
      </c>
      <c r="E125" s="2339" t="inlineStr">
        <is>
          <t>Aurora</t>
        </is>
      </c>
      <c r="F125" s="2339" t="inlineStr">
        <is>
          <t>CO</t>
        </is>
      </c>
      <c r="G125" s="2339" t="inlineStr">
        <is>
          <t>Industrial</t>
        </is>
      </c>
      <c r="H125" s="2339" t="inlineStr">
        <is>
          <t>Mega Warehouse NNN</t>
        </is>
      </c>
      <c r="I125" s="2362" t="n"/>
      <c r="J125" s="2362" t="n">
        <v>278538</v>
      </c>
      <c r="K125" s="2362" t="n">
        <v>2024</v>
      </c>
      <c r="L125" s="2363" t="n">
        <v>4.4608</v>
      </c>
      <c r="M125" s="2339" t="n"/>
      <c r="N125" s="2363" t="n">
        <v>10.6014</v>
      </c>
      <c r="O125" s="2339" t="n"/>
      <c r="P125" s="2339" t="n"/>
      <c r="Q125" s="2339" t="n"/>
      <c r="R125" s="2339" t="n"/>
      <c r="S125" s="2339" t="n"/>
      <c r="T125" s="2339" t="n"/>
      <c r="U125" s="2339" t="n"/>
      <c r="V125" s="2339" t="n"/>
      <c r="W125" s="2339" t="n"/>
      <c r="X125" s="2339" t="n"/>
      <c r="Y125" s="2339" t="n"/>
      <c r="Z125" s="2339" t="n"/>
      <c r="AA125" s="2339" t="n"/>
      <c r="AB125" s="2339" t="n"/>
      <c r="AC125" s="2339" t="n"/>
      <c r="AD125" s="2339" t="n"/>
      <c r="AE125" s="2339" t="n"/>
      <c r="AF125" s="2363" t="n">
        <v>0.7035</v>
      </c>
      <c r="AG125" s="2339" t="n"/>
      <c r="AH125" s="2339" t="n"/>
      <c r="AI125" s="2339" t="n"/>
      <c r="AJ125" s="2339" t="n"/>
      <c r="AK125" s="2339" t="n"/>
      <c r="AL125" s="2339" t="n"/>
      <c r="AM125" s="2364" t="inlineStr">
        <is>
          <t>NNN; partial data; CBRE income statement; tenant RK Industries; rent $4.47/SF NNN; RE tax recovery ~$860k</t>
        </is>
      </c>
    </row>
    <row r="126" ht="14.1" customHeight="1" s="1449">
      <c r="A126" s="2358" t="inlineStr">
        <is>
          <t>P062</t>
        </is>
      </c>
      <c r="B126" s="2338" t="n">
        <v>407</v>
      </c>
      <c r="C126" s="2358" t="inlineStr">
        <is>
          <t>R0200721</t>
        </is>
      </c>
      <c r="D126" s="2358" t="inlineStr">
        <is>
          <t>3420 N Lisbon St</t>
        </is>
      </c>
      <c r="E126" s="2358" t="inlineStr">
        <is>
          <t>Aurora</t>
        </is>
      </c>
      <c r="F126" s="2358" t="inlineStr">
        <is>
          <t>CO</t>
        </is>
      </c>
      <c r="G126" s="2358" t="inlineStr">
        <is>
          <t>Industrial</t>
        </is>
      </c>
      <c r="H126" s="2358" t="inlineStr">
        <is>
          <t>Single-Tenant Industrial NNN</t>
        </is>
      </c>
      <c r="I126" s="2359" t="n">
        <v>2019</v>
      </c>
      <c r="J126" s="2359" t="n">
        <v>36212</v>
      </c>
      <c r="K126" s="2359" t="n">
        <v>2023</v>
      </c>
      <c r="L126" s="2360" t="n">
        <v>7.519</v>
      </c>
      <c r="M126" s="2358" t="n"/>
      <c r="N126" s="2360" t="n">
        <v>7.519</v>
      </c>
      <c r="O126" s="2358" t="n"/>
      <c r="P126" s="2358" t="n"/>
      <c r="Q126" s="2358" t="n"/>
      <c r="R126" s="2358" t="n"/>
      <c r="S126" s="2358" t="n"/>
      <c r="T126" s="2358" t="n"/>
      <c r="U126" s="2358" t="n"/>
      <c r="V126" s="2358" t="n"/>
      <c r="W126" s="2358" t="n"/>
      <c r="X126" s="2358" t="n"/>
      <c r="Y126" s="2358" t="n"/>
      <c r="Z126" s="2358" t="n"/>
      <c r="AA126" s="2358" t="n"/>
      <c r="AB126" s="2358" t="n"/>
      <c r="AC126" s="2358" t="n"/>
      <c r="AD126" s="2358" t="n"/>
      <c r="AE126" s="2358" t="n"/>
      <c r="AF126" s="2358" t="n"/>
      <c r="AG126" s="2358" t="n"/>
      <c r="AH126" s="2358" t="n"/>
      <c r="AI126" s="2358" t="n"/>
      <c r="AJ126" s="2358" t="n"/>
      <c r="AK126" s="2358" t="n"/>
      <c r="AL126" s="2358" t="n"/>
      <c r="AM126" s="2361" t="inlineStr">
        <is>
          <t>NNN absolute; tenant pays all opex; owner income = rent only; $7.52/SF</t>
        </is>
      </c>
    </row>
    <row r="127" ht="14.1" customHeight="1" s="1449">
      <c r="A127" s="2339" t="inlineStr">
        <is>
          <t>P062</t>
        </is>
      </c>
      <c r="B127" s="2338" t="n">
        <v>407</v>
      </c>
      <c r="C127" s="2339" t="inlineStr">
        <is>
          <t>R0200721</t>
        </is>
      </c>
      <c r="D127" s="2339" t="inlineStr">
        <is>
          <t>3420 N Lisbon St</t>
        </is>
      </c>
      <c r="E127" s="2339" t="inlineStr">
        <is>
          <t>Aurora</t>
        </is>
      </c>
      <c r="F127" s="2339" t="inlineStr">
        <is>
          <t>CO</t>
        </is>
      </c>
      <c r="G127" s="2339" t="inlineStr">
        <is>
          <t>Industrial</t>
        </is>
      </c>
      <c r="H127" s="2339" t="inlineStr">
        <is>
          <t>Single-Tenant Industrial NNN</t>
        </is>
      </c>
      <c r="I127" s="2362" t="n">
        <v>2019</v>
      </c>
      <c r="J127" s="2362" t="n">
        <v>36212</v>
      </c>
      <c r="K127" s="2362" t="n">
        <v>2024</v>
      </c>
      <c r="L127" s="2363" t="n">
        <v>7.7446</v>
      </c>
      <c r="M127" s="2339" t="n"/>
      <c r="N127" s="2363" t="n">
        <v>7.7446</v>
      </c>
      <c r="O127" s="2339" t="n"/>
      <c r="P127" s="2339" t="n"/>
      <c r="Q127" s="2339" t="n"/>
      <c r="R127" s="2339" t="n"/>
      <c r="S127" s="2339" t="n"/>
      <c r="T127" s="2339" t="n"/>
      <c r="U127" s="2339" t="n"/>
      <c r="V127" s="2339" t="n"/>
      <c r="W127" s="2339" t="n"/>
      <c r="X127" s="2339" t="n"/>
      <c r="Y127" s="2339" t="n"/>
      <c r="Z127" s="2339" t="n"/>
      <c r="AA127" s="2339" t="n"/>
      <c r="AB127" s="2339" t="n"/>
      <c r="AC127" s="2339" t="n"/>
      <c r="AD127" s="2339" t="n"/>
      <c r="AE127" s="2339" t="n"/>
      <c r="AF127" s="2339" t="n"/>
      <c r="AG127" s="2339" t="n"/>
      <c r="AH127" s="2339" t="n"/>
      <c r="AI127" s="2339" t="n"/>
      <c r="AJ127" s="2339" t="n"/>
      <c r="AK127" s="2339" t="n"/>
      <c r="AL127" s="2339" t="n"/>
      <c r="AM127" s="2364" t="inlineStr">
        <is>
          <t>NNN absolute; tenant pays all opex; owner income = rent only; $7.75/SF</t>
        </is>
      </c>
    </row>
    <row r="128" ht="14.1" customHeight="1" s="1449">
      <c r="A128" s="2365" t="inlineStr">
        <is>
          <t>P063</t>
        </is>
      </c>
      <c r="B128" s="2338" t="n">
        <v>344</v>
      </c>
      <c r="C128" s="2365" t="inlineStr">
        <is>
          <t>R0040581</t>
        </is>
      </c>
      <c r="D128" s="2365" t="inlineStr">
        <is>
          <t>2090 E 104th Ave</t>
        </is>
      </c>
      <c r="E128" s="2365" t="inlineStr">
        <is>
          <t>Thornton</t>
        </is>
      </c>
      <c r="F128" s="2365" t="inlineStr">
        <is>
          <t>CO</t>
        </is>
      </c>
      <c r="G128" s="2365" t="inlineStr">
        <is>
          <t>Office</t>
        </is>
      </c>
      <c r="H128" s="2365" t="inlineStr">
        <is>
          <t>Multi-Tenant Office</t>
        </is>
      </c>
      <c r="I128" s="2366" t="n"/>
      <c r="J128" s="2366" t="n">
        <v>19764</v>
      </c>
      <c r="K128" s="2366" t="n">
        <v>2023</v>
      </c>
      <c r="L128" s="2365" t="n"/>
      <c r="M128" s="2365" t="n"/>
      <c r="N128" s="2365" t="n"/>
      <c r="O128" s="2369" t="n">
        <v>0.1585</v>
      </c>
      <c r="P128" s="2369" t="n">
        <v>0.4648</v>
      </c>
      <c r="Q128" s="2365" t="n"/>
      <c r="R128" s="2365" t="n"/>
      <c r="S128" s="2365" t="n"/>
      <c r="T128" s="2365" t="n"/>
      <c r="U128" s="2365" t="n"/>
      <c r="V128" s="2365" t="n"/>
      <c r="W128" s="2365" t="n"/>
      <c r="X128" s="2369" t="n">
        <v>2.4351</v>
      </c>
      <c r="Y128" s="2369" t="n">
        <v>2.4351</v>
      </c>
      <c r="Z128" s="2365" t="n"/>
      <c r="AA128" s="2369" t="n">
        <v>0.4976</v>
      </c>
      <c r="AB128" s="2365" t="n"/>
      <c r="AC128" s="2369" t="n">
        <v>0.4976</v>
      </c>
      <c r="AD128" s="2365" t="n"/>
      <c r="AE128" s="2365" t="n"/>
      <c r="AF128" s="2369" t="n">
        <v>1.8998</v>
      </c>
      <c r="AG128" s="2369" t="n">
        <v>0.4171</v>
      </c>
      <c r="AH128" s="2369" t="n">
        <v>6.7472</v>
      </c>
      <c r="AI128" s="2369" t="n">
        <v>2.0601</v>
      </c>
      <c r="AJ128" s="2369" t="n">
        <v>8.8073</v>
      </c>
      <c r="AK128" s="2369" t="n">
        <v>2.7531</v>
      </c>
      <c r="AL128" s="2365" t="n"/>
      <c r="AM128" s="2368" t="inlineStr">
        <is>
          <t>Office; expenses only; GRI est. ~$228k at $11.56/SF 100% occ</t>
        </is>
      </c>
    </row>
    <row r="129" ht="14.1" customHeight="1" s="1449">
      <c r="A129" s="2365" t="inlineStr">
        <is>
          <t>P063</t>
        </is>
      </c>
      <c r="B129" s="2338" t="n">
        <v>344</v>
      </c>
      <c r="C129" s="2365" t="inlineStr">
        <is>
          <t>R0040581</t>
        </is>
      </c>
      <c r="D129" s="2365" t="inlineStr">
        <is>
          <t>2090 E 104th Ave</t>
        </is>
      </c>
      <c r="E129" s="2365" t="inlineStr">
        <is>
          <t>Thornton</t>
        </is>
      </c>
      <c r="F129" s="2365" t="inlineStr">
        <is>
          <t>CO</t>
        </is>
      </c>
      <c r="G129" s="2365" t="inlineStr">
        <is>
          <t>Office</t>
        </is>
      </c>
      <c r="H129" s="2365" t="inlineStr">
        <is>
          <t>Multi-Tenant Office</t>
        </is>
      </c>
      <c r="I129" s="2366" t="n"/>
      <c r="J129" s="2366" t="n">
        <v>19764</v>
      </c>
      <c r="K129" s="2366" t="n">
        <v>2024</v>
      </c>
      <c r="L129" s="2365" t="n"/>
      <c r="M129" s="2365" t="n"/>
      <c r="N129" s="2365" t="n"/>
      <c r="O129" s="2369" t="n">
        <v>0.5652</v>
      </c>
      <c r="P129" s="2369" t="n">
        <v>0.4554</v>
      </c>
      <c r="Q129" s="2365" t="n"/>
      <c r="R129" s="2365" t="n"/>
      <c r="S129" s="2365" t="n"/>
      <c r="T129" s="2365" t="n"/>
      <c r="U129" s="2365" t="n"/>
      <c r="V129" s="2365" t="n"/>
      <c r="W129" s="2365" t="n"/>
      <c r="X129" s="2369" t="n">
        <v>2.4623</v>
      </c>
      <c r="Y129" s="2369" t="n">
        <v>2.4623</v>
      </c>
      <c r="Z129" s="2365" t="n"/>
      <c r="AA129" s="2369" t="n">
        <v>0.5888</v>
      </c>
      <c r="AB129" s="2365" t="n"/>
      <c r="AC129" s="2369" t="n">
        <v>0.5888</v>
      </c>
      <c r="AD129" s="2365" t="n"/>
      <c r="AE129" s="2365" t="n"/>
      <c r="AF129" s="2369" t="n">
        <v>2.4159</v>
      </c>
      <c r="AG129" s="2369" t="n">
        <v>0.3126</v>
      </c>
      <c r="AH129" s="2369" t="n">
        <v>6.8005</v>
      </c>
      <c r="AI129" s="2369" t="n">
        <v>2.0271</v>
      </c>
      <c r="AJ129" s="2369" t="n">
        <v>8.8276</v>
      </c>
      <c r="AK129" s="2369" t="n">
        <v>2.7328</v>
      </c>
      <c r="AL129" s="2365" t="n"/>
      <c r="AM129" s="2368" t="inlineStr">
        <is>
          <t>Office; expenses only; GRI est. ~$228k</t>
        </is>
      </c>
    </row>
    <row r="130" ht="14.1" customHeight="1" s="1449">
      <c r="A130" s="2365" t="inlineStr">
        <is>
          <t>P064</t>
        </is>
      </c>
      <c r="B130" s="2338" t="n">
        <v>344</v>
      </c>
      <c r="C130" s="2365" t="inlineStr">
        <is>
          <t>R0050977</t>
        </is>
      </c>
      <c r="D130" s="2365" t="inlineStr">
        <is>
          <t>9351 Grant St</t>
        </is>
      </c>
      <c r="E130" s="2365" t="inlineStr">
        <is>
          <t>Thornton</t>
        </is>
      </c>
      <c r="F130" s="2365" t="inlineStr">
        <is>
          <t>CO</t>
        </is>
      </c>
      <c r="G130" s="2365" t="inlineStr">
        <is>
          <t>Office</t>
        </is>
      </c>
      <c r="H130" s="2365" t="inlineStr">
        <is>
          <t>Multi-Tenant Office</t>
        </is>
      </c>
      <c r="I130" s="2366" t="n"/>
      <c r="J130" s="2366" t="n"/>
      <c r="K130" s="2366" t="n">
        <v>2023</v>
      </c>
      <c r="L130" s="2367" t="n">
        <v>2011958</v>
      </c>
      <c r="M130" s="2365" t="n"/>
      <c r="N130" s="2367" t="n">
        <v>2239234</v>
      </c>
      <c r="O130" s="2365" t="n"/>
      <c r="P130" s="2365" t="n"/>
      <c r="Q130" s="2365" t="n"/>
      <c r="R130" s="2365" t="n"/>
      <c r="S130" s="2365" t="n"/>
      <c r="T130" s="2365" t="n"/>
      <c r="U130" s="2365" t="n"/>
      <c r="V130" s="2365" t="n"/>
      <c r="W130" s="2365" t="n"/>
      <c r="X130" s="2367" t="n">
        <v>144543</v>
      </c>
      <c r="Y130" s="2367" t="n">
        <v>144543</v>
      </c>
      <c r="Z130" s="2365" t="n"/>
      <c r="AA130" s="2365" t="n"/>
      <c r="AB130" s="2365" t="n"/>
      <c r="AC130" s="2365" t="n"/>
      <c r="AD130" s="2365" t="n"/>
      <c r="AE130" s="2365" t="n"/>
      <c r="AF130" s="2367" t="n">
        <v>240350</v>
      </c>
      <c r="AG130" s="2367" t="n">
        <v>279549</v>
      </c>
      <c r="AH130" s="2367" t="n">
        <v>719555</v>
      </c>
      <c r="AI130" s="2367" t="n">
        <v>497852</v>
      </c>
      <c r="AJ130" s="2367" t="n">
        <v>1217407</v>
      </c>
      <c r="AK130" s="2367" t="n">
        <v>1021827</v>
      </c>
      <c r="AL130" s="2365" t="n"/>
      <c r="AM130" s="2368" t="inlineStr">
        <is>
          <t>[NO SF] Actual P&amp;L; Crown RE Group; RE Tax + Ins combined in $497,852 line; large office property</t>
        </is>
      </c>
    </row>
    <row r="131" ht="14.1" customHeight="1" s="1449">
      <c r="A131" s="2365" t="inlineStr">
        <is>
          <t>P065</t>
        </is>
      </c>
      <c r="B131" s="2338" t="n">
        <v>344</v>
      </c>
      <c r="C131" s="2365" t="inlineStr">
        <is>
          <t>R0069041</t>
        </is>
      </c>
      <c r="D131" s="2365" t="inlineStr">
        <is>
          <t>7475 Dakin St (Turnpike Tower)</t>
        </is>
      </c>
      <c r="E131" s="2365" t="inlineStr">
        <is>
          <t>Denver</t>
        </is>
      </c>
      <c r="F131" s="2365" t="inlineStr">
        <is>
          <t>CO</t>
        </is>
      </c>
      <c r="G131" s="2365" t="inlineStr">
        <is>
          <t>Office</t>
        </is>
      </c>
      <c r="H131" s="2365" t="inlineStr">
        <is>
          <t>Multi-Tenant Office</t>
        </is>
      </c>
      <c r="I131" s="2366" t="n"/>
      <c r="J131" s="2366" t="n">
        <v>114843</v>
      </c>
      <c r="K131" s="2366" t="n">
        <v>2023</v>
      </c>
      <c r="L131" s="2365" t="n"/>
      <c r="M131" s="2365" t="n"/>
      <c r="N131" s="2369" t="n">
        <v>5.3899</v>
      </c>
      <c r="O131" s="2365" t="n"/>
      <c r="P131" s="2365" t="n"/>
      <c r="Q131" s="2365" t="n"/>
      <c r="R131" s="2365" t="n"/>
      <c r="S131" s="2365" t="n"/>
      <c r="T131" s="2365" t="n"/>
      <c r="U131" s="2365" t="n"/>
      <c r="V131" s="2365" t="n"/>
      <c r="W131" s="2365" t="n"/>
      <c r="X131" s="2365" t="n"/>
      <c r="Y131" s="2365" t="n"/>
      <c r="Z131" s="2365" t="n"/>
      <c r="AA131" s="2369" t="n">
        <v>0.0873</v>
      </c>
      <c r="AB131" s="2365" t="n"/>
      <c r="AC131" s="2365" t="n"/>
      <c r="AD131" s="2365" t="n"/>
      <c r="AE131" s="2365" t="n"/>
      <c r="AF131" s="2365" t="n"/>
      <c r="AG131" s="2365" t="n"/>
      <c r="AH131" s="2369" t="n">
        <v>2.6434</v>
      </c>
      <c r="AI131" s="2369" t="n">
        <v>2.2851</v>
      </c>
      <c r="AJ131" s="2369" t="n">
        <v>4.9285</v>
      </c>
      <c r="AK131" s="2369" t="n">
        <v>0.4627</v>
      </c>
      <c r="AL131" s="2365" t="n"/>
      <c r="AM131" s="2368" t="inlineStr">
        <is>
          <t>Actual; 87.7% occ; NNN/Modified leases; RE Tax heavy; approx figures</t>
        </is>
      </c>
    </row>
    <row r="132" ht="14.1" customHeight="1" s="1449">
      <c r="A132" s="2365" t="inlineStr">
        <is>
          <t>P065</t>
        </is>
      </c>
      <c r="B132" s="2338" t="n">
        <v>344</v>
      </c>
      <c r="C132" s="2365" t="inlineStr">
        <is>
          <t>R0069041</t>
        </is>
      </c>
      <c r="D132" s="2365" t="inlineStr">
        <is>
          <t>7475 Dakin St (Turnpike Tower)</t>
        </is>
      </c>
      <c r="E132" s="2365" t="inlineStr">
        <is>
          <t>Denver</t>
        </is>
      </c>
      <c r="F132" s="2365" t="inlineStr">
        <is>
          <t>CO</t>
        </is>
      </c>
      <c r="G132" s="2365" t="inlineStr">
        <is>
          <t>Office</t>
        </is>
      </c>
      <c r="H132" s="2365" t="inlineStr">
        <is>
          <t>Multi-Tenant Office</t>
        </is>
      </c>
      <c r="I132" s="2366" t="n"/>
      <c r="J132" s="2366" t="n">
        <v>114843</v>
      </c>
      <c r="K132" s="2366" t="n">
        <v>2024</v>
      </c>
      <c r="L132" s="2365" t="n"/>
      <c r="M132" s="2365" t="n"/>
      <c r="N132" s="2369" t="n">
        <v>11.7878</v>
      </c>
      <c r="O132" s="2365" t="n"/>
      <c r="P132" s="2365" t="n"/>
      <c r="Q132" s="2365" t="n"/>
      <c r="R132" s="2365" t="n"/>
      <c r="S132" s="2365" t="n"/>
      <c r="T132" s="2365" t="n"/>
      <c r="U132" s="2365" t="n"/>
      <c r="V132" s="2365" t="n"/>
      <c r="W132" s="2365" t="n"/>
      <c r="X132" s="2365" t="n"/>
      <c r="Y132" s="2365" t="n"/>
      <c r="Z132" s="2365" t="n"/>
      <c r="AA132" s="2365" t="n"/>
      <c r="AB132" s="2365" t="n"/>
      <c r="AC132" s="2365" t="n"/>
      <c r="AD132" s="2365" t="n"/>
      <c r="AE132" s="2365" t="n"/>
      <c r="AF132" s="2365" t="n"/>
      <c r="AG132" s="2365" t="n"/>
      <c r="AH132" s="2369" t="n">
        <v>8.9252</v>
      </c>
      <c r="AI132" s="2365" t="n"/>
      <c r="AJ132" s="2369" t="n">
        <v>11.2066</v>
      </c>
      <c r="AK132" s="2369" t="n">
        <v>0.5806</v>
      </c>
      <c r="AL132" s="2365" t="n"/>
      <c r="AM132" s="2368" t="inlineStr">
        <is>
          <t>Actual 2024; approx figures; RE Tax est. ~$262k</t>
        </is>
      </c>
    </row>
    <row r="133" ht="14.1" customHeight="1" s="1449">
      <c r="A133" s="2365" t="inlineStr">
        <is>
          <t>P066</t>
        </is>
      </c>
      <c r="B133" s="2338" t="n">
        <v>344</v>
      </c>
      <c r="C133" s="2365" t="inlineStr">
        <is>
          <t>R0079409</t>
        </is>
      </c>
      <c r="D133" s="2365" t="inlineStr">
        <is>
          <t>6401 E 72nd Ave</t>
        </is>
      </c>
      <c r="E133" s="2365" t="inlineStr">
        <is>
          <t>Commerce City</t>
        </is>
      </c>
      <c r="F133" s="2365" t="inlineStr">
        <is>
          <t>CO</t>
        </is>
      </c>
      <c r="G133" s="2365" t="inlineStr">
        <is>
          <t>Office</t>
        </is>
      </c>
      <c r="H133" s="2365" t="inlineStr">
        <is>
          <t>Multi-Tenant Office</t>
        </is>
      </c>
      <c r="I133" s="2366" t="n"/>
      <c r="J133" s="2366" t="n">
        <v>8218</v>
      </c>
      <c r="K133" s="2366" t="n">
        <v>2023</v>
      </c>
      <c r="L133" s="2369" t="n">
        <v>11.7637</v>
      </c>
      <c r="M133" s="2365" t="n"/>
      <c r="N133" s="2369" t="n">
        <v>13.2835</v>
      </c>
      <c r="O133" s="2369" t="n">
        <v>0.2901</v>
      </c>
      <c r="P133" s="2369" t="n">
        <v>0.6571</v>
      </c>
      <c r="Q133" s="2365" t="n"/>
      <c r="R133" s="2365" t="n"/>
      <c r="S133" s="2365" t="n"/>
      <c r="T133" s="2365" t="n"/>
      <c r="U133" s="2365" t="n"/>
      <c r="V133" s="2365" t="n"/>
      <c r="W133" s="2365" t="n"/>
      <c r="X133" s="2369" t="n">
        <v>2.2109</v>
      </c>
      <c r="Y133" s="2369" t="n">
        <v>2.2109</v>
      </c>
      <c r="Z133" s="2365" t="n"/>
      <c r="AA133" s="2365" t="n"/>
      <c r="AB133" s="2365" t="n"/>
      <c r="AC133" s="2365" t="n"/>
      <c r="AD133" s="2365" t="n"/>
      <c r="AE133" s="2365" t="n"/>
      <c r="AF133" s="2369" t="n">
        <v>1.5784</v>
      </c>
      <c r="AG133" s="2369" t="n">
        <v>0.4882</v>
      </c>
      <c r="AH133" s="2369" t="n">
        <v>4.8338</v>
      </c>
      <c r="AI133" s="2369" t="n">
        <v>1.9805</v>
      </c>
      <c r="AJ133" s="2369" t="n">
        <v>6.8143</v>
      </c>
      <c r="AK133" s="2369" t="n">
        <v>6.4493</v>
      </c>
      <c r="AL133" s="2365" t="n"/>
      <c r="AM133" s="2368" t="inlineStr">
        <is>
          <t>Actual 2023; 9 tenants small multi-tenant office; approx total OPX/NOI</t>
        </is>
      </c>
    </row>
    <row r="134" ht="14.1" customHeight="1" s="1449">
      <c r="A134" s="2365" t="inlineStr">
        <is>
          <t>P067</t>
        </is>
      </c>
      <c r="B134" s="2338" t="n">
        <v>344</v>
      </c>
      <c r="C134" s="2365" t="inlineStr">
        <is>
          <t>R0189338</t>
        </is>
      </c>
      <c r="D134" s="2365" t="inlineStr">
        <is>
          <t>203 Telluride St</t>
        </is>
      </c>
      <c r="E134" s="2365" t="inlineStr">
        <is>
          <t>Aurora</t>
        </is>
      </c>
      <c r="F134" s="2365" t="inlineStr">
        <is>
          <t>CO</t>
        </is>
      </c>
      <c r="G134" s="2365" t="inlineStr">
        <is>
          <t>Office</t>
        </is>
      </c>
      <c r="H134" s="2365" t="inlineStr">
        <is>
          <t>Multi-Tenant Office</t>
        </is>
      </c>
      <c r="I134" s="2366" t="n"/>
      <c r="J134" s="2366" t="n"/>
      <c r="K134" s="2366" t="n">
        <v>2023</v>
      </c>
      <c r="L134" s="2367" t="n">
        <v>326779</v>
      </c>
      <c r="M134" s="2365" t="n"/>
      <c r="N134" s="2367" t="n">
        <v>315661</v>
      </c>
      <c r="O134" s="2365" t="n"/>
      <c r="P134" s="2365" t="n"/>
      <c r="Q134" s="2365" t="n"/>
      <c r="R134" s="2365" t="n"/>
      <c r="S134" s="2365" t="n"/>
      <c r="T134" s="2365" t="n"/>
      <c r="U134" s="2365" t="n"/>
      <c r="V134" s="2365" t="n"/>
      <c r="W134" s="2365" t="n"/>
      <c r="X134" s="2365" t="n"/>
      <c r="Y134" s="2365" t="n"/>
      <c r="Z134" s="2365" t="n"/>
      <c r="AA134" s="2367" t="n">
        <v>16009</v>
      </c>
      <c r="AB134" s="2365" t="n"/>
      <c r="AC134" s="2365" t="n"/>
      <c r="AD134" s="2365" t="n"/>
      <c r="AE134" s="2365" t="n"/>
      <c r="AF134" s="2365" t="n"/>
      <c r="AG134" s="2365" t="n"/>
      <c r="AH134" s="2367" t="n">
        <v>78034</v>
      </c>
      <c r="AI134" s="2367" t="n">
        <v>66966</v>
      </c>
      <c r="AJ134" s="2367" t="n">
        <v>145000</v>
      </c>
      <c r="AK134" s="2367" t="n">
        <v>170661</v>
      </c>
      <c r="AL134" s="2365" t="n"/>
      <c r="AM134" s="2368" t="inlineStr">
        <is>
          <t>[NO SF] Actual 2023; SF not stated; approx total OPX</t>
        </is>
      </c>
    </row>
    <row r="135" ht="14.1" customHeight="1" s="1449">
      <c r="A135" s="2365" t="inlineStr">
        <is>
          <t>P067</t>
        </is>
      </c>
      <c r="B135" s="2338" t="n">
        <v>344</v>
      </c>
      <c r="C135" s="2365" t="inlineStr">
        <is>
          <t>R0189338</t>
        </is>
      </c>
      <c r="D135" s="2365" t="inlineStr">
        <is>
          <t>203 Telluride St</t>
        </is>
      </c>
      <c r="E135" s="2365" t="inlineStr">
        <is>
          <t>Aurora</t>
        </is>
      </c>
      <c r="F135" s="2365" t="inlineStr">
        <is>
          <t>CO</t>
        </is>
      </c>
      <c r="G135" s="2365" t="inlineStr">
        <is>
          <t>Office</t>
        </is>
      </c>
      <c r="H135" s="2365" t="inlineStr">
        <is>
          <t>Multi-Tenant Office</t>
        </is>
      </c>
      <c r="I135" s="2366" t="n"/>
      <c r="J135" s="2366" t="n"/>
      <c r="K135" s="2366" t="n">
        <v>2024</v>
      </c>
      <c r="L135" s="2367" t="n">
        <v>357674</v>
      </c>
      <c r="M135" s="2365" t="n"/>
      <c r="N135" s="2367" t="n">
        <v>335977</v>
      </c>
      <c r="O135" s="2367" t="n">
        <v>9791</v>
      </c>
      <c r="P135" s="2367" t="n">
        <v>7884</v>
      </c>
      <c r="Q135" s="2365" t="n"/>
      <c r="R135" s="2365" t="n"/>
      <c r="S135" s="2365" t="n"/>
      <c r="T135" s="2365" t="n"/>
      <c r="U135" s="2365" t="n"/>
      <c r="V135" s="2365" t="n"/>
      <c r="W135" s="2365" t="n"/>
      <c r="X135" s="2367" t="n">
        <v>41510</v>
      </c>
      <c r="Y135" s="2367" t="n">
        <v>41510</v>
      </c>
      <c r="Z135" s="2365" t="n"/>
      <c r="AA135" s="2367" t="n">
        <v>12092</v>
      </c>
      <c r="AB135" s="2365" t="n"/>
      <c r="AC135" s="2365" t="n"/>
      <c r="AD135" s="2365" t="n"/>
      <c r="AE135" s="2365" t="n"/>
      <c r="AF135" s="2367" t="n">
        <v>9302</v>
      </c>
      <c r="AG135" s="2367" t="n">
        <v>10772</v>
      </c>
      <c r="AH135" s="2367" t="n">
        <v>109544</v>
      </c>
      <c r="AI135" s="2367" t="n">
        <v>68307</v>
      </c>
      <c r="AJ135" s="2367" t="n">
        <v>177851</v>
      </c>
      <c r="AK135" s="2367" t="n">
        <v>158126</v>
      </c>
      <c r="AL135" s="2365" t="n"/>
      <c r="AM135" s="2368" t="inlineStr">
        <is>
          <t>[NO SF] Actual 2024; SF not stated</t>
        </is>
      </c>
    </row>
    <row r="136" ht="14.1" customHeight="1" s="1449">
      <c r="A136" s="2365" t="inlineStr">
        <is>
          <t>P068</t>
        </is>
      </c>
      <c r="B136" s="2338" t="n">
        <v>344</v>
      </c>
      <c r="C136" s="2365" t="inlineStr">
        <is>
          <t>R0193830</t>
        </is>
      </c>
      <c r="D136" s="2365" t="inlineStr">
        <is>
          <t>Justice Center Office Plaza</t>
        </is>
      </c>
      <c r="E136" s="2365" t="inlineStr">
        <is>
          <t>Denver</t>
        </is>
      </c>
      <c r="F136" s="2365" t="inlineStr">
        <is>
          <t>CO</t>
        </is>
      </c>
      <c r="G136" s="2365" t="inlineStr">
        <is>
          <t>Office</t>
        </is>
      </c>
      <c r="H136" s="2365" t="inlineStr">
        <is>
          <t>Multi-Tenant Office NNN</t>
        </is>
      </c>
      <c r="I136" s="2366" t="n"/>
      <c r="J136" s="2366" t="n">
        <v>41979</v>
      </c>
      <c r="K136" s="2366" t="n">
        <v>2023</v>
      </c>
      <c r="L136" s="2369" t="n">
        <v>23.2395</v>
      </c>
      <c r="M136" s="2365" t="n"/>
      <c r="N136" s="2369" t="n">
        <v>32.1906</v>
      </c>
      <c r="O136" s="2369" t="n">
        <v>0.7301</v>
      </c>
      <c r="P136" s="2369" t="n">
        <v>2.0601</v>
      </c>
      <c r="Q136" s="2365" t="n"/>
      <c r="R136" s="2365" t="n"/>
      <c r="S136" s="2365" t="n"/>
      <c r="T136" s="2365" t="n"/>
      <c r="U136" s="2365" t="n"/>
      <c r="V136" s="2365" t="n"/>
      <c r="W136" s="2365" t="n"/>
      <c r="X136" s="2369" t="n">
        <v>3.2415</v>
      </c>
      <c r="Y136" s="2369" t="n">
        <v>3.2415</v>
      </c>
      <c r="Z136" s="2365" t="n"/>
      <c r="AA136" s="2365" t="n"/>
      <c r="AB136" s="2365" t="n"/>
      <c r="AC136" s="2365" t="n"/>
      <c r="AD136" s="2365" t="n"/>
      <c r="AE136" s="2365" t="n"/>
      <c r="AF136" s="2369" t="n">
        <v>3.4458</v>
      </c>
      <c r="AG136" s="2369" t="n">
        <v>0.5937</v>
      </c>
      <c r="AH136" s="2369" t="n">
        <v>10.0688</v>
      </c>
      <c r="AI136" s="2369" t="n">
        <v>2.0543</v>
      </c>
      <c r="AJ136" s="2369" t="n">
        <v>12.123</v>
      </c>
      <c r="AK136" s="2369" t="n">
        <v>20.0676</v>
      </c>
      <c r="AL136" s="2365" t="n"/>
      <c r="AM136" s="2368" t="inlineStr">
        <is>
          <t>Actual accrual; govt tenants; 100% occ NNN; special assessments in Other</t>
        </is>
      </c>
    </row>
    <row r="137" ht="14.1" customHeight="1" s="1449">
      <c r="A137" s="2365" t="inlineStr">
        <is>
          <t>P068</t>
        </is>
      </c>
      <c r="B137" s="2338" t="n">
        <v>344</v>
      </c>
      <c r="C137" s="2365" t="inlineStr">
        <is>
          <t>R0193830</t>
        </is>
      </c>
      <c r="D137" s="2365" t="inlineStr">
        <is>
          <t>Justice Center Office Plaza</t>
        </is>
      </c>
      <c r="E137" s="2365" t="inlineStr">
        <is>
          <t>Denver</t>
        </is>
      </c>
      <c r="F137" s="2365" t="inlineStr">
        <is>
          <t>CO</t>
        </is>
      </c>
      <c r="G137" s="2365" t="inlineStr">
        <is>
          <t>Office</t>
        </is>
      </c>
      <c r="H137" s="2365" t="inlineStr">
        <is>
          <t>Multi-Tenant Office NNN</t>
        </is>
      </c>
      <c r="I137" s="2366" t="n"/>
      <c r="J137" s="2366" t="n">
        <v>41979</v>
      </c>
      <c r="K137" s="2366" t="n">
        <v>2024</v>
      </c>
      <c r="L137" s="2369" t="n">
        <v>20.4556</v>
      </c>
      <c r="M137" s="2365" t="n"/>
      <c r="N137" s="2369" t="n">
        <v>33.188</v>
      </c>
      <c r="O137" s="2369" t="n">
        <v>0.8289</v>
      </c>
      <c r="P137" s="2369" t="n">
        <v>2.1306</v>
      </c>
      <c r="Q137" s="2365" t="n"/>
      <c r="R137" s="2365" t="n"/>
      <c r="S137" s="2365" t="n"/>
      <c r="T137" s="2365" t="n"/>
      <c r="U137" s="2365" t="n"/>
      <c r="V137" s="2365" t="n"/>
      <c r="W137" s="2365" t="n"/>
      <c r="X137" s="2369" t="n">
        <v>2.7757</v>
      </c>
      <c r="Y137" s="2369" t="n">
        <v>2.7757</v>
      </c>
      <c r="Z137" s="2365" t="n"/>
      <c r="AA137" s="2365" t="n"/>
      <c r="AB137" s="2365" t="n"/>
      <c r="AC137" s="2365" t="n"/>
      <c r="AD137" s="2365" t="n"/>
      <c r="AE137" s="2365" t="n"/>
      <c r="AF137" s="2369" t="n">
        <v>3.5734</v>
      </c>
      <c r="AG137" s="2369" t="n">
        <v>0.7077</v>
      </c>
      <c r="AH137" s="2369" t="n">
        <v>10.1354</v>
      </c>
      <c r="AI137" s="2369" t="n">
        <v>2.0662</v>
      </c>
      <c r="AJ137" s="2369" t="n">
        <v>12.2016</v>
      </c>
      <c r="AK137" s="2369" t="n">
        <v>20.9864</v>
      </c>
      <c r="AL137" s="2365" t="n"/>
      <c r="AM137" s="2368" t="inlineStr">
        <is>
          <t>Actual accrual; govt tenants; 100% occ NNN; special assessments in Other</t>
        </is>
      </c>
    </row>
    <row r="138" ht="14.1" customHeight="1" s="1449">
      <c r="A138" s="2365" t="inlineStr">
        <is>
          <t>P069</t>
        </is>
      </c>
      <c r="B138" s="2338" t="n">
        <v>210</v>
      </c>
      <c r="C138" s="2365" t="inlineStr">
        <is>
          <t>R0098223</t>
        </is>
      </c>
      <c r="D138" s="2365" t="inlineStr">
        <is>
          <t>Washington Commerce Center</t>
        </is>
      </c>
      <c r="E138" s="2365" t="inlineStr">
        <is>
          <t>Commerce City</t>
        </is>
      </c>
      <c r="F138" s="2365" t="inlineStr">
        <is>
          <t>CO</t>
        </is>
      </c>
      <c r="G138" s="2365" t="inlineStr">
        <is>
          <t>Office/Industrial</t>
        </is>
      </c>
      <c r="H138" s="2365" t="inlineStr">
        <is>
          <t>Multi-Tenant Office/Industrial</t>
        </is>
      </c>
      <c r="I138" s="2366" t="n"/>
      <c r="J138" s="2366" t="n">
        <v>278538</v>
      </c>
      <c r="K138" s="2366" t="n">
        <v>2023</v>
      </c>
      <c r="L138" s="2369" t="n">
        <v>5.8736</v>
      </c>
      <c r="M138" s="2365" t="n"/>
      <c r="N138" s="2369" t="n">
        <v>5.7822</v>
      </c>
      <c r="O138" s="2369" t="n">
        <v>0.0183</v>
      </c>
      <c r="P138" s="2369" t="n">
        <v>0.0788</v>
      </c>
      <c r="Q138" s="2365" t="n"/>
      <c r="R138" s="2365" t="n"/>
      <c r="S138" s="2365" t="n"/>
      <c r="T138" s="2365" t="n"/>
      <c r="U138" s="2365" t="n"/>
      <c r="V138" s="2365" t="n"/>
      <c r="W138" s="2365" t="n"/>
      <c r="X138" s="2369" t="n">
        <v>0.9203</v>
      </c>
      <c r="Y138" s="2369" t="n">
        <v>0.9203</v>
      </c>
      <c r="Z138" s="2365" t="n"/>
      <c r="AA138" s="2369" t="n">
        <v>0.2083</v>
      </c>
      <c r="AB138" s="2369" t="n">
        <v>0.0116</v>
      </c>
      <c r="AC138" s="2369" t="n">
        <v>0.2199</v>
      </c>
      <c r="AD138" s="2365" t="n"/>
      <c r="AE138" s="2365" t="n"/>
      <c r="AF138" s="2369" t="n">
        <v>0.1146</v>
      </c>
      <c r="AG138" s="2365" t="n"/>
      <c r="AH138" s="2369" t="n">
        <v>1.3485</v>
      </c>
      <c r="AI138" s="2369" t="n">
        <v>0</v>
      </c>
      <c r="AJ138" s="2369" t="n">
        <v>1.3485</v>
      </c>
      <c r="AK138" s="2369" t="n">
        <v>0.2751</v>
      </c>
      <c r="AL138" s="2365" t="n"/>
      <c r="AM138" s="2368" t="inlineStr">
        <is>
          <t>Actual; tenants pay RE tax; high R&amp;M 2023 ($127k major maint); SF est.</t>
        </is>
      </c>
    </row>
    <row r="139" ht="14.1" customHeight="1" s="1449">
      <c r="A139" s="2365" t="inlineStr">
        <is>
          <t>P069</t>
        </is>
      </c>
      <c r="B139" s="2338" t="n">
        <v>210</v>
      </c>
      <c r="C139" s="2365" t="inlineStr">
        <is>
          <t>R0098223</t>
        </is>
      </c>
      <c r="D139" s="2365" t="inlineStr">
        <is>
          <t>Washington Commerce Center</t>
        </is>
      </c>
      <c r="E139" s="2365" t="inlineStr">
        <is>
          <t>Commerce City</t>
        </is>
      </c>
      <c r="F139" s="2365" t="inlineStr">
        <is>
          <t>CO</t>
        </is>
      </c>
      <c r="G139" s="2365" t="inlineStr">
        <is>
          <t>Office/Industrial</t>
        </is>
      </c>
      <c r="H139" s="2365" t="inlineStr">
        <is>
          <t>Multi-Tenant Office/Industrial</t>
        </is>
      </c>
      <c r="I139" s="2366" t="n"/>
      <c r="J139" s="2366" t="n">
        <v>278538</v>
      </c>
      <c r="K139" s="2366" t="n">
        <v>2024</v>
      </c>
      <c r="L139" s="2369" t="n">
        <v>5.4604</v>
      </c>
      <c r="M139" s="2365" t="n"/>
      <c r="N139" s="2369" t="n">
        <v>5.4604</v>
      </c>
      <c r="O139" s="2369" t="n">
        <v>0.032</v>
      </c>
      <c r="P139" s="2369" t="n">
        <v>0.09180000000000001</v>
      </c>
      <c r="Q139" s="2365" t="n"/>
      <c r="R139" s="2365" t="n"/>
      <c r="S139" s="2365" t="n"/>
      <c r="T139" s="2365" t="n"/>
      <c r="U139" s="2365" t="n"/>
      <c r="V139" s="2365" t="n"/>
      <c r="W139" s="2365" t="n"/>
      <c r="X139" s="2369" t="n">
        <v>0.4497</v>
      </c>
      <c r="Y139" s="2369" t="n">
        <v>0.4497</v>
      </c>
      <c r="Z139" s="2365" t="n"/>
      <c r="AA139" s="2369" t="n">
        <v>0.2083</v>
      </c>
      <c r="AB139" s="2369" t="n">
        <v>0.0357</v>
      </c>
      <c r="AC139" s="2369" t="n">
        <v>0.2441</v>
      </c>
      <c r="AD139" s="2365" t="n"/>
      <c r="AE139" s="2365" t="n"/>
      <c r="AF139" s="2369" t="n">
        <v>0.1146</v>
      </c>
      <c r="AG139" s="2365" t="n"/>
      <c r="AH139" s="2369" t="n">
        <v>0.9322</v>
      </c>
      <c r="AI139" s="2369" t="n">
        <v>0</v>
      </c>
      <c r="AJ139" s="2369" t="n">
        <v>0.9322</v>
      </c>
      <c r="AK139" s="2369" t="n">
        <v>0.3374</v>
      </c>
      <c r="AL139" s="2365" t="n"/>
      <c r="AM139" s="2368" t="inlineStr">
        <is>
          <t>Actual; tenants pay RE tax; lower R&amp;M 2024; SF est.</t>
        </is>
      </c>
    </row>
    <row r="140" ht="14.1" customHeight="1" s="1449">
      <c r="A140" s="2358" t="inlineStr">
        <is>
          <t>P070</t>
        </is>
      </c>
      <c r="B140" s="2338" t="n">
        <v>210</v>
      </c>
      <c r="C140" s="2358" t="inlineStr">
        <is>
          <t>R0084242</t>
        </is>
      </c>
      <c r="D140" s="2358" t="inlineStr">
        <is>
          <t>Upland Dist Ctr I (Bldg 1)</t>
        </is>
      </c>
      <c r="E140" s="2358" t="inlineStr">
        <is>
          <t>Aurora</t>
        </is>
      </c>
      <c r="F140" s="2358" t="inlineStr">
        <is>
          <t>CO</t>
        </is>
      </c>
      <c r="G140" s="2358" t="inlineStr">
        <is>
          <t>Industrial</t>
        </is>
      </c>
      <c r="H140" s="2358" t="inlineStr">
        <is>
          <t>Multi-Tenant Industrial NNN</t>
        </is>
      </c>
      <c r="I140" s="2359" t="n"/>
      <c r="J140" s="2359" t="n"/>
      <c r="K140" s="2359" t="n">
        <v>2024</v>
      </c>
      <c r="L140" s="2370" t="n">
        <v>693913</v>
      </c>
      <c r="M140" s="2358" t="n"/>
      <c r="N140" s="2370" t="n">
        <v>1038740</v>
      </c>
      <c r="O140" s="2370" t="n">
        <v>10142</v>
      </c>
      <c r="P140" s="2370" t="n">
        <v>11589</v>
      </c>
      <c r="Q140" s="2358" t="n"/>
      <c r="R140" s="2358" t="n"/>
      <c r="S140" s="2370" t="n">
        <v>10801</v>
      </c>
      <c r="T140" s="2370" t="n">
        <v>2121</v>
      </c>
      <c r="U140" s="2358" t="n"/>
      <c r="V140" s="2358" t="n"/>
      <c r="W140" s="2358" t="n"/>
      <c r="X140" s="2370" t="n">
        <v>1602</v>
      </c>
      <c r="Y140" s="2370" t="n">
        <v>14524</v>
      </c>
      <c r="Z140" s="2358" t="n"/>
      <c r="AA140" s="2370" t="n">
        <v>10822</v>
      </c>
      <c r="AB140" s="2370" t="n">
        <v>32162</v>
      </c>
      <c r="AC140" s="2370" t="n">
        <v>3096</v>
      </c>
      <c r="AD140" s="2370" t="n">
        <v>10863</v>
      </c>
      <c r="AE140" s="2358" t="n"/>
      <c r="AF140" s="2370" t="n">
        <v>10863</v>
      </c>
      <c r="AG140" s="2358" t="n"/>
      <c r="AH140" s="2370" t="n">
        <v>103843</v>
      </c>
      <c r="AI140" s="2370" t="n">
        <v>285245</v>
      </c>
      <c r="AJ140" s="2370" t="n">
        <v>389088</v>
      </c>
      <c r="AK140" s="2370" t="n">
        <v>649652</v>
      </c>
      <c r="AL140" s="2358" t="n"/>
      <c r="AM140" s="2361" t="inlineStr">
        <is>
          <t>[NO SF] Link Logistics actual accrual; security $3,096 in contract; mgmt non-billable</t>
        </is>
      </c>
    </row>
    <row r="141" ht="14.1" customHeight="1" s="1449">
      <c r="A141" s="2339" t="inlineStr">
        <is>
          <t>P070</t>
        </is>
      </c>
      <c r="B141" s="2338" t="n">
        <v>210</v>
      </c>
      <c r="C141" s="2339" t="inlineStr">
        <is>
          <t>R0084242</t>
        </is>
      </c>
      <c r="D141" s="2339" t="inlineStr">
        <is>
          <t>Upland Dist Ctr I (Bldg 1)</t>
        </is>
      </c>
      <c r="E141" s="2339" t="inlineStr">
        <is>
          <t>Aurora</t>
        </is>
      </c>
      <c r="F141" s="2339" t="inlineStr">
        <is>
          <t>CO</t>
        </is>
      </c>
      <c r="G141" s="2339" t="inlineStr">
        <is>
          <t>Industrial</t>
        </is>
      </c>
      <c r="H141" s="2339" t="inlineStr">
        <is>
          <t>Multi-Tenant Industrial NNN</t>
        </is>
      </c>
      <c r="I141" s="2362" t="n"/>
      <c r="J141" s="2362" t="n"/>
      <c r="K141" s="2362" t="n">
        <v>2023</v>
      </c>
      <c r="L141" s="2371" t="n">
        <v>636291</v>
      </c>
      <c r="M141" s="2339" t="n"/>
      <c r="N141" s="2371" t="n">
        <v>1062200</v>
      </c>
      <c r="O141" s="2371" t="n">
        <v>7751</v>
      </c>
      <c r="P141" s="2371" t="n">
        <v>9831</v>
      </c>
      <c r="Q141" s="2339" t="n"/>
      <c r="R141" s="2339" t="n"/>
      <c r="S141" s="2371" t="n">
        <v>6802</v>
      </c>
      <c r="T141" s="2371" t="n">
        <v>2340</v>
      </c>
      <c r="U141" s="2339" t="n"/>
      <c r="V141" s="2339" t="n"/>
      <c r="W141" s="2339" t="n"/>
      <c r="X141" s="2371" t="n">
        <v>1498</v>
      </c>
      <c r="Y141" s="2371" t="n">
        <v>10640</v>
      </c>
      <c r="Z141" s="2339" t="n"/>
      <c r="AA141" s="2371" t="n">
        <v>12695</v>
      </c>
      <c r="AB141" s="2371" t="n">
        <v>15327</v>
      </c>
      <c r="AC141" s="2371" t="n">
        <v>3871</v>
      </c>
      <c r="AD141" s="2371" t="n">
        <v>18104</v>
      </c>
      <c r="AE141" s="2339" t="n"/>
      <c r="AF141" s="2371" t="n">
        <v>18104</v>
      </c>
      <c r="AG141" s="2339" t="n"/>
      <c r="AH141" s="2371" t="n">
        <v>93172</v>
      </c>
      <c r="AI141" s="2371" t="n">
        <v>284308</v>
      </c>
      <c r="AJ141" s="2371" t="n">
        <v>377480</v>
      </c>
      <c r="AK141" s="2371" t="n">
        <v>684720</v>
      </c>
      <c r="AL141" s="2339" t="n"/>
      <c r="AM141" s="2364" t="inlineStr">
        <is>
          <t>[NO SF] Link Logistics actual accrual; security $3,871 in contract; mgmt non-billable</t>
        </is>
      </c>
    </row>
    <row r="142" ht="14.1" customHeight="1" s="1449">
      <c r="A142" s="2358" t="inlineStr">
        <is>
          <t>P071</t>
        </is>
      </c>
      <c r="B142" s="2338" t="n">
        <v>210</v>
      </c>
      <c r="C142" s="2358" t="inlineStr">
        <is>
          <t>R0084243</t>
        </is>
      </c>
      <c r="D142" s="2358" t="inlineStr">
        <is>
          <t>Upland Dist Ctr I (Bldg 2)</t>
        </is>
      </c>
      <c r="E142" s="2358" t="inlineStr">
        <is>
          <t>Aurora</t>
        </is>
      </c>
      <c r="F142" s="2358" t="inlineStr">
        <is>
          <t>CO</t>
        </is>
      </c>
      <c r="G142" s="2358" t="inlineStr">
        <is>
          <t>Industrial</t>
        </is>
      </c>
      <c r="H142" s="2358" t="inlineStr">
        <is>
          <t>Multi-Tenant Industrial NNN</t>
        </is>
      </c>
      <c r="I142" s="2359" t="n"/>
      <c r="J142" s="2359" t="n"/>
      <c r="K142" s="2359" t="n">
        <v>2024</v>
      </c>
      <c r="L142" s="2370" t="n">
        <v>559154</v>
      </c>
      <c r="M142" s="2358" t="n"/>
      <c r="N142" s="2370" t="n">
        <v>904777</v>
      </c>
      <c r="O142" s="2370" t="n">
        <v>9318</v>
      </c>
      <c r="P142" s="2370" t="n">
        <v>8966</v>
      </c>
      <c r="Q142" s="2358" t="n"/>
      <c r="R142" s="2358" t="n"/>
      <c r="S142" s="2370" t="n">
        <v>5962</v>
      </c>
      <c r="T142" s="2370" t="n">
        <v>2221</v>
      </c>
      <c r="U142" s="2370" t="n">
        <v>2465</v>
      </c>
      <c r="V142" s="2358" t="n"/>
      <c r="W142" s="2358" t="n"/>
      <c r="X142" s="2370" t="n">
        <v>1589</v>
      </c>
      <c r="Y142" s="2370" t="n">
        <v>12237</v>
      </c>
      <c r="Z142" s="2358" t="n"/>
      <c r="AA142" s="2370" t="n">
        <v>11302</v>
      </c>
      <c r="AB142" s="2370" t="n">
        <v>32413</v>
      </c>
      <c r="AC142" s="2370" t="n">
        <v>3096</v>
      </c>
      <c r="AD142" s="2370" t="n">
        <v>23773</v>
      </c>
      <c r="AE142" s="2358" t="n"/>
      <c r="AF142" s="2370" t="n">
        <v>23773</v>
      </c>
      <c r="AG142" s="2358" t="n"/>
      <c r="AH142" s="2370" t="n">
        <v>130296</v>
      </c>
      <c r="AI142" s="2370" t="n">
        <v>265848</v>
      </c>
      <c r="AJ142" s="2370" t="n">
        <v>396144</v>
      </c>
      <c r="AK142" s="2370" t="n">
        <v>508633</v>
      </c>
      <c r="AL142" s="2358" t="n"/>
      <c r="AM142" s="2361" t="inlineStr">
        <is>
          <t>[NO SF] Link Logistics actual accrual</t>
        </is>
      </c>
    </row>
    <row r="143" ht="14.1" customHeight="1" s="1449">
      <c r="A143" s="2339" t="inlineStr">
        <is>
          <t>P071</t>
        </is>
      </c>
      <c r="B143" s="2338" t="n">
        <v>210</v>
      </c>
      <c r="C143" s="2339" t="inlineStr">
        <is>
          <t>R0084243</t>
        </is>
      </c>
      <c r="D143" s="2339" t="inlineStr">
        <is>
          <t>Upland Dist Ctr I (Bldg 2)</t>
        </is>
      </c>
      <c r="E143" s="2339" t="inlineStr">
        <is>
          <t>Aurora</t>
        </is>
      </c>
      <c r="F143" s="2339" t="inlineStr">
        <is>
          <t>CO</t>
        </is>
      </c>
      <c r="G143" s="2339" t="inlineStr">
        <is>
          <t>Industrial</t>
        </is>
      </c>
      <c r="H143" s="2339" t="inlineStr">
        <is>
          <t>Multi-Tenant Industrial NNN</t>
        </is>
      </c>
      <c r="I143" s="2362" t="n"/>
      <c r="J143" s="2362" t="n"/>
      <c r="K143" s="2362" t="n">
        <v>2023</v>
      </c>
      <c r="L143" s="2371" t="n">
        <v>671895</v>
      </c>
      <c r="M143" s="2339" t="n"/>
      <c r="N143" s="2371" t="n">
        <v>1034507</v>
      </c>
      <c r="O143" s="2371" t="n">
        <v>7124</v>
      </c>
      <c r="P143" s="2371" t="n">
        <v>9660</v>
      </c>
      <c r="Q143" s="2339" t="n"/>
      <c r="R143" s="2339" t="n"/>
      <c r="S143" s="2371" t="n">
        <v>5338</v>
      </c>
      <c r="T143" s="2371" t="n">
        <v>2480</v>
      </c>
      <c r="U143" s="2371" t="n">
        <v>875</v>
      </c>
      <c r="V143" s="2339" t="n"/>
      <c r="W143" s="2339" t="n"/>
      <c r="X143" s="2371" t="n">
        <v>1484</v>
      </c>
      <c r="Y143" s="2371" t="n">
        <v>10177</v>
      </c>
      <c r="Z143" s="2339" t="n"/>
      <c r="AA143" s="2371" t="n">
        <v>8120</v>
      </c>
      <c r="AB143" s="2371" t="n">
        <v>15088</v>
      </c>
      <c r="AC143" s="2371" t="n">
        <v>3871</v>
      </c>
      <c r="AD143" s="2371" t="n">
        <v>13983</v>
      </c>
      <c r="AE143" s="2339" t="n"/>
      <c r="AF143" s="2371" t="n">
        <v>13983</v>
      </c>
      <c r="AG143" s="2339" t="n"/>
      <c r="AH143" s="2371" t="n">
        <v>29277</v>
      </c>
      <c r="AI143" s="2371" t="n">
        <v>265936</v>
      </c>
      <c r="AJ143" s="2371" t="n">
        <v>295213</v>
      </c>
      <c r="AK143" s="2371" t="n">
        <v>739294</v>
      </c>
      <c r="AL143" s="2339" t="n"/>
      <c r="AM143" s="2364" t="inlineStr">
        <is>
          <t>[NO SF] Link Logistics actual accrual</t>
        </is>
      </c>
    </row>
    <row r="144" ht="14.1" customHeight="1" s="1449">
      <c r="A144" s="2358" t="inlineStr">
        <is>
          <t>P072</t>
        </is>
      </c>
      <c r="B144" s="2338" t="n">
        <v>210</v>
      </c>
      <c r="C144" s="2358" t="inlineStr">
        <is>
          <t>R0084244</t>
        </is>
      </c>
      <c r="D144" s="2358" t="inlineStr">
        <is>
          <t>Upland Dist Ctr I (Bldg 3)</t>
        </is>
      </c>
      <c r="E144" s="2358" t="inlineStr">
        <is>
          <t>Aurora</t>
        </is>
      </c>
      <c r="F144" s="2358" t="inlineStr">
        <is>
          <t>CO</t>
        </is>
      </c>
      <c r="G144" s="2358" t="inlineStr">
        <is>
          <t>Industrial</t>
        </is>
      </c>
      <c r="H144" s="2358" t="inlineStr">
        <is>
          <t>Multi-Tenant Industrial NNN</t>
        </is>
      </c>
      <c r="I144" s="2359" t="n"/>
      <c r="J144" s="2359" t="n"/>
      <c r="K144" s="2359" t="n">
        <v>2023</v>
      </c>
      <c r="L144" s="2370" t="n">
        <v>633240</v>
      </c>
      <c r="M144" s="2358" t="n"/>
      <c r="N144" s="2370" t="n">
        <v>1026818</v>
      </c>
      <c r="O144" s="2370" t="n">
        <v>6101</v>
      </c>
      <c r="P144" s="2370" t="n">
        <v>8518</v>
      </c>
      <c r="Q144" s="2358" t="n"/>
      <c r="R144" s="2358" t="n"/>
      <c r="S144" s="2370" t="n">
        <v>32990</v>
      </c>
      <c r="T144" s="2370" t="n">
        <v>1965</v>
      </c>
      <c r="U144" s="2358" t="n"/>
      <c r="V144" s="2358" t="n"/>
      <c r="W144" s="2358" t="n"/>
      <c r="X144" s="2370" t="n">
        <v>1498</v>
      </c>
      <c r="Y144" s="2370" t="n">
        <v>34453</v>
      </c>
      <c r="Z144" s="2358" t="n"/>
      <c r="AA144" s="2370" t="n">
        <v>11861</v>
      </c>
      <c r="AB144" s="2370" t="n">
        <v>15620</v>
      </c>
      <c r="AC144" s="2370" t="n">
        <v>3871</v>
      </c>
      <c r="AD144" s="2370" t="n">
        <v>5672</v>
      </c>
      <c r="AE144" s="2370" t="n">
        <v>3430</v>
      </c>
      <c r="AF144" s="2370" t="n">
        <v>9102</v>
      </c>
      <c r="AG144" s="2358" t="n"/>
      <c r="AH144" s="2370" t="n">
        <v>107544</v>
      </c>
      <c r="AI144" s="2370" t="n">
        <v>284308</v>
      </c>
      <c r="AJ144" s="2370" t="n">
        <v>391852</v>
      </c>
      <c r="AK144" s="2370" t="n">
        <v>634966</v>
      </c>
      <c r="AL144" s="2358" t="n"/>
      <c r="AM144" s="2361" t="inlineStr">
        <is>
          <t>[NO SF] Link Logistics 2023 only; large warehouse; notable free rent ($111k) and lease-up period</t>
        </is>
      </c>
    </row>
    <row r="145" ht="14.1" customHeight="1" s="1449">
      <c r="A145" s="2339" t="inlineStr">
        <is>
          <t>P073</t>
        </is>
      </c>
      <c r="B145" s="2338" t="n">
        <v>210</v>
      </c>
      <c r="C145" s="2339" t="inlineStr">
        <is>
          <t>R0084247</t>
        </is>
      </c>
      <c r="D145" s="2339" t="inlineStr">
        <is>
          <t>13802 E 33rd Place</t>
        </is>
      </c>
      <c r="E145" s="2339" t="inlineStr">
        <is>
          <t>Aurora</t>
        </is>
      </c>
      <c r="F145" s="2339" t="inlineStr">
        <is>
          <t>CO</t>
        </is>
      </c>
      <c r="G145" s="2339" t="inlineStr">
        <is>
          <t>Industrial</t>
        </is>
      </c>
      <c r="H145" s="2339" t="inlineStr">
        <is>
          <t>Multi-Tenant Industrial NNN</t>
        </is>
      </c>
      <c r="I145" s="2362" t="n"/>
      <c r="J145" s="2362" t="n"/>
      <c r="K145" s="2362" t="n">
        <v>2024</v>
      </c>
      <c r="L145" s="2371" t="n">
        <v>318721</v>
      </c>
      <c r="M145" s="2339" t="n"/>
      <c r="N145" s="2371" t="n">
        <v>578332</v>
      </c>
      <c r="O145" s="2371" t="n">
        <v>7156</v>
      </c>
      <c r="P145" s="2371" t="n">
        <v>5471</v>
      </c>
      <c r="Q145" s="2339" t="n"/>
      <c r="R145" s="2339" t="n"/>
      <c r="S145" s="2371" t="n">
        <v>8874</v>
      </c>
      <c r="T145" s="2371" t="n">
        <v>1655</v>
      </c>
      <c r="U145" s="2339" t="n"/>
      <c r="V145" s="2339" t="n"/>
      <c r="W145" s="2339" t="n"/>
      <c r="X145" s="2371" t="n">
        <v>1556</v>
      </c>
      <c r="Y145" s="2371" t="n">
        <v>12085</v>
      </c>
      <c r="Z145" s="2339" t="n"/>
      <c r="AA145" s="2371" t="n">
        <v>9686</v>
      </c>
      <c r="AB145" s="2371" t="n">
        <v>20653</v>
      </c>
      <c r="AC145" s="2371" t="n">
        <v>6987</v>
      </c>
      <c r="AD145" s="2371" t="n">
        <v>10547</v>
      </c>
      <c r="AE145" s="2371" t="n">
        <v>1600</v>
      </c>
      <c r="AF145" s="2371" t="n">
        <v>12147</v>
      </c>
      <c r="AG145" s="2339" t="n"/>
      <c r="AH145" s="2371" t="n">
        <v>91002</v>
      </c>
      <c r="AI145" s="2371" t="n">
        <v>204010</v>
      </c>
      <c r="AJ145" s="2371" t="n">
        <v>295012</v>
      </c>
      <c r="AK145" s="2371" t="n">
        <v>283320</v>
      </c>
      <c r="AL145" s="2339" t="n"/>
      <c r="AM145" s="2364" t="inlineStr">
        <is>
          <t>[NO SF] Link Logistics actual accrual</t>
        </is>
      </c>
    </row>
    <row r="146" ht="14.1" customHeight="1" s="1449">
      <c r="A146" s="2358" t="inlineStr">
        <is>
          <t>P073</t>
        </is>
      </c>
      <c r="B146" s="2338" t="n">
        <v>210</v>
      </c>
      <c r="C146" s="2358" t="inlineStr">
        <is>
          <t>R0084247</t>
        </is>
      </c>
      <c r="D146" s="2358" t="inlineStr">
        <is>
          <t>13802 E 33rd Place</t>
        </is>
      </c>
      <c r="E146" s="2358" t="inlineStr">
        <is>
          <t>Aurora</t>
        </is>
      </c>
      <c r="F146" s="2358" t="inlineStr">
        <is>
          <t>CO</t>
        </is>
      </c>
      <c r="G146" s="2358" t="inlineStr">
        <is>
          <t>Industrial</t>
        </is>
      </c>
      <c r="H146" s="2358" t="inlineStr">
        <is>
          <t>Multi-Tenant Industrial NNN</t>
        </is>
      </c>
      <c r="I146" s="2359" t="n"/>
      <c r="J146" s="2359" t="n"/>
      <c r="K146" s="2359" t="n">
        <v>2023</v>
      </c>
      <c r="L146" s="2370" t="n">
        <v>394581</v>
      </c>
      <c r="M146" s="2358" t="n"/>
      <c r="N146" s="2370" t="n">
        <v>671481</v>
      </c>
      <c r="O146" s="2370" t="n">
        <v>6075</v>
      </c>
      <c r="P146" s="2370" t="n">
        <v>5987</v>
      </c>
      <c r="Q146" s="2358" t="n"/>
      <c r="R146" s="2358" t="n"/>
      <c r="S146" s="2370" t="n">
        <v>7762</v>
      </c>
      <c r="T146" s="2370" t="n">
        <v>1575</v>
      </c>
      <c r="U146" s="2358" t="n"/>
      <c r="V146" s="2358" t="n"/>
      <c r="W146" s="2358" t="n"/>
      <c r="X146" s="2370" t="n">
        <v>1452</v>
      </c>
      <c r="Y146" s="2370" t="n">
        <v>10789</v>
      </c>
      <c r="Z146" s="2358" t="n"/>
      <c r="AA146" s="2370" t="n">
        <v>11249</v>
      </c>
      <c r="AB146" s="2370" t="n">
        <v>12318</v>
      </c>
      <c r="AC146" s="2370" t="n">
        <v>6967</v>
      </c>
      <c r="AD146" s="2370" t="n">
        <v>11424</v>
      </c>
      <c r="AE146" s="2370" t="n">
        <v>1898</v>
      </c>
      <c r="AF146" s="2370" t="n">
        <v>13322</v>
      </c>
      <c r="AG146" s="2358" t="n"/>
      <c r="AH146" s="2370" t="n">
        <v>37127</v>
      </c>
      <c r="AI146" s="2370" t="n">
        <v>204497</v>
      </c>
      <c r="AJ146" s="2370" t="n">
        <v>241624</v>
      </c>
      <c r="AK146" s="2370" t="n">
        <v>429857</v>
      </c>
      <c r="AL146" s="2358" t="n"/>
      <c r="AM146" s="2361" t="inlineStr">
        <is>
          <t>[NO SF] Link Logistics actual accrual</t>
        </is>
      </c>
    </row>
    <row r="147" ht="14.1" customHeight="1" s="1449">
      <c r="A147" s="2339" t="inlineStr">
        <is>
          <t>P074</t>
        </is>
      </c>
      <c r="B147" s="2338" t="n">
        <v>210</v>
      </c>
      <c r="C147" s="2339" t="inlineStr">
        <is>
          <t>R0084248</t>
        </is>
      </c>
      <c r="D147" s="2339" t="inlineStr">
        <is>
          <t>14002 E 33rd Place</t>
        </is>
      </c>
      <c r="E147" s="2339" t="inlineStr">
        <is>
          <t>Aurora</t>
        </is>
      </c>
      <c r="F147" s="2339" t="inlineStr">
        <is>
          <t>CO</t>
        </is>
      </c>
      <c r="G147" s="2339" t="inlineStr">
        <is>
          <t>Industrial</t>
        </is>
      </c>
      <c r="H147" s="2339" t="inlineStr">
        <is>
          <t>Multi-Tenant Industrial NNN</t>
        </is>
      </c>
      <c r="I147" s="2362" t="n"/>
      <c r="J147" s="2362" t="n"/>
      <c r="K147" s="2362" t="n">
        <v>2024</v>
      </c>
      <c r="L147" s="2371" t="n">
        <v>352733</v>
      </c>
      <c r="M147" s="2339" t="n"/>
      <c r="N147" s="2371" t="n">
        <v>649568</v>
      </c>
      <c r="O147" s="2371" t="n">
        <v>6988</v>
      </c>
      <c r="P147" s="2371" t="n">
        <v>6207</v>
      </c>
      <c r="Q147" s="2339" t="n"/>
      <c r="R147" s="2339" t="n"/>
      <c r="S147" s="2371" t="n">
        <v>16981</v>
      </c>
      <c r="T147" s="2371" t="n">
        <v>1800</v>
      </c>
      <c r="U147" s="2339" t="n"/>
      <c r="V147" s="2339" t="n"/>
      <c r="W147" s="2339" t="n"/>
      <c r="X147" s="2371" t="n">
        <v>1556</v>
      </c>
      <c r="Y147" s="2371" t="n">
        <v>20337</v>
      </c>
      <c r="Z147" s="2339" t="n"/>
      <c r="AA147" s="2371" t="n">
        <v>8036</v>
      </c>
      <c r="AB147" s="2371" t="n">
        <v>22795</v>
      </c>
      <c r="AC147" s="2371" t="n">
        <v>6988</v>
      </c>
      <c r="AD147" s="2371" t="n">
        <v>8875</v>
      </c>
      <c r="AE147" s="2339" t="n"/>
      <c r="AF147" s="2371" t="n">
        <v>8875</v>
      </c>
      <c r="AG147" s="2339" t="n"/>
      <c r="AH147" s="2371" t="n">
        <v>94654</v>
      </c>
      <c r="AI147" s="2371" t="n">
        <v>204010</v>
      </c>
      <c r="AJ147" s="2371" t="n">
        <v>298664</v>
      </c>
      <c r="AK147" s="2371" t="n">
        <v>350904</v>
      </c>
      <c r="AL147" s="2339" t="n"/>
      <c r="AM147" s="2364" t="inlineStr">
        <is>
          <t>[NO SF] Link Logistics actual; 2023 RE tax net $53k refund; 2024 normal rate</t>
        </is>
      </c>
    </row>
    <row r="148" ht="14.1" customHeight="1" s="1449">
      <c r="A148" s="2358" t="inlineStr">
        <is>
          <t>P074</t>
        </is>
      </c>
      <c r="B148" s="2338" t="n">
        <v>210</v>
      </c>
      <c r="C148" s="2358" t="inlineStr">
        <is>
          <t>R0084248</t>
        </is>
      </c>
      <c r="D148" s="2358" t="inlineStr">
        <is>
          <t>14002 E 33rd Place</t>
        </is>
      </c>
      <c r="E148" s="2358" t="inlineStr">
        <is>
          <t>Aurora</t>
        </is>
      </c>
      <c r="F148" s="2358" t="inlineStr">
        <is>
          <t>CO</t>
        </is>
      </c>
      <c r="G148" s="2358" t="inlineStr">
        <is>
          <t>Industrial</t>
        </is>
      </c>
      <c r="H148" s="2358" t="inlineStr">
        <is>
          <t>Multi-Tenant Industrial NNN</t>
        </is>
      </c>
      <c r="I148" s="2359" t="n"/>
      <c r="J148" s="2359" t="n"/>
      <c r="K148" s="2359" t="n">
        <v>2023</v>
      </c>
      <c r="L148" s="2370" t="n">
        <v>345583</v>
      </c>
      <c r="M148" s="2358" t="n"/>
      <c r="N148" s="2370" t="n">
        <v>582999</v>
      </c>
      <c r="O148" s="2370" t="n">
        <v>6051</v>
      </c>
      <c r="P148" s="2370" t="n">
        <v>6115</v>
      </c>
      <c r="Q148" s="2358" t="n"/>
      <c r="R148" s="2358" t="n"/>
      <c r="S148" s="2370" t="n">
        <v>4932</v>
      </c>
      <c r="T148" s="2370" t="n">
        <v>1822</v>
      </c>
      <c r="U148" s="2358" t="n"/>
      <c r="V148" s="2358" t="n"/>
      <c r="W148" s="2358" t="n"/>
      <c r="X148" s="2370" t="n">
        <v>1452</v>
      </c>
      <c r="Y148" s="2370" t="n">
        <v>8206</v>
      </c>
      <c r="Z148" s="2358" t="n"/>
      <c r="AA148" s="2370" t="n">
        <v>6275</v>
      </c>
      <c r="AB148" s="2370" t="n">
        <v>13573</v>
      </c>
      <c r="AC148" s="2370" t="n">
        <v>6967</v>
      </c>
      <c r="AD148" s="2370" t="n">
        <v>11933</v>
      </c>
      <c r="AE148" s="2358" t="n"/>
      <c r="AF148" s="2370" t="n">
        <v>11933</v>
      </c>
      <c r="AG148" s="2358" t="n"/>
      <c r="AH148" s="2370" t="n">
        <v>71541</v>
      </c>
      <c r="AI148" s="2370" t="n">
        <v>162088</v>
      </c>
      <c r="AJ148" s="2370" t="n">
        <v>233629</v>
      </c>
      <c r="AK148" s="2370" t="n">
        <v>349370</v>
      </c>
      <c r="AL148" s="2358" t="n"/>
      <c r="AM148" s="2361" t="inlineStr">
        <is>
          <t>[NO SF] Link Logistics actual; 2023 RE tax net $53k refund; 2024 normal rate</t>
        </is>
      </c>
    </row>
    <row r="149" ht="14.1" customHeight="1" s="1449">
      <c r="A149" s="2339" t="inlineStr">
        <is>
          <t>P075</t>
        </is>
      </c>
      <c r="B149" s="2338" t="n">
        <v>210</v>
      </c>
      <c r="C149" s="2339" t="inlineStr">
        <is>
          <t>R0084250</t>
        </is>
      </c>
      <c r="D149" s="2339" t="inlineStr">
        <is>
          <t>3250 Abilene Street</t>
        </is>
      </c>
      <c r="E149" s="2339" t="inlineStr">
        <is>
          <t>Aurora</t>
        </is>
      </c>
      <c r="F149" s="2339" t="inlineStr">
        <is>
          <t>CO</t>
        </is>
      </c>
      <c r="G149" s="2339" t="inlineStr">
        <is>
          <t>Industrial</t>
        </is>
      </c>
      <c r="H149" s="2339" t="inlineStr">
        <is>
          <t>Multi-Tenant Industrial NNN</t>
        </is>
      </c>
      <c r="I149" s="2362" t="n"/>
      <c r="J149" s="2362" t="n"/>
      <c r="K149" s="2362" t="n">
        <v>2024</v>
      </c>
      <c r="L149" s="2371" t="n">
        <v>406844</v>
      </c>
      <c r="M149" s="2339" t="n"/>
      <c r="N149" s="2371" t="n">
        <v>797212</v>
      </c>
      <c r="O149" s="2371" t="n">
        <v>45992</v>
      </c>
      <c r="P149" s="2371" t="n">
        <v>6921</v>
      </c>
      <c r="Q149" s="2339" t="n"/>
      <c r="R149" s="2339" t="n"/>
      <c r="S149" s="2371" t="n">
        <v>10380</v>
      </c>
      <c r="T149" s="2371" t="n">
        <v>3470</v>
      </c>
      <c r="U149" s="2371" t="n">
        <v>2000</v>
      </c>
      <c r="V149" s="2339" t="n"/>
      <c r="W149" s="2339" t="n"/>
      <c r="X149" s="2371" t="n">
        <v>1676</v>
      </c>
      <c r="Y149" s="2371" t="n">
        <v>17526</v>
      </c>
      <c r="Z149" s="2339" t="n"/>
      <c r="AA149" s="2371" t="n">
        <v>8417</v>
      </c>
      <c r="AB149" s="2371" t="n">
        <v>30101</v>
      </c>
      <c r="AC149" s="2371" t="n">
        <v>8211</v>
      </c>
      <c r="AD149" s="2371" t="n">
        <v>12042</v>
      </c>
      <c r="AE149" s="2371" t="n">
        <v>3218</v>
      </c>
      <c r="AF149" s="2371" t="n">
        <v>15260</v>
      </c>
      <c r="AG149" s="2339" t="n"/>
      <c r="AH149" s="2371" t="n">
        <v>180865</v>
      </c>
      <c r="AI149" s="2371" t="n">
        <v>410137</v>
      </c>
      <c r="AJ149" s="2371" t="n">
        <v>591002</v>
      </c>
      <c r="AK149" s="2371" t="n">
        <v>206210</v>
      </c>
      <c r="AL149" s="2339" t="n"/>
      <c r="AM149" s="2364" t="inlineStr">
        <is>
          <t>[NO SF] Link Logistics actual; 2024 tenant turnover – NOI depressed; base rent $787k→$407k; 2024 ins inflated by $25k deductible</t>
        </is>
      </c>
    </row>
    <row r="150" ht="14.1" customHeight="1" s="1449">
      <c r="A150" s="2358" t="inlineStr">
        <is>
          <t>P075</t>
        </is>
      </c>
      <c r="B150" s="2338" t="n">
        <v>210</v>
      </c>
      <c r="C150" s="2358" t="inlineStr">
        <is>
          <t>R0084250</t>
        </is>
      </c>
      <c r="D150" s="2358" t="inlineStr">
        <is>
          <t>3250 Abilene Street</t>
        </is>
      </c>
      <c r="E150" s="2358" t="inlineStr">
        <is>
          <t>Aurora</t>
        </is>
      </c>
      <c r="F150" s="2358" t="inlineStr">
        <is>
          <t>CO</t>
        </is>
      </c>
      <c r="G150" s="2358" t="inlineStr">
        <is>
          <t>Industrial</t>
        </is>
      </c>
      <c r="H150" s="2358" t="inlineStr">
        <is>
          <t>Multi-Tenant Industrial NNN</t>
        </is>
      </c>
      <c r="I150" s="2359" t="n"/>
      <c r="J150" s="2359" t="n"/>
      <c r="K150" s="2359" t="n">
        <v>2023</v>
      </c>
      <c r="L150" s="2370" t="n">
        <v>787792</v>
      </c>
      <c r="M150" s="2358" t="n"/>
      <c r="N150" s="2370" t="n">
        <v>1333856</v>
      </c>
      <c r="O150" s="2370" t="n">
        <v>12351</v>
      </c>
      <c r="P150" s="2370" t="n">
        <v>13140</v>
      </c>
      <c r="Q150" s="2358" t="n"/>
      <c r="R150" s="2358" t="n"/>
      <c r="S150" s="2370" t="n">
        <v>10370</v>
      </c>
      <c r="T150" s="2370" t="n">
        <v>3061</v>
      </c>
      <c r="U150" s="2370" t="n">
        <v>0</v>
      </c>
      <c r="V150" s="2358" t="n"/>
      <c r="W150" s="2358" t="n"/>
      <c r="X150" s="2370" t="n">
        <v>1572</v>
      </c>
      <c r="Y150" s="2370" t="n">
        <v>15003</v>
      </c>
      <c r="Z150" s="2358" t="n"/>
      <c r="AA150" s="2370" t="n">
        <v>24879</v>
      </c>
      <c r="AB150" s="2370" t="n">
        <v>16871</v>
      </c>
      <c r="AC150" s="2370" t="n">
        <v>7678</v>
      </c>
      <c r="AD150" s="2370" t="n">
        <v>12785</v>
      </c>
      <c r="AE150" s="2358" t="n"/>
      <c r="AF150" s="2370" t="n">
        <v>12785</v>
      </c>
      <c r="AG150" s="2358" t="n"/>
      <c r="AH150" s="2370" t="n">
        <v>123031</v>
      </c>
      <c r="AI150" s="2370" t="n">
        <v>409295</v>
      </c>
      <c r="AJ150" s="2370" t="n">
        <v>532326</v>
      </c>
      <c r="AK150" s="2370" t="n">
        <v>801530</v>
      </c>
      <c r="AL150" s="2358" t="n"/>
      <c r="AM150" s="2361" t="inlineStr">
        <is>
          <t>[NO SF] Link Logistics actual; 2023 stable; 2024 ins inflated by $25k deductible</t>
        </is>
      </c>
    </row>
    <row r="151" ht="14.1" customHeight="1" s="1449">
      <c r="A151" s="2339" t="inlineStr">
        <is>
          <t>P076</t>
        </is>
      </c>
      <c r="B151" s="2338" t="n">
        <v>210</v>
      </c>
      <c r="C151" s="2339" t="inlineStr">
        <is>
          <t>R0084253</t>
        </is>
      </c>
      <c r="D151" s="2339" t="inlineStr">
        <is>
          <t>14509 E 33rd Place</t>
        </is>
      </c>
      <c r="E151" s="2339" t="inlineStr">
        <is>
          <t>Aurora</t>
        </is>
      </c>
      <c r="F151" s="2339" t="inlineStr">
        <is>
          <t>CO</t>
        </is>
      </c>
      <c r="G151" s="2339" t="inlineStr">
        <is>
          <t>Industrial</t>
        </is>
      </c>
      <c r="H151" s="2339" t="inlineStr">
        <is>
          <t>Multi-Tenant Industrial NNN</t>
        </is>
      </c>
      <c r="I151" s="2362" t="n"/>
      <c r="J151" s="2362" t="n"/>
      <c r="K151" s="2362" t="n">
        <v>2024</v>
      </c>
      <c r="L151" s="2371" t="n">
        <v>987101</v>
      </c>
      <c r="M151" s="2339" t="n"/>
      <c r="N151" s="2371" t="n">
        <v>1613814</v>
      </c>
      <c r="O151" s="2371" t="n">
        <v>26027</v>
      </c>
      <c r="P151" s="2371" t="n">
        <v>17785</v>
      </c>
      <c r="Q151" s="2339" t="n"/>
      <c r="R151" s="2339" t="n"/>
      <c r="S151" s="2371" t="n">
        <v>9496</v>
      </c>
      <c r="T151" s="2371" t="n">
        <v>2104</v>
      </c>
      <c r="U151" s="2339" t="n"/>
      <c r="V151" s="2339" t="n"/>
      <c r="W151" s="2339" t="n"/>
      <c r="X151" s="2371" t="n">
        <v>1676</v>
      </c>
      <c r="Y151" s="2371" t="n">
        <v>13276</v>
      </c>
      <c r="Z151" s="2339" t="n"/>
      <c r="AA151" s="2371" t="n">
        <v>11885</v>
      </c>
      <c r="AB151" s="2371" t="n">
        <v>37419</v>
      </c>
      <c r="AC151" s="2371" t="n">
        <v>5705</v>
      </c>
      <c r="AD151" s="2371" t="n">
        <v>39182</v>
      </c>
      <c r="AE151" s="2371" t="n">
        <v>1573</v>
      </c>
      <c r="AF151" s="2371" t="n">
        <v>40755</v>
      </c>
      <c r="AG151" s="2339" t="n"/>
      <c r="AH151" s="2371" t="n">
        <v>178810</v>
      </c>
      <c r="AI151" s="2371" t="n">
        <v>442744</v>
      </c>
      <c r="AJ151" s="2371" t="n">
        <v>621554</v>
      </c>
      <c r="AK151" s="2371" t="n">
        <v>992260</v>
      </c>
      <c r="AL151" s="2339" t="n"/>
      <c r="AM151" s="2364" t="inlineStr">
        <is>
          <t>[NO SF] Link Logistics actual; 2023 security includes one-time $54k</t>
        </is>
      </c>
    </row>
    <row r="152" ht="14.1" customHeight="1" s="1449">
      <c r="A152" s="2358" t="inlineStr">
        <is>
          <t>P076</t>
        </is>
      </c>
      <c r="B152" s="2338" t="n">
        <v>210</v>
      </c>
      <c r="C152" s="2358" t="inlineStr">
        <is>
          <t>R0084253</t>
        </is>
      </c>
      <c r="D152" s="2358" t="inlineStr">
        <is>
          <t>14509 E 33rd Place</t>
        </is>
      </c>
      <c r="E152" s="2358" t="inlineStr">
        <is>
          <t>Aurora</t>
        </is>
      </c>
      <c r="F152" s="2358" t="inlineStr">
        <is>
          <t>CO</t>
        </is>
      </c>
      <c r="G152" s="2358" t="inlineStr">
        <is>
          <t>Industrial</t>
        </is>
      </c>
      <c r="H152" s="2358" t="inlineStr">
        <is>
          <t>Multi-Tenant Industrial NNN</t>
        </is>
      </c>
      <c r="I152" s="2359" t="n"/>
      <c r="J152" s="2359" t="n"/>
      <c r="K152" s="2359" t="n">
        <v>2023</v>
      </c>
      <c r="L152" s="2370" t="n">
        <v>932587</v>
      </c>
      <c r="M152" s="2358" t="n"/>
      <c r="N152" s="2370" t="n">
        <v>1610926</v>
      </c>
      <c r="O152" s="2370" t="n">
        <v>12903</v>
      </c>
      <c r="P152" s="2370" t="n">
        <v>15271</v>
      </c>
      <c r="Q152" s="2358" t="n"/>
      <c r="R152" s="2358" t="n"/>
      <c r="S152" s="2370" t="n">
        <v>16438</v>
      </c>
      <c r="T152" s="2370" t="n">
        <v>17000</v>
      </c>
      <c r="U152" s="2358" t="n"/>
      <c r="V152" s="2358" t="n"/>
      <c r="W152" s="2358" t="n"/>
      <c r="X152" s="2370" t="n">
        <v>1572</v>
      </c>
      <c r="Y152" s="2370" t="n">
        <v>35010</v>
      </c>
      <c r="Z152" s="2358" t="n"/>
      <c r="AA152" s="2370" t="n">
        <v>11941</v>
      </c>
      <c r="AB152" s="2370" t="n">
        <v>21409</v>
      </c>
      <c r="AC152" s="2370" t="n">
        <v>54490</v>
      </c>
      <c r="AD152" s="2370" t="n">
        <v>34733</v>
      </c>
      <c r="AE152" s="2370" t="n">
        <v>1638</v>
      </c>
      <c r="AF152" s="2370" t="n">
        <v>36371</v>
      </c>
      <c r="AG152" s="2358" t="n"/>
      <c r="AH152" s="2370" t="n">
        <v>211012</v>
      </c>
      <c r="AI152" s="2370" t="n">
        <v>441491</v>
      </c>
      <c r="AJ152" s="2370" t="n">
        <v>652503</v>
      </c>
      <c r="AK152" s="2370" t="n">
        <v>958423</v>
      </c>
      <c r="AL152" s="2358" t="n"/>
      <c r="AM152" s="2361" t="inlineStr">
        <is>
          <t>[NO SF] Link Logistics actual; 2023 security includes one-time $54k</t>
        </is>
      </c>
    </row>
    <row r="153" ht="14.1" customHeight="1" s="1449">
      <c r="A153" s="2339" t="inlineStr">
        <is>
          <t>P077</t>
        </is>
      </c>
      <c r="B153" s="2338" t="n">
        <v>210</v>
      </c>
      <c r="C153" s="2339" t="inlineStr">
        <is>
          <t>R0084253</t>
        </is>
      </c>
      <c r="D153" s="2339" t="inlineStr">
        <is>
          <t>14704 E 33rd Place</t>
        </is>
      </c>
      <c r="E153" s="2339" t="inlineStr">
        <is>
          <t>Aurora</t>
        </is>
      </c>
      <c r="F153" s="2339" t="inlineStr">
        <is>
          <t>CO</t>
        </is>
      </c>
      <c r="G153" s="2339" t="inlineStr">
        <is>
          <t>Industrial</t>
        </is>
      </c>
      <c r="H153" s="2339" t="inlineStr">
        <is>
          <t>Multi-Tenant Industrial NNN</t>
        </is>
      </c>
      <c r="I153" s="2362" t="n"/>
      <c r="J153" s="2362" t="n"/>
      <c r="K153" s="2362" t="n">
        <v>2024</v>
      </c>
      <c r="L153" s="2371" t="n">
        <v>977394</v>
      </c>
      <c r="M153" s="2339" t="n"/>
      <c r="N153" s="2371" t="n">
        <v>1537076</v>
      </c>
      <c r="O153" s="2371" t="n">
        <v>12170</v>
      </c>
      <c r="P153" s="2371" t="n">
        <v>17077</v>
      </c>
      <c r="Q153" s="2339" t="n"/>
      <c r="R153" s="2339" t="n"/>
      <c r="S153" s="2371" t="n">
        <v>10377</v>
      </c>
      <c r="T153" s="2371" t="n">
        <v>1760</v>
      </c>
      <c r="U153" s="2371" t="n">
        <v>265</v>
      </c>
      <c r="V153" s="2339" t="n"/>
      <c r="W153" s="2339" t="n"/>
      <c r="X153" s="2371" t="n">
        <v>1636</v>
      </c>
      <c r="Y153" s="2371" t="n">
        <v>13036</v>
      </c>
      <c r="Z153" s="2339" t="n"/>
      <c r="AA153" s="2371" t="n">
        <v>10043</v>
      </c>
      <c r="AB153" s="2371" t="n">
        <v>41626</v>
      </c>
      <c r="AC153" s="2371" t="n">
        <v>5705</v>
      </c>
      <c r="AD153" s="2371" t="n">
        <v>19336</v>
      </c>
      <c r="AE153" s="2371" t="n">
        <v>2462</v>
      </c>
      <c r="AF153" s="2371" t="n">
        <v>21798</v>
      </c>
      <c r="AG153" s="2339" t="n"/>
      <c r="AH153" s="2371" t="n">
        <v>228019</v>
      </c>
      <c r="AI153" s="2371" t="n">
        <v>364330</v>
      </c>
      <c r="AJ153" s="2371" t="n">
        <v>592349</v>
      </c>
      <c r="AK153" s="2371" t="n">
        <v>944727</v>
      </c>
      <c r="AL153" s="2339" t="n"/>
      <c r="AM153" s="2364" t="inlineStr">
        <is>
          <t>[NO SF] Link Logistics 2024; partial vacancy (elec/gas $124k); NOI understated excl vacancy costs</t>
        </is>
      </c>
    </row>
    <row r="154" ht="14.1" customHeight="1" s="1449">
      <c r="A154" s="2358" t="inlineStr">
        <is>
          <t>P078</t>
        </is>
      </c>
      <c r="B154" s="2338" t="n">
        <v>210</v>
      </c>
      <c r="C154" s="2358" t="inlineStr">
        <is>
          <t>R0084253</t>
        </is>
      </c>
      <c r="D154" s="2358" t="inlineStr">
        <is>
          <t>14705 E 33rd Place</t>
        </is>
      </c>
      <c r="E154" s="2358" t="inlineStr">
        <is>
          <t>Aurora</t>
        </is>
      </c>
      <c r="F154" s="2358" t="inlineStr">
        <is>
          <t>CO</t>
        </is>
      </c>
      <c r="G154" s="2358" t="inlineStr">
        <is>
          <t>Industrial</t>
        </is>
      </c>
      <c r="H154" s="2358" t="inlineStr">
        <is>
          <t>Multi-Tenant Industrial NNN</t>
        </is>
      </c>
      <c r="I154" s="2359" t="n"/>
      <c r="J154" s="2359" t="n"/>
      <c r="K154" s="2359" t="n">
        <v>2024</v>
      </c>
      <c r="L154" s="2370" t="n">
        <v>436928</v>
      </c>
      <c r="M154" s="2358" t="n"/>
      <c r="N154" s="2370" t="n">
        <v>714461</v>
      </c>
      <c r="O154" s="2370" t="n">
        <v>6456</v>
      </c>
      <c r="P154" s="2370" t="n">
        <v>6962</v>
      </c>
      <c r="Q154" s="2358" t="n"/>
      <c r="R154" s="2358" t="n"/>
      <c r="S154" s="2370" t="n">
        <v>6889</v>
      </c>
      <c r="T154" s="2370" t="n">
        <v>1125</v>
      </c>
      <c r="U154" s="2370" t="n">
        <v>285</v>
      </c>
      <c r="V154" s="2358" t="n"/>
      <c r="W154" s="2358" t="n"/>
      <c r="X154" s="2370" t="n">
        <v>1546</v>
      </c>
      <c r="Y154" s="2370" t="n">
        <v>9845</v>
      </c>
      <c r="Z154" s="2358" t="n"/>
      <c r="AA154" s="2370" t="n">
        <v>6931</v>
      </c>
      <c r="AB154" s="2370" t="n">
        <v>27052</v>
      </c>
      <c r="AC154" s="2370" t="n">
        <v>5705</v>
      </c>
      <c r="AD154" s="2358" t="n"/>
      <c r="AE154" s="2370" t="n">
        <v>929</v>
      </c>
      <c r="AF154" s="2370" t="n">
        <v>929</v>
      </c>
      <c r="AG154" s="2358" t="n"/>
      <c r="AH154" s="2370" t="n">
        <v>77944</v>
      </c>
      <c r="AI154" s="2370" t="n">
        <v>188633</v>
      </c>
      <c r="AJ154" s="2370" t="n">
        <v>266577</v>
      </c>
      <c r="AK154" s="2370" t="n">
        <v>447884</v>
      </c>
      <c r="AL154" s="2358" t="n"/>
      <c r="AM154" s="2361" t="inlineStr">
        <is>
          <t>[NO SF] Link Logistics 2024; partial free rent ($38k); lease-up period</t>
        </is>
      </c>
    </row>
    <row r="155" ht="14.1" customHeight="1" s="1449">
      <c r="A155" s="2339" t="inlineStr">
        <is>
          <t>P079</t>
        </is>
      </c>
      <c r="B155" s="2338" t="n">
        <v>584</v>
      </c>
      <c r="C155" s="2339" t="inlineStr">
        <is>
          <t>R0086214</t>
        </is>
      </c>
      <c r="D155" s="2339" t="inlineStr">
        <is>
          <t>Aurora Warehouse (Polar)</t>
        </is>
      </c>
      <c r="E155" s="2339" t="inlineStr">
        <is>
          <t>Aurora</t>
        </is>
      </c>
      <c r="F155" s="2339" t="inlineStr">
        <is>
          <t>CO</t>
        </is>
      </c>
      <c r="G155" s="2339" t="inlineStr">
        <is>
          <t>Industrial</t>
        </is>
      </c>
      <c r="H155" s="2339" t="inlineStr">
        <is>
          <t>Mega Warehouse NNN</t>
        </is>
      </c>
      <c r="I155" s="2362" t="n"/>
      <c r="J155" s="2362" t="n"/>
      <c r="K155" s="2362" t="n">
        <v>2024</v>
      </c>
      <c r="L155" s="2371" t="n">
        <v>3771986</v>
      </c>
      <c r="M155" s="2339" t="n"/>
      <c r="N155" s="2371" t="n">
        <v>7045455</v>
      </c>
      <c r="O155" s="2371" t="n">
        <v>83764</v>
      </c>
      <c r="P155" s="2371" t="n">
        <v>67999</v>
      </c>
      <c r="Q155" s="2339" t="n"/>
      <c r="R155" s="2339" t="n"/>
      <c r="S155" s="2339" t="n"/>
      <c r="T155" s="2339" t="n"/>
      <c r="U155" s="2339" t="n"/>
      <c r="V155" s="2339" t="n"/>
      <c r="W155" s="2339" t="n"/>
      <c r="X155" s="2371" t="n">
        <v>5829</v>
      </c>
      <c r="Y155" s="2371" t="n">
        <v>5829</v>
      </c>
      <c r="Z155" s="2339" t="n"/>
      <c r="AA155" s="2339" t="n"/>
      <c r="AB155" s="2339" t="n"/>
      <c r="AC155" s="2339" t="n"/>
      <c r="AD155" s="2339" t="n"/>
      <c r="AE155" s="2339" t="n"/>
      <c r="AF155" s="2339" t="n"/>
      <c r="AG155" s="2339" t="n"/>
      <c r="AH155" s="2371" t="n">
        <v>381011</v>
      </c>
      <c r="AI155" s="2371" t="n">
        <v>2407392</v>
      </c>
      <c r="AJ155" s="2371" t="n">
        <v>2788403</v>
      </c>
      <c r="AK155" s="2371" t="n">
        <v>4257052</v>
      </c>
      <c r="AL155" s="2339" t="n"/>
      <c r="AM155" s="2364" t="inlineStr">
        <is>
          <t>[NO SF] Link Logistics; very large – RE tax $2.2-2.4M; minimal CAM (near-absolute NNN); SF not confirmed</t>
        </is>
      </c>
    </row>
    <row r="156" ht="14.1" customHeight="1" s="1449">
      <c r="A156" s="2358" t="inlineStr">
        <is>
          <t>P079</t>
        </is>
      </c>
      <c r="B156" s="2338" t="n">
        <v>584</v>
      </c>
      <c r="C156" s="2358" t="inlineStr">
        <is>
          <t>R0086214</t>
        </is>
      </c>
      <c r="D156" s="2358" t="inlineStr">
        <is>
          <t>Aurora Warehouse (Polar)</t>
        </is>
      </c>
      <c r="E156" s="2358" t="inlineStr">
        <is>
          <t>Aurora</t>
        </is>
      </c>
      <c r="F156" s="2358" t="inlineStr">
        <is>
          <t>CO</t>
        </is>
      </c>
      <c r="G156" s="2358" t="inlineStr">
        <is>
          <t>Industrial</t>
        </is>
      </c>
      <c r="H156" s="2358" t="inlineStr">
        <is>
          <t>Mega Warehouse NNN</t>
        </is>
      </c>
      <c r="I156" s="2359" t="n"/>
      <c r="J156" s="2359" t="n"/>
      <c r="K156" s="2359" t="n">
        <v>2023</v>
      </c>
      <c r="L156" s="2370" t="n">
        <v>3679986</v>
      </c>
      <c r="M156" s="2358" t="n"/>
      <c r="N156" s="2370" t="n">
        <v>6546351</v>
      </c>
      <c r="O156" s="2370" t="n">
        <v>60105</v>
      </c>
      <c r="P156" s="2370" t="n">
        <v>54144</v>
      </c>
      <c r="Q156" s="2358" t="n"/>
      <c r="R156" s="2358" t="n"/>
      <c r="S156" s="2358" t="n"/>
      <c r="T156" s="2358" t="n"/>
      <c r="U156" s="2358" t="n"/>
      <c r="V156" s="2358" t="n"/>
      <c r="W156" s="2358" t="n"/>
      <c r="X156" s="2370" t="n">
        <v>4184</v>
      </c>
      <c r="Y156" s="2370" t="n">
        <v>4184</v>
      </c>
      <c r="Z156" s="2358" t="n"/>
      <c r="AA156" s="2358" t="n"/>
      <c r="AB156" s="2358" t="n"/>
      <c r="AC156" s="2358" t="n"/>
      <c r="AD156" s="2358" t="n"/>
      <c r="AE156" s="2358" t="n"/>
      <c r="AF156" s="2358" t="n"/>
      <c r="AG156" s="2358" t="n"/>
      <c r="AH156" s="2370" t="n">
        <v>101213</v>
      </c>
      <c r="AI156" s="2370" t="n">
        <v>2175995</v>
      </c>
      <c r="AJ156" s="2370" t="n">
        <v>2277208</v>
      </c>
      <c r="AK156" s="2370" t="n">
        <v>4269143</v>
      </c>
      <c r="AL156" s="2358" t="n"/>
      <c r="AM156" s="2361" t="inlineStr">
        <is>
          <t>[NO SF] Link Logistics; very large – RE tax $2.2-2.4M; minimal CAM (near-absolute NNN); SF not confirmed</t>
        </is>
      </c>
    </row>
    <row r="157" ht="14.1" customHeight="1" s="1449">
      <c r="A157" s="2339" t="inlineStr">
        <is>
          <t>P080</t>
        </is>
      </c>
      <c r="B157" s="2338" t="n">
        <v>407</v>
      </c>
      <c r="C157" s="2339" t="inlineStr">
        <is>
          <t>R0194277</t>
        </is>
      </c>
      <c r="D157" s="2339" t="inlineStr">
        <is>
          <t>8251 Quintero St</t>
        </is>
      </c>
      <c r="E157" s="2339" t="inlineStr">
        <is>
          <t>Commerce City</t>
        </is>
      </c>
      <c r="F157" s="2339" t="inlineStr">
        <is>
          <t>CO</t>
        </is>
      </c>
      <c r="G157" s="2339" t="inlineStr">
        <is>
          <t>Industrial</t>
        </is>
      </c>
      <c r="H157" s="2339" t="inlineStr">
        <is>
          <t>Industrial Warehouse NNN</t>
        </is>
      </c>
      <c r="I157" s="2362" t="n"/>
      <c r="J157" s="2362" t="n"/>
      <c r="K157" s="2362" t="n">
        <v>2024</v>
      </c>
      <c r="L157" s="2371" t="n">
        <v>2966529</v>
      </c>
      <c r="M157" s="2339" t="n"/>
      <c r="N157" s="2371" t="n">
        <v>7433451</v>
      </c>
      <c r="O157" s="2371" t="n">
        <v>32539</v>
      </c>
      <c r="P157" s="2371" t="n">
        <v>86633</v>
      </c>
      <c r="Q157" s="2339" t="n"/>
      <c r="R157" s="2339" t="n"/>
      <c r="S157" s="2371" t="n">
        <v>21784</v>
      </c>
      <c r="T157" s="2339" t="n"/>
      <c r="U157" s="2339" t="n"/>
      <c r="V157" s="2339" t="n"/>
      <c r="W157" s="2339" t="n"/>
      <c r="X157" s="2339" t="n"/>
      <c r="Y157" s="2371" t="n">
        <v>21784</v>
      </c>
      <c r="Z157" s="2339" t="n"/>
      <c r="AA157" s="2371" t="n">
        <v>30810</v>
      </c>
      <c r="AB157" s="2371" t="n">
        <v>188483</v>
      </c>
      <c r="AC157" s="2339" t="n"/>
      <c r="AD157" s="2371" t="n">
        <v>29080</v>
      </c>
      <c r="AE157" s="2339" t="n"/>
      <c r="AF157" s="2371" t="n">
        <v>29080</v>
      </c>
      <c r="AG157" s="2339" t="n"/>
      <c r="AH157" s="2371" t="n">
        <v>1433299</v>
      </c>
      <c r="AI157" s="2371" t="n">
        <v>3137254</v>
      </c>
      <c r="AJ157" s="2371" t="n">
        <v>4570553</v>
      </c>
      <c r="AK157" s="2371" t="n">
        <v>2862898</v>
      </c>
      <c r="AL157" s="2339" t="n"/>
      <c r="AM157" s="2364" t="inlineStr">
        <is>
          <t>[NO SF] Becknell Industrial; 2024 EGI/OPX inflated by $967k PY RE tax true-up; normalized NOI ~$2.86M</t>
        </is>
      </c>
    </row>
    <row r="158" ht="14.1" customHeight="1" s="1449">
      <c r="A158" s="2358" t="inlineStr">
        <is>
          <t>P080</t>
        </is>
      </c>
      <c r="B158" s="2338" t="n">
        <v>407</v>
      </c>
      <c r="C158" s="2358" t="inlineStr">
        <is>
          <t>R0194277</t>
        </is>
      </c>
      <c r="D158" s="2358" t="inlineStr">
        <is>
          <t>8251 Quintero St</t>
        </is>
      </c>
      <c r="E158" s="2358" t="inlineStr">
        <is>
          <t>Commerce City</t>
        </is>
      </c>
      <c r="F158" s="2358" t="inlineStr">
        <is>
          <t>CO</t>
        </is>
      </c>
      <c r="G158" s="2358" t="inlineStr">
        <is>
          <t>Industrial</t>
        </is>
      </c>
      <c r="H158" s="2358" t="inlineStr">
        <is>
          <t>Industrial Warehouse NNN</t>
        </is>
      </c>
      <c r="I158" s="2359" t="n"/>
      <c r="J158" s="2359" t="n"/>
      <c r="K158" s="2359" t="n">
        <v>2023</v>
      </c>
      <c r="L158" s="2370" t="n">
        <v>2897673</v>
      </c>
      <c r="M158" s="2358" t="n"/>
      <c r="N158" s="2370" t="n">
        <v>5335437</v>
      </c>
      <c r="O158" s="2370" t="n">
        <v>29390</v>
      </c>
      <c r="P158" s="2370" t="n">
        <v>83488</v>
      </c>
      <c r="Q158" s="2358" t="n"/>
      <c r="R158" s="2358" t="n"/>
      <c r="S158" s="2370" t="n">
        <v>35137</v>
      </c>
      <c r="T158" s="2358" t="n"/>
      <c r="U158" s="2358" t="n"/>
      <c r="V158" s="2358" t="n"/>
      <c r="W158" s="2358" t="n"/>
      <c r="X158" s="2358" t="n"/>
      <c r="Y158" s="2370" t="n">
        <v>35137</v>
      </c>
      <c r="Z158" s="2358" t="n"/>
      <c r="AA158" s="2370" t="n">
        <v>33419</v>
      </c>
      <c r="AB158" s="2370" t="n">
        <v>151223</v>
      </c>
      <c r="AC158" s="2358" t="n"/>
      <c r="AD158" s="2370" t="n">
        <v>24034</v>
      </c>
      <c r="AE158" s="2358" t="n"/>
      <c r="AF158" s="2370" t="n">
        <v>24034</v>
      </c>
      <c r="AG158" s="2358" t="n"/>
      <c r="AH158" s="2370" t="n">
        <v>541522</v>
      </c>
      <c r="AI158" s="2370" t="n">
        <v>2045093</v>
      </c>
      <c r="AJ158" s="2370" t="n">
        <v>2586615</v>
      </c>
      <c r="AK158" s="2370" t="n">
        <v>2748822</v>
      </c>
      <c r="AL158" s="2358" t="n"/>
      <c r="AM158" s="2361" t="inlineStr">
        <is>
          <t>[NO SF] Becknell Industrial; actual accrual</t>
        </is>
      </c>
    </row>
    <row r="159" ht="14.1" customHeight="1" s="1449">
      <c r="A159" s="2339" t="inlineStr">
        <is>
          <t>P081</t>
        </is>
      </c>
      <c r="B159" s="2338" t="n">
        <v>407</v>
      </c>
      <c r="C159" s="2339" t="inlineStr">
        <is>
          <t>R0198176</t>
        </is>
      </c>
      <c r="D159" s="2339" t="inlineStr">
        <is>
          <t>21800 E 19th Ave</t>
        </is>
      </c>
      <c r="E159" s="2339" t="inlineStr">
        <is>
          <t>Aurora</t>
        </is>
      </c>
      <c r="F159" s="2339" t="inlineStr">
        <is>
          <t>CO</t>
        </is>
      </c>
      <c r="G159" s="2339" t="inlineStr">
        <is>
          <t>Industrial</t>
        </is>
      </c>
      <c r="H159" s="2339" t="inlineStr">
        <is>
          <t>Industrial Warehouse NNN</t>
        </is>
      </c>
      <c r="I159" s="2362" t="n"/>
      <c r="J159" s="2362" t="n"/>
      <c r="K159" s="2362" t="n">
        <v>2024</v>
      </c>
      <c r="L159" s="2371" t="n">
        <v>1502445</v>
      </c>
      <c r="M159" s="2339" t="n"/>
      <c r="N159" s="2371" t="n">
        <v>1698847</v>
      </c>
      <c r="O159" s="2371" t="n">
        <v>18279</v>
      </c>
      <c r="P159" s="2371" t="n">
        <v>45073</v>
      </c>
      <c r="Q159" s="2339" t="n"/>
      <c r="R159" s="2339" t="n"/>
      <c r="S159" s="2371" t="n">
        <v>14583</v>
      </c>
      <c r="T159" s="2339" t="n"/>
      <c r="U159" s="2339" t="n"/>
      <c r="V159" s="2339" t="n"/>
      <c r="W159" s="2339" t="n"/>
      <c r="X159" s="2339" t="n"/>
      <c r="Y159" s="2371" t="n">
        <v>14583</v>
      </c>
      <c r="Z159" s="2339" t="n"/>
      <c r="AA159" s="2371" t="n">
        <v>30156</v>
      </c>
      <c r="AB159" s="2371" t="n">
        <v>117922</v>
      </c>
      <c r="AC159" s="2339" t="n"/>
      <c r="AD159" s="2339" t="n"/>
      <c r="AE159" s="2339" t="n"/>
      <c r="AF159" s="2339" t="n"/>
      <c r="AG159" s="2339" t="n"/>
      <c r="AH159" s="2371" t="n">
        <v>268829</v>
      </c>
      <c r="AI159" s="2371" t="n">
        <v>0</v>
      </c>
      <c r="AJ159" s="2371" t="n">
        <v>268829</v>
      </c>
      <c r="AK159" s="2371" t="n">
        <v>1430018</v>
      </c>
      <c r="AL159" s="2339" t="n"/>
      <c r="AM159" s="2364" t="inlineStr">
        <is>
          <t>[NO SF] Becknell; absolute NNN – tenant pays RE taxes directly; opex = CAM only</t>
        </is>
      </c>
    </row>
    <row r="160" ht="14.1" customHeight="1" s="1449">
      <c r="A160" s="2358" t="inlineStr">
        <is>
          <t>P081</t>
        </is>
      </c>
      <c r="B160" s="2338" t="n">
        <v>407</v>
      </c>
      <c r="C160" s="2358" t="inlineStr">
        <is>
          <t>R0198176</t>
        </is>
      </c>
      <c r="D160" s="2358" t="inlineStr">
        <is>
          <t>21800 E 19th Ave</t>
        </is>
      </c>
      <c r="E160" s="2358" t="inlineStr">
        <is>
          <t>Aurora</t>
        </is>
      </c>
      <c r="F160" s="2358" t="inlineStr">
        <is>
          <t>CO</t>
        </is>
      </c>
      <c r="G160" s="2358" t="inlineStr">
        <is>
          <t>Industrial</t>
        </is>
      </c>
      <c r="H160" s="2358" t="inlineStr">
        <is>
          <t>Industrial Warehouse NNN</t>
        </is>
      </c>
      <c r="I160" s="2359" t="n"/>
      <c r="J160" s="2359" t="n"/>
      <c r="K160" s="2359" t="n">
        <v>2023</v>
      </c>
      <c r="L160" s="2370" t="n">
        <v>1458685</v>
      </c>
      <c r="M160" s="2358" t="n"/>
      <c r="N160" s="2370" t="n">
        <v>1647477</v>
      </c>
      <c r="O160" s="2370" t="n">
        <v>15865</v>
      </c>
      <c r="P160" s="2370" t="n">
        <v>43761</v>
      </c>
      <c r="Q160" s="2358" t="n"/>
      <c r="R160" s="2358" t="n"/>
      <c r="S160" s="2370" t="n">
        <v>12850</v>
      </c>
      <c r="T160" s="2358" t="n"/>
      <c r="U160" s="2358" t="n"/>
      <c r="V160" s="2358" t="n"/>
      <c r="W160" s="2358" t="n"/>
      <c r="X160" s="2358" t="n"/>
      <c r="Y160" s="2370" t="n">
        <v>12850</v>
      </c>
      <c r="Z160" s="2358" t="n"/>
      <c r="AA160" s="2370" t="n">
        <v>31555</v>
      </c>
      <c r="AB160" s="2370" t="n">
        <v>112261</v>
      </c>
      <c r="AC160" s="2358" t="n"/>
      <c r="AD160" s="2358" t="n"/>
      <c r="AE160" s="2358" t="n"/>
      <c r="AF160" s="2358" t="n"/>
      <c r="AG160" s="2358" t="n"/>
      <c r="AH160" s="2370" t="n">
        <v>238940</v>
      </c>
      <c r="AI160" s="2370" t="n">
        <v>0</v>
      </c>
      <c r="AJ160" s="2370" t="n">
        <v>238940</v>
      </c>
      <c r="AK160" s="2370" t="n">
        <v>1408537</v>
      </c>
      <c r="AL160" s="2358" t="n"/>
      <c r="AM160" s="2361" t="inlineStr">
        <is>
          <t>[NO SF] Becknell; absolute NNN – tenant pays RE taxes directly; opex = CAM only</t>
        </is>
      </c>
    </row>
    <row r="161" ht="14.1" customHeight="1" s="1449">
      <c r="A161" s="2339" t="inlineStr">
        <is>
          <t>P082</t>
        </is>
      </c>
      <c r="B161" s="2338" t="n">
        <v>407</v>
      </c>
      <c r="C161" s="2339" t="inlineStr">
        <is>
          <t>R0201311</t>
        </is>
      </c>
      <c r="D161" s="2339" t="inlineStr">
        <is>
          <t>Ascent Commerce Center Bldg I</t>
        </is>
      </c>
      <c r="E161" s="2339" t="inlineStr">
        <is>
          <t>Aurora</t>
        </is>
      </c>
      <c r="F161" s="2339" t="inlineStr">
        <is>
          <t>CO</t>
        </is>
      </c>
      <c r="G161" s="2339" t="inlineStr">
        <is>
          <t>Industrial</t>
        </is>
      </c>
      <c r="H161" s="2339" t="inlineStr">
        <is>
          <t>Industrial Warehouse NNN</t>
        </is>
      </c>
      <c r="I161" s="2362" t="n"/>
      <c r="J161" s="2362" t="n"/>
      <c r="K161" s="2362" t="n">
        <v>2024</v>
      </c>
      <c r="L161" s="2371" t="n">
        <v>187536</v>
      </c>
      <c r="M161" s="2339" t="n"/>
      <c r="N161" s="2371" t="n">
        <v>335936</v>
      </c>
      <c r="O161" s="2371" t="n">
        <v>185</v>
      </c>
      <c r="P161" s="2371" t="n">
        <v>6539</v>
      </c>
      <c r="Q161" s="2339" t="n"/>
      <c r="R161" s="2339" t="n"/>
      <c r="S161" s="2371" t="n">
        <v>6694</v>
      </c>
      <c r="T161" s="2339" t="n"/>
      <c r="U161" s="2339" t="n"/>
      <c r="V161" s="2339" t="n"/>
      <c r="W161" s="2339" t="n"/>
      <c r="X161" s="2339" t="n"/>
      <c r="Y161" s="2371" t="n">
        <v>6694</v>
      </c>
      <c r="Z161" s="2339" t="n"/>
      <c r="AA161" s="2371" t="n">
        <v>1378</v>
      </c>
      <c r="AB161" s="2371" t="n">
        <v>13095</v>
      </c>
      <c r="AC161" s="2339" t="n"/>
      <c r="AD161" s="2371" t="n">
        <v>52</v>
      </c>
      <c r="AE161" s="2371" t="n">
        <v>6714</v>
      </c>
      <c r="AF161" s="2371" t="n">
        <v>6766</v>
      </c>
      <c r="AG161" s="2339" t="n"/>
      <c r="AH161" s="2371" t="n">
        <v>42252</v>
      </c>
      <c r="AI161" s="2371" t="n">
        <v>100794</v>
      </c>
      <c r="AJ161" s="2371" t="n">
        <v>143046</v>
      </c>
      <c r="AK161" s="2371" t="n">
        <v>181918</v>
      </c>
      <c r="AL161" s="2339" t="n"/>
      <c r="AM161" s="2364" t="inlineStr">
        <is>
          <t>[NO SF] Ambrose; Q4 2024 ONLY (Oct–Dec, 3 months); lease-up/stabilizing; DO NOT use for annual PSF</t>
        </is>
      </c>
    </row>
    <row r="162" ht="14.1" customHeight="1" s="1449">
      <c r="A162" s="2358" t="inlineStr">
        <is>
          <t>P083</t>
        </is>
      </c>
      <c r="B162" s="2338" t="n">
        <v>407</v>
      </c>
      <c r="C162" s="2358" t="inlineStr">
        <is>
          <t>R0201311</t>
        </is>
      </c>
      <c r="D162" s="2358" t="inlineStr">
        <is>
          <t>Ascent Commerce Center Bldg II</t>
        </is>
      </c>
      <c r="E162" s="2358" t="inlineStr">
        <is>
          <t>Aurora</t>
        </is>
      </c>
      <c r="F162" s="2358" t="inlineStr">
        <is>
          <t>CO</t>
        </is>
      </c>
      <c r="G162" s="2358" t="inlineStr">
        <is>
          <t>Industrial</t>
        </is>
      </c>
      <c r="H162" s="2358" t="inlineStr">
        <is>
          <t>Industrial Warehouse NNN</t>
        </is>
      </c>
      <c r="I162" s="2359" t="n"/>
      <c r="J162" s="2359" t="n"/>
      <c r="K162" s="2359" t="n">
        <v>2024</v>
      </c>
      <c r="L162" s="2370" t="n">
        <v>143974</v>
      </c>
      <c r="M162" s="2358" t="n"/>
      <c r="N162" s="2370" t="n">
        <v>314952</v>
      </c>
      <c r="O162" s="2370" t="n">
        <v>375</v>
      </c>
      <c r="P162" s="2370" t="n">
        <v>6224</v>
      </c>
      <c r="Q162" s="2358" t="n"/>
      <c r="R162" s="2358" t="n"/>
      <c r="S162" s="2370" t="n">
        <v>13434</v>
      </c>
      <c r="T162" s="2358" t="n"/>
      <c r="U162" s="2358" t="n"/>
      <c r="V162" s="2358" t="n"/>
      <c r="W162" s="2358" t="n"/>
      <c r="X162" s="2358" t="n"/>
      <c r="Y162" s="2370" t="n">
        <v>13434</v>
      </c>
      <c r="Z162" s="2358" t="n"/>
      <c r="AA162" s="2370" t="n">
        <v>1877</v>
      </c>
      <c r="AB162" s="2370" t="n">
        <v>25288</v>
      </c>
      <c r="AC162" s="2358" t="n"/>
      <c r="AD162" s="2370" t="n">
        <v>104</v>
      </c>
      <c r="AE162" s="2370" t="n">
        <v>11552</v>
      </c>
      <c r="AF162" s="2370" t="n">
        <v>11656</v>
      </c>
      <c r="AG162" s="2358" t="n"/>
      <c r="AH162" s="2370" t="n">
        <v>70908</v>
      </c>
      <c r="AI162" s="2370" t="n">
        <v>203797</v>
      </c>
      <c r="AJ162" s="2370" t="n">
        <v>274705</v>
      </c>
      <c r="AK162" s="2370" t="n">
        <v>22624</v>
      </c>
      <c r="AL162" s="2358" t="n"/>
      <c r="AM162" s="2361" t="inlineStr">
        <is>
          <t>[NO SF] Ambrose; Q4 2024 ONLY (Oct–Dec, 3 months); lease-up/stabilizing; DO NOT use for annual PSF</t>
        </is>
      </c>
    </row>
    <row r="163" ht="14.1" customHeight="1" s="1449">
      <c r="A163" s="2339" t="inlineStr">
        <is>
          <t>P084</t>
        </is>
      </c>
      <c r="B163" s="2338" t="n">
        <v>407</v>
      </c>
      <c r="C163" s="2339" t="inlineStr">
        <is>
          <t>R0201311</t>
        </is>
      </c>
      <c r="D163" s="2339" t="inlineStr">
        <is>
          <t>Ascent Commerce Center Bldg III</t>
        </is>
      </c>
      <c r="E163" s="2339" t="inlineStr">
        <is>
          <t>Aurora</t>
        </is>
      </c>
      <c r="F163" s="2339" t="inlineStr">
        <is>
          <t>CO</t>
        </is>
      </c>
      <c r="G163" s="2339" t="inlineStr">
        <is>
          <t>Industrial</t>
        </is>
      </c>
      <c r="H163" s="2339" t="inlineStr">
        <is>
          <t>Industrial Warehouse NNN</t>
        </is>
      </c>
      <c r="I163" s="2362" t="n"/>
      <c r="J163" s="2362" t="n"/>
      <c r="K163" s="2362" t="n">
        <v>2024</v>
      </c>
      <c r="L163" s="2371" t="n">
        <v>49334</v>
      </c>
      <c r="M163" s="2339" t="n"/>
      <c r="N163" s="2371" t="n">
        <v>85139</v>
      </c>
      <c r="O163" s="2371" t="n">
        <v>153</v>
      </c>
      <c r="P163" s="2371" t="n">
        <v>5032</v>
      </c>
      <c r="Q163" s="2339" t="n"/>
      <c r="R163" s="2339" t="n"/>
      <c r="S163" s="2371" t="n">
        <v>10772</v>
      </c>
      <c r="T163" s="2339" t="n"/>
      <c r="U163" s="2339" t="n"/>
      <c r="V163" s="2339" t="n"/>
      <c r="W163" s="2339" t="n"/>
      <c r="X163" s="2339" t="n"/>
      <c r="Y163" s="2371" t="n">
        <v>10772</v>
      </c>
      <c r="Z163" s="2339" t="n"/>
      <c r="AA163" s="2371" t="n">
        <v>949</v>
      </c>
      <c r="AB163" s="2371" t="n">
        <v>10894</v>
      </c>
      <c r="AC163" s="2339" t="n"/>
      <c r="AD163" s="2371" t="n">
        <v>207</v>
      </c>
      <c r="AE163" s="2371" t="n">
        <v>8484</v>
      </c>
      <c r="AF163" s="2371" t="n">
        <v>8691</v>
      </c>
      <c r="AG163" s="2339" t="n"/>
      <c r="AH163" s="2371" t="n">
        <v>57603</v>
      </c>
      <c r="AI163" s="2371" t="n">
        <v>83077</v>
      </c>
      <c r="AJ163" s="2371" t="n">
        <v>140680</v>
      </c>
      <c r="AK163" s="2371" t="n">
        <v>-69674</v>
      </c>
      <c r="AL163" s="2339" t="n"/>
      <c r="AM163" s="2364" t="inlineStr">
        <is>
          <t>[NO SF] Ambrose; Q4 2024 ONLY (Oct–Dec, 3 months); lease-up/stabilizing; DO NOT use for annual PSF</t>
        </is>
      </c>
    </row>
    <row r="164" ht="14.1" customHeight="1" s="1449">
      <c r="A164" s="2358" t="inlineStr">
        <is>
          <t>P085</t>
        </is>
      </c>
      <c r="B164" s="2338" t="n">
        <v>210</v>
      </c>
      <c r="C164" s="2358" t="inlineStr">
        <is>
          <t>R0093018</t>
        </is>
      </c>
      <c r="D164" s="2358" t="inlineStr">
        <is>
          <t>3350 Peoria St</t>
        </is>
      </c>
      <c r="E164" s="2358" t="inlineStr">
        <is>
          <t>Denver</t>
        </is>
      </c>
      <c r="F164" s="2358" t="inlineStr">
        <is>
          <t>CO</t>
        </is>
      </c>
      <c r="G164" s="2358" t="inlineStr">
        <is>
          <t>Industrial</t>
        </is>
      </c>
      <c r="H164" s="2358" t="inlineStr">
        <is>
          <t>Office/Industrial Flex</t>
        </is>
      </c>
      <c r="I164" s="2359" t="n"/>
      <c r="J164" s="2359" t="n">
        <v>33057</v>
      </c>
      <c r="K164" s="2359" t="n">
        <v>2024</v>
      </c>
      <c r="L164" s="2358" t="n"/>
      <c r="M164" s="2358" t="n"/>
      <c r="N164" s="2360" t="n">
        <v>11.7474</v>
      </c>
      <c r="O164" s="2360" t="n">
        <v>0.8464</v>
      </c>
      <c r="P164" s="2360" t="n">
        <v>0.4718</v>
      </c>
      <c r="Q164" s="2358" t="n"/>
      <c r="R164" s="2358" t="n"/>
      <c r="S164" s="2358" t="n"/>
      <c r="T164" s="2358" t="n"/>
      <c r="U164" s="2360" t="n">
        <v>0.2489</v>
      </c>
      <c r="V164" s="2358" t="n"/>
      <c r="W164" s="2358" t="n"/>
      <c r="X164" s="2360" t="n">
        <v>2.7614</v>
      </c>
      <c r="Y164" s="2358" t="n"/>
      <c r="Z164" s="2358" t="n"/>
      <c r="AA164" s="2360" t="n">
        <v>0.1383</v>
      </c>
      <c r="AB164" s="2360" t="n">
        <v>0.07580000000000001</v>
      </c>
      <c r="AC164" s="2360" t="n">
        <v>1.6023</v>
      </c>
      <c r="AD164" s="2358" t="n"/>
      <c r="AE164" s="2358" t="n"/>
      <c r="AF164" s="2360" t="n">
        <v>1.6128</v>
      </c>
      <c r="AG164" s="2358" t="n"/>
      <c r="AH164" s="2360" t="n">
        <v>7.4837</v>
      </c>
      <c r="AI164" s="2358" t="n"/>
      <c r="AJ164" s="2360" t="n">
        <v>7.4837</v>
      </c>
      <c r="AK164" s="2360" t="n">
        <v>4.2637</v>
      </c>
      <c r="AL164" s="2358" t="n"/>
      <c r="AM164" s="2361" t="inlineStr">
        <is>
          <t>Owner P&amp;L 2024; RE taxes not broken out separately; contracts incl HVAC $8,229/alarm $9,124/landscape $4,573/snow $2,505</t>
        </is>
      </c>
    </row>
    <row r="165" ht="14.1" customHeight="1" s="1449">
      <c r="A165" s="2339" t="inlineStr">
        <is>
          <t>P086</t>
        </is>
      </c>
      <c r="B165" s="2338" t="n">
        <v>406</v>
      </c>
      <c r="C165" s="2339" t="inlineStr">
        <is>
          <t>R0210684</t>
        </is>
      </c>
      <c r="D165" s="2339" t="inlineStr">
        <is>
          <t>14200 E Moncrieff Place</t>
        </is>
      </c>
      <c r="E165" s="2339" t="inlineStr">
        <is>
          <t>Aurora</t>
        </is>
      </c>
      <c r="F165" s="2339" t="inlineStr">
        <is>
          <t>CO</t>
        </is>
      </c>
      <c r="G165" s="2339" t="inlineStr">
        <is>
          <t>Industrial</t>
        </is>
      </c>
      <c r="H165" s="2339" t="inlineStr">
        <is>
          <t>Industrial Warehouse</t>
        </is>
      </c>
      <c r="I165" s="2362" t="n">
        <v>1980</v>
      </c>
      <c r="J165" s="2362" t="n">
        <v>233808</v>
      </c>
      <c r="K165" s="2362" t="n">
        <v>2023</v>
      </c>
      <c r="L165" s="2339" t="n"/>
      <c r="M165" s="2339" t="n"/>
      <c r="N165" s="2363" t="n">
        <v>8.609299999999999</v>
      </c>
      <c r="O165" s="2363" t="n">
        <v>0.0521</v>
      </c>
      <c r="P165" s="2363" t="n">
        <v>0.167</v>
      </c>
      <c r="Q165" s="2339" t="n"/>
      <c r="R165" s="2339" t="n"/>
      <c r="S165" s="2339" t="n"/>
      <c r="T165" s="2339" t="n"/>
      <c r="U165" s="2339" t="n"/>
      <c r="V165" s="2339" t="n"/>
      <c r="W165" s="2339" t="n"/>
      <c r="X165" s="2363" t="n">
        <v>0.1877</v>
      </c>
      <c r="Y165" s="2363" t="n">
        <v>0.1877</v>
      </c>
      <c r="Z165" s="2339" t="n"/>
      <c r="AA165" s="2363" t="n">
        <v>0.0527</v>
      </c>
      <c r="AB165" s="2363" t="n">
        <v>0.138</v>
      </c>
      <c r="AC165" s="2363" t="n">
        <v>0.2173</v>
      </c>
      <c r="AD165" s="2363" t="n">
        <v>0.1223</v>
      </c>
      <c r="AE165" s="2339" t="n"/>
      <c r="AF165" s="2363" t="n">
        <v>0.1223</v>
      </c>
      <c r="AG165" s="2339" t="n"/>
      <c r="AH165" s="2363" t="n">
        <v>0.7875</v>
      </c>
      <c r="AI165" s="2363" t="n">
        <v>2.6041</v>
      </c>
      <c r="AJ165" s="2363" t="n">
        <v>3.3916</v>
      </c>
      <c r="AK165" s="2363" t="n">
        <v>5.2177</v>
      </c>
      <c r="AL165" s="2339" t="n"/>
      <c r="AM165" s="2364" t="inlineStr">
        <is>
          <t>Owner P&amp;L 2023; large industrial 233,808 SF; 1980 YOC; landscape $12,324/snow $32,256 in CAM</t>
        </is>
      </c>
    </row>
    <row r="166" ht="14.1" customHeight="1" s="1449">
      <c r="A166" s="2358" t="inlineStr">
        <is>
          <t>P086</t>
        </is>
      </c>
      <c r="B166" s="2338" t="n">
        <v>406</v>
      </c>
      <c r="C166" s="2358" t="inlineStr">
        <is>
          <t>R0210684</t>
        </is>
      </c>
      <c r="D166" s="2358" t="inlineStr">
        <is>
          <t>14200 E Moncrieff Place</t>
        </is>
      </c>
      <c r="E166" s="2358" t="inlineStr">
        <is>
          <t>Aurora</t>
        </is>
      </c>
      <c r="F166" s="2358" t="inlineStr">
        <is>
          <t>CO</t>
        </is>
      </c>
      <c r="G166" s="2358" t="inlineStr">
        <is>
          <t>Industrial</t>
        </is>
      </c>
      <c r="H166" s="2358" t="inlineStr">
        <is>
          <t>Industrial Warehouse</t>
        </is>
      </c>
      <c r="I166" s="2359" t="n">
        <v>1980</v>
      </c>
      <c r="J166" s="2359" t="n">
        <v>233808</v>
      </c>
      <c r="K166" s="2359" t="n">
        <v>2024</v>
      </c>
      <c r="L166" s="2358" t="n"/>
      <c r="M166" s="2358" t="n"/>
      <c r="N166" s="2360" t="n">
        <v>8.7334</v>
      </c>
      <c r="O166" s="2358" t="n"/>
      <c r="P166" s="2358" t="n"/>
      <c r="Q166" s="2358" t="n"/>
      <c r="R166" s="2358" t="n"/>
      <c r="S166" s="2358" t="n"/>
      <c r="T166" s="2358" t="n"/>
      <c r="U166" s="2358" t="n"/>
      <c r="V166" s="2358" t="n"/>
      <c r="W166" s="2358" t="n"/>
      <c r="X166" s="2358" t="n"/>
      <c r="Y166" s="2358" t="n"/>
      <c r="Z166" s="2358" t="n"/>
      <c r="AA166" s="2358" t="n"/>
      <c r="AB166" s="2358" t="n"/>
      <c r="AC166" s="2358" t="n"/>
      <c r="AD166" s="2358" t="n"/>
      <c r="AE166" s="2358" t="n"/>
      <c r="AF166" s="2358" t="n"/>
      <c r="AG166" s="2358" t="n"/>
      <c r="AH166" s="2358" t="n"/>
      <c r="AI166" s="2358" t="n"/>
      <c r="AJ166" s="2360" t="n">
        <v>3.5718</v>
      </c>
      <c r="AK166" s="2360" t="n">
        <v>5.1616</v>
      </c>
      <c r="AL166" s="2358" t="n"/>
      <c r="AM166" s="2361" t="inlineStr">
        <is>
          <t>Owner P&amp;L 2024; total OPX only – line items not fully detailed for 2024</t>
        </is>
      </c>
    </row>
    <row r="167" ht="14.1" customHeight="1" s="1449">
      <c r="A167" s="2339" t="inlineStr">
        <is>
          <t>P087</t>
        </is>
      </c>
      <c r="B167" s="2338" t="n">
        <v>407</v>
      </c>
      <c r="C167" s="2339" t="inlineStr">
        <is>
          <t>R0102985</t>
        </is>
      </c>
      <c r="D167" s="2339" t="inlineStr">
        <is>
          <t>5861 Tennyson St</t>
        </is>
      </c>
      <c r="E167" s="2339" t="inlineStr">
        <is>
          <t>Arvada</t>
        </is>
      </c>
      <c r="F167" s="2339" t="inlineStr">
        <is>
          <t>CO</t>
        </is>
      </c>
      <c r="G167" s="2339" t="inlineStr">
        <is>
          <t>Industrial</t>
        </is>
      </c>
      <c r="H167" s="2339" t="inlineStr">
        <is>
          <t>Industrial NNN</t>
        </is>
      </c>
      <c r="I167" s="2362" t="n">
        <v>2000</v>
      </c>
      <c r="J167" s="2362" t="n">
        <v>80640</v>
      </c>
      <c r="K167" s="2362" t="n">
        <v>2023</v>
      </c>
      <c r="L167" s="2363" t="n">
        <v>6.2378</v>
      </c>
      <c r="M167" s="2339" t="n"/>
      <c r="N167" s="2339" t="n"/>
      <c r="O167" s="2339" t="n"/>
      <c r="P167" s="2339" t="n"/>
      <c r="Q167" s="2339" t="n"/>
      <c r="R167" s="2339" t="n"/>
      <c r="S167" s="2339" t="n"/>
      <c r="T167" s="2339" t="n"/>
      <c r="U167" s="2339" t="n"/>
      <c r="V167" s="2339" t="n"/>
      <c r="W167" s="2339" t="n"/>
      <c r="X167" s="2339" t="n"/>
      <c r="Y167" s="2339" t="n"/>
      <c r="Z167" s="2339" t="n"/>
      <c r="AA167" s="2339" t="n"/>
      <c r="AB167" s="2339" t="n"/>
      <c r="AC167" s="2339" t="n"/>
      <c r="AD167" s="2339" t="n"/>
      <c r="AE167" s="2339" t="n"/>
      <c r="AF167" s="2339" t="n"/>
      <c r="AG167" s="2339" t="n"/>
      <c r="AH167" s="2363" t="n">
        <v>0.2057</v>
      </c>
      <c r="AI167" s="2339" t="n"/>
      <c r="AJ167" s="2363" t="n">
        <v>0.2057</v>
      </c>
      <c r="AK167" s="2363" t="n">
        <v>6.0321</v>
      </c>
      <c r="AL167" s="2339" t="n"/>
      <c r="AM167" s="2364" t="inlineStr">
        <is>
          <t>NNN; landlord expenses only; tenant pays RE taxes; 2023</t>
        </is>
      </c>
    </row>
    <row r="168" ht="14.1" customHeight="1" s="1449">
      <c r="A168" s="2358" t="inlineStr">
        <is>
          <t>P087</t>
        </is>
      </c>
      <c r="B168" s="2338" t="n">
        <v>407</v>
      </c>
      <c r="C168" s="2358" t="inlineStr">
        <is>
          <t>R0102985</t>
        </is>
      </c>
      <c r="D168" s="2358" t="inlineStr">
        <is>
          <t>5861 Tennyson St</t>
        </is>
      </c>
      <c r="E168" s="2358" t="inlineStr">
        <is>
          <t>Arvada</t>
        </is>
      </c>
      <c r="F168" s="2358" t="inlineStr">
        <is>
          <t>CO</t>
        </is>
      </c>
      <c r="G168" s="2358" t="inlineStr">
        <is>
          <t>Industrial</t>
        </is>
      </c>
      <c r="H168" s="2358" t="inlineStr">
        <is>
          <t>Industrial NNN</t>
        </is>
      </c>
      <c r="I168" s="2359" t="n">
        <v>2000</v>
      </c>
      <c r="J168" s="2359" t="n">
        <v>80640</v>
      </c>
      <c r="K168" s="2359" t="n">
        <v>2024</v>
      </c>
      <c r="L168" s="2360" t="n">
        <v>6.3625</v>
      </c>
      <c r="M168" s="2358" t="n"/>
      <c r="N168" s="2358" t="n"/>
      <c r="O168" s="2358" t="n"/>
      <c r="P168" s="2358" t="n"/>
      <c r="Q168" s="2358" t="n"/>
      <c r="R168" s="2358" t="n"/>
      <c r="S168" s="2358" t="n"/>
      <c r="T168" s="2358" t="n"/>
      <c r="U168" s="2358" t="n"/>
      <c r="V168" s="2358" t="n"/>
      <c r="W168" s="2358" t="n"/>
      <c r="X168" s="2358" t="n"/>
      <c r="Y168" s="2358" t="n"/>
      <c r="Z168" s="2358" t="n"/>
      <c r="AA168" s="2358" t="n"/>
      <c r="AB168" s="2358" t="n"/>
      <c r="AC168" s="2358" t="n"/>
      <c r="AD168" s="2358" t="n"/>
      <c r="AE168" s="2358" t="n"/>
      <c r="AF168" s="2358" t="n"/>
      <c r="AG168" s="2358" t="n"/>
      <c r="AH168" s="2360" t="n">
        <v>0.1921</v>
      </c>
      <c r="AI168" s="2358" t="n"/>
      <c r="AJ168" s="2360" t="n">
        <v>0.1921</v>
      </c>
      <c r="AK168" s="2360" t="n">
        <v>6.1704</v>
      </c>
      <c r="AL168" s="2358" t="n"/>
      <c r="AM168" s="2361" t="inlineStr">
        <is>
          <t>NNN; landlord expenses only; tenant pays RE taxes; 2024</t>
        </is>
      </c>
    </row>
    <row r="169" ht="14.1" customHeight="1" s="1449">
      <c r="A169" s="2339" t="inlineStr">
        <is>
          <t>P088</t>
        </is>
      </c>
      <c r="B169" s="2338" t="n">
        <v>210</v>
      </c>
      <c r="C169" s="2339" t="inlineStr">
        <is>
          <t>R0090973</t>
        </is>
      </c>
      <c r="D169" s="2339" t="inlineStr">
        <is>
          <t>3975 E 56th Ave</t>
        </is>
      </c>
      <c r="E169" s="2339" t="inlineStr">
        <is>
          <t>Commerce City</t>
        </is>
      </c>
      <c r="F169" s="2339" t="inlineStr">
        <is>
          <t>CO</t>
        </is>
      </c>
      <c r="G169" s="2339" t="inlineStr">
        <is>
          <t>Industrial</t>
        </is>
      </c>
      <c r="H169" s="2339" t="inlineStr">
        <is>
          <t>Multi-Tenant Industrial</t>
        </is>
      </c>
      <c r="I169" s="2362" t="n"/>
      <c r="J169" s="2362" t="n">
        <v>42299</v>
      </c>
      <c r="K169" s="2362" t="n">
        <v>2024</v>
      </c>
      <c r="L169" s="2339" t="n"/>
      <c r="M169" s="2339" t="n"/>
      <c r="N169" s="2363" t="n">
        <v>9.259499999999999</v>
      </c>
      <c r="O169" s="2339" t="n"/>
      <c r="P169" s="2339" t="n"/>
      <c r="Q169" s="2339" t="n"/>
      <c r="R169" s="2339" t="n"/>
      <c r="S169" s="2339" t="n"/>
      <c r="T169" s="2339" t="n"/>
      <c r="U169" s="2339" t="n"/>
      <c r="V169" s="2339" t="n"/>
      <c r="W169" s="2339" t="n"/>
      <c r="X169" s="2339" t="n"/>
      <c r="Y169" s="2339" t="n"/>
      <c r="Z169" s="2339" t="n"/>
      <c r="AA169" s="2339" t="n"/>
      <c r="AB169" s="2339" t="n"/>
      <c r="AC169" s="2339" t="n"/>
      <c r="AD169" s="2339" t="n"/>
      <c r="AE169" s="2339" t="n"/>
      <c r="AF169" s="2339" t="n"/>
      <c r="AG169" s="2339" t="n"/>
      <c r="AH169" s="2363" t="n">
        <v>0.7408</v>
      </c>
      <c r="AI169" s="2339" t="n"/>
      <c r="AJ169" s="2363" t="n">
        <v>0.7408</v>
      </c>
      <c r="AK169" s="2363" t="n">
        <v>8.518800000000001</v>
      </c>
      <c r="AL169" s="2339" t="n"/>
      <c r="AM169" s="2364" t="inlineStr">
        <is>
          <t>Sand Creek Business Park; owner P&amp;L 2024; limited line-item detail</t>
        </is>
      </c>
    </row>
    <row r="170" ht="14.1" customHeight="1" s="1449">
      <c r="A170" s="2358" t="inlineStr">
        <is>
          <t>P089</t>
        </is>
      </c>
      <c r="B170" s="2338" t="n">
        <v>407</v>
      </c>
      <c r="C170" s="2358" t="inlineStr">
        <is>
          <t>R0180951</t>
        </is>
      </c>
      <c r="D170" s="2358" t="inlineStr">
        <is>
          <t>(Address TBD – R0180951)</t>
        </is>
      </c>
      <c r="E170" s="2358" t="inlineStr">
        <is>
          <t>Adams County</t>
        </is>
      </c>
      <c r="F170" s="2358" t="inlineStr">
        <is>
          <t>CO</t>
        </is>
      </c>
      <c r="G170" s="2358" t="inlineStr">
        <is>
          <t>Industrial</t>
        </is>
      </c>
      <c r="H170" s="2358" t="inlineStr">
        <is>
          <t>Industrial NNN</t>
        </is>
      </c>
      <c r="I170" s="2359" t="n">
        <v>2016</v>
      </c>
      <c r="J170" s="2359" t="n">
        <v>122106</v>
      </c>
      <c r="K170" s="2359" t="n">
        <v>2023</v>
      </c>
      <c r="L170" s="2358" t="n"/>
      <c r="M170" s="2358" t="n"/>
      <c r="N170" s="2358" t="n"/>
      <c r="O170" s="2360" t="n">
        <v>0.0609</v>
      </c>
      <c r="P170" s="2358" t="n"/>
      <c r="Q170" s="2358" t="n"/>
      <c r="R170" s="2358" t="n"/>
      <c r="S170" s="2358" t="n"/>
      <c r="T170" s="2358" t="n"/>
      <c r="U170" s="2358" t="n"/>
      <c r="V170" s="2358" t="n"/>
      <c r="W170" s="2358" t="n"/>
      <c r="X170" s="2358" t="n"/>
      <c r="Y170" s="2358" t="n"/>
      <c r="Z170" s="2358" t="n"/>
      <c r="AA170" s="2358" t="n"/>
      <c r="AB170" s="2358" t="n"/>
      <c r="AC170" s="2360" t="n">
        <v>0.415</v>
      </c>
      <c r="AD170" s="2360" t="n">
        <v>0.4794</v>
      </c>
      <c r="AE170" s="2358" t="n"/>
      <c r="AF170" s="2360" t="n">
        <v>0.4794</v>
      </c>
      <c r="AG170" s="2358" t="n"/>
      <c r="AH170" s="2358" t="n"/>
      <c r="AI170" s="2360" t="n">
        <v>3.233</v>
      </c>
      <c r="AJ170" s="2360" t="n">
        <v>4.1884</v>
      </c>
      <c r="AK170" s="2358" t="n"/>
      <c r="AL170" s="2358" t="n"/>
      <c r="AM170" s="2361" t="inlineStr">
        <is>
          <t>NNN; landlord expenses only from WH Expenses 2026; 2016 YOC; 2023: RE Tax $394,774/Ins $7,435/Utils $58,541/CAM $50,680</t>
        </is>
      </c>
    </row>
    <row r="171" ht="14.1" customHeight="1" s="1449">
      <c r="A171" s="2339" t="inlineStr">
        <is>
          <t>P089</t>
        </is>
      </c>
      <c r="B171" s="2338" t="n">
        <v>407</v>
      </c>
      <c r="C171" s="2339" t="inlineStr">
        <is>
          <t>R0180951</t>
        </is>
      </c>
      <c r="D171" s="2339" t="inlineStr">
        <is>
          <t>(Address TBD – R0180951)</t>
        </is>
      </c>
      <c r="E171" s="2339" t="inlineStr">
        <is>
          <t>Adams County</t>
        </is>
      </c>
      <c r="F171" s="2339" t="inlineStr">
        <is>
          <t>CO</t>
        </is>
      </c>
      <c r="G171" s="2339" t="inlineStr">
        <is>
          <t>Industrial</t>
        </is>
      </c>
      <c r="H171" s="2339" t="inlineStr">
        <is>
          <t>Industrial NNN</t>
        </is>
      </c>
      <c r="I171" s="2362" t="n">
        <v>2016</v>
      </c>
      <c r="J171" s="2362" t="n">
        <v>122106</v>
      </c>
      <c r="K171" s="2362" t="n">
        <v>2024</v>
      </c>
      <c r="L171" s="2339" t="n"/>
      <c r="M171" s="2339" t="n"/>
      <c r="N171" s="2339" t="n"/>
      <c r="O171" s="2363" t="n">
        <v>0.0625</v>
      </c>
      <c r="P171" s="2339" t="n"/>
      <c r="Q171" s="2339" t="n"/>
      <c r="R171" s="2339" t="n"/>
      <c r="S171" s="2339" t="n"/>
      <c r="T171" s="2339" t="n"/>
      <c r="U171" s="2339" t="n"/>
      <c r="V171" s="2339" t="n"/>
      <c r="W171" s="2339" t="n"/>
      <c r="X171" s="2339" t="n"/>
      <c r="Y171" s="2339" t="n"/>
      <c r="Z171" s="2339" t="n"/>
      <c r="AA171" s="2339" t="n"/>
      <c r="AB171" s="2339" t="n"/>
      <c r="AC171" s="2363" t="n">
        <v>0.5279</v>
      </c>
      <c r="AD171" s="2363" t="n">
        <v>0.4794</v>
      </c>
      <c r="AE171" s="2339" t="n"/>
      <c r="AF171" s="2363" t="n">
        <v>0.4794</v>
      </c>
      <c r="AG171" s="2339" t="n"/>
      <c r="AH171" s="2339" t="n"/>
      <c r="AI171" s="2363" t="n">
        <v>4.358</v>
      </c>
      <c r="AJ171" s="2363" t="n">
        <v>5.4279</v>
      </c>
      <c r="AK171" s="2339" t="n"/>
      <c r="AL171" s="2339" t="n"/>
      <c r="AM171" s="2364" t="inlineStr">
        <is>
          <t>NNN; landlord expenses only from WH Expenses 2026; 2024: RE Tax $532,140/Ins $7,635/Utils $58,541/CAM $64,465</t>
        </is>
      </c>
    </row>
    <row r="172" ht="14.1" customHeight="1" s="1449">
      <c r="A172" s="2358" t="inlineStr">
        <is>
          <t>P090</t>
        </is>
      </c>
      <c r="B172" s="2338" t="n">
        <v>407</v>
      </c>
      <c r="C172" s="2358" t="inlineStr">
        <is>
          <t>R0110351</t>
        </is>
      </c>
      <c r="D172" s="2358" t="inlineStr">
        <is>
          <t>(Address TBD – R0110351)</t>
        </is>
      </c>
      <c r="E172" s="2358" t="inlineStr">
        <is>
          <t>Adams County</t>
        </is>
      </c>
      <c r="F172" s="2358" t="inlineStr">
        <is>
          <t>CO</t>
        </is>
      </c>
      <c r="G172" s="2358" t="inlineStr">
        <is>
          <t>Industrial</t>
        </is>
      </c>
      <c r="H172" s="2358" t="inlineStr">
        <is>
          <t>Industrial NNN</t>
        </is>
      </c>
      <c r="I172" s="2359" t="n">
        <v>2000</v>
      </c>
      <c r="J172" s="2359" t="n">
        <v>85200</v>
      </c>
      <c r="K172" s="2359" t="n">
        <v>2023</v>
      </c>
      <c r="L172" s="2358" t="n"/>
      <c r="M172" s="2358" t="n"/>
      <c r="N172" s="2358" t="n"/>
      <c r="O172" s="2360" t="n">
        <v>0.2413</v>
      </c>
      <c r="P172" s="2358" t="n"/>
      <c r="Q172" s="2358" t="n"/>
      <c r="R172" s="2358" t="n"/>
      <c r="S172" s="2358" t="n"/>
      <c r="T172" s="2358" t="n"/>
      <c r="U172" s="2358" t="n"/>
      <c r="V172" s="2358" t="n"/>
      <c r="W172" s="2358" t="n"/>
      <c r="X172" s="2358" t="n"/>
      <c r="Y172" s="2358" t="n"/>
      <c r="Z172" s="2358" t="n"/>
      <c r="AA172" s="2358" t="n"/>
      <c r="AB172" s="2358" t="n"/>
      <c r="AC172" s="2360" t="n">
        <v>0.2176</v>
      </c>
      <c r="AD172" s="2358" t="n"/>
      <c r="AE172" s="2358" t="n"/>
      <c r="AF172" s="2358" t="n"/>
      <c r="AG172" s="2358" t="n"/>
      <c r="AH172" s="2358" t="n"/>
      <c r="AI172" s="2360" t="n">
        <v>3.5826</v>
      </c>
      <c r="AJ172" s="2360" t="n">
        <v>4.0415</v>
      </c>
      <c r="AK172" s="2358" t="n"/>
      <c r="AL172" s="2358" t="n"/>
      <c r="AM172" s="2361" t="inlineStr">
        <is>
          <t>NNN; landlord expenses only from WH Expenses 2026; 2000 YOC; 2023: RE Tax $305,241/Ins $20,559/CAM $18,539</t>
        </is>
      </c>
    </row>
    <row r="173" ht="14.1" customHeight="1" s="1449">
      <c r="A173" s="2339" t="inlineStr">
        <is>
          <t>P090</t>
        </is>
      </c>
      <c r="B173" s="2338" t="n">
        <v>407</v>
      </c>
      <c r="C173" s="2339" t="inlineStr">
        <is>
          <t>R0110351</t>
        </is>
      </c>
      <c r="D173" s="2339" t="inlineStr">
        <is>
          <t>(Address TBD – R0110351)</t>
        </is>
      </c>
      <c r="E173" s="2339" t="inlineStr">
        <is>
          <t>Adams County</t>
        </is>
      </c>
      <c r="F173" s="2339" t="inlineStr">
        <is>
          <t>CO</t>
        </is>
      </c>
      <c r="G173" s="2339" t="inlineStr">
        <is>
          <t>Industrial</t>
        </is>
      </c>
      <c r="H173" s="2339" t="inlineStr">
        <is>
          <t>Industrial NNN</t>
        </is>
      </c>
      <c r="I173" s="2362" t="n">
        <v>2000</v>
      </c>
      <c r="J173" s="2362" t="n">
        <v>85200</v>
      </c>
      <c r="K173" s="2362" t="n">
        <v>2024</v>
      </c>
      <c r="L173" s="2339" t="n"/>
      <c r="M173" s="2339" t="n"/>
      <c r="N173" s="2339" t="n"/>
      <c r="O173" s="2363" t="n">
        <v>0.3002</v>
      </c>
      <c r="P173" s="2339" t="n"/>
      <c r="Q173" s="2339" t="n"/>
      <c r="R173" s="2339" t="n"/>
      <c r="S173" s="2339" t="n"/>
      <c r="T173" s="2339" t="n"/>
      <c r="U173" s="2339" t="n"/>
      <c r="V173" s="2339" t="n"/>
      <c r="W173" s="2339" t="n"/>
      <c r="X173" s="2339" t="n"/>
      <c r="Y173" s="2339" t="n"/>
      <c r="Z173" s="2339" t="n"/>
      <c r="AA173" s="2339" t="n"/>
      <c r="AB173" s="2339" t="n"/>
      <c r="AC173" s="2363" t="n">
        <v>0.2508</v>
      </c>
      <c r="AD173" s="2339" t="n"/>
      <c r="AE173" s="2339" t="n"/>
      <c r="AF173" s="2339" t="n"/>
      <c r="AG173" s="2339" t="n"/>
      <c r="AH173" s="2339" t="n"/>
      <c r="AI173" s="2363" t="n">
        <v>3.8945</v>
      </c>
      <c r="AJ173" s="2363" t="n">
        <v>4.4456</v>
      </c>
      <c r="AK173" s="2339" t="n"/>
      <c r="AL173" s="2339" t="n"/>
      <c r="AM173" s="2364" t="inlineStr">
        <is>
          <t>NNN; landlord expenses only from WH Expenses 2026; 2024: RE Tax $331,811/Ins $25,578/CAM $21,372</t>
        </is>
      </c>
    </row>
    <row r="174" ht="14.1" customHeight="1" s="1449">
      <c r="A174" s="2358" t="inlineStr">
        <is>
          <t>P091</t>
        </is>
      </c>
      <c r="B174" s="2338" t="n">
        <v>584</v>
      </c>
      <c r="C174" s="2358" t="inlineStr">
        <is>
          <t>R0198530</t>
        </is>
      </c>
      <c r="D174" s="2358" t="inlineStr">
        <is>
          <t>(Address TBD – R0198530)</t>
        </is>
      </c>
      <c r="E174" s="2358" t="inlineStr">
        <is>
          <t>Adams County</t>
        </is>
      </c>
      <c r="F174" s="2358" t="inlineStr">
        <is>
          <t>CO</t>
        </is>
      </c>
      <c r="G174" s="2358" t="inlineStr">
        <is>
          <t>Industrial</t>
        </is>
      </c>
      <c r="H174" s="2358" t="inlineStr">
        <is>
          <t>Industrial Mega-Warehouse NNN</t>
        </is>
      </c>
      <c r="I174" s="2359" t="n">
        <v>2019</v>
      </c>
      <c r="J174" s="2359" t="n">
        <v>555867</v>
      </c>
      <c r="K174" s="2359" t="n">
        <v>2024</v>
      </c>
      <c r="L174" s="2358" t="n"/>
      <c r="M174" s="2358" t="n"/>
      <c r="N174" s="2358" t="n"/>
      <c r="O174" s="2360" t="n">
        <v>0.1549</v>
      </c>
      <c r="P174" s="2360" t="n">
        <v>0.1152</v>
      </c>
      <c r="Q174" s="2358" t="n"/>
      <c r="R174" s="2358" t="n"/>
      <c r="S174" s="2358" t="n"/>
      <c r="T174" s="2358" t="n"/>
      <c r="U174" s="2358" t="n"/>
      <c r="V174" s="2358" t="n"/>
      <c r="W174" s="2358" t="n"/>
      <c r="X174" s="2358" t="n"/>
      <c r="Y174" s="2358" t="n"/>
      <c r="Z174" s="2358" t="n"/>
      <c r="AA174" s="2358" t="n"/>
      <c r="AB174" s="2358" t="n"/>
      <c r="AC174" s="2358" t="n"/>
      <c r="AD174" s="2358" t="n"/>
      <c r="AE174" s="2358" t="n"/>
      <c r="AF174" s="2358" t="n"/>
      <c r="AG174" s="2358" t="n"/>
      <c r="AH174" s="2358" t="n"/>
      <c r="AI174" s="2360" t="n">
        <v>3.8872</v>
      </c>
      <c r="AJ174" s="2360" t="n">
        <v>4.1573</v>
      </c>
      <c r="AK174" s="2358" t="n"/>
      <c r="AL174" s="2358" t="n"/>
      <c r="AM174" s="2361" t="inlineStr">
        <is>
          <t>Mega-warehouse 555,867 SF; NNN; landlord only: RE Tax $2,160,792/Ins $86,084/Mgmt $64,029; 2019 YOC</t>
        </is>
      </c>
    </row>
    <row r="175" ht="14.1" customHeight="1" s="1449">
      <c r="A175" s="2339" t="inlineStr">
        <is>
          <t>P092</t>
        </is>
      </c>
      <c r="B175" s="2338" t="n">
        <v>447</v>
      </c>
      <c r="C175" s="2339" t="inlineStr">
        <is>
          <t>R0180834</t>
        </is>
      </c>
      <c r="D175" s="2339" t="inlineStr">
        <is>
          <t>(Address TBD – R0180834)</t>
        </is>
      </c>
      <c r="E175" s="2339" t="inlineStr">
        <is>
          <t>Adams County</t>
        </is>
      </c>
      <c r="F175" s="2339" t="inlineStr">
        <is>
          <t>CO</t>
        </is>
      </c>
      <c r="G175" s="2339" t="inlineStr">
        <is>
          <t>Industrial</t>
        </is>
      </c>
      <c r="H175" s="2339" t="inlineStr">
        <is>
          <t>Cold Storage/Mega-Warehouse NNN</t>
        </is>
      </c>
      <c r="I175" s="2362" t="n">
        <v>2012</v>
      </c>
      <c r="J175" s="2362" t="n">
        <v>550031</v>
      </c>
      <c r="K175" s="2362" t="n">
        <v>2024</v>
      </c>
      <c r="L175" s="2339" t="n"/>
      <c r="M175" s="2339" t="n"/>
      <c r="N175" s="2339" t="n"/>
      <c r="O175" s="2363" t="n">
        <v>0.1402</v>
      </c>
      <c r="P175" s="2363" t="n">
        <v>0.251</v>
      </c>
      <c r="Q175" s="2339" t="n"/>
      <c r="R175" s="2339" t="n"/>
      <c r="S175" s="2339" t="n"/>
      <c r="T175" s="2339" t="n"/>
      <c r="U175" s="2339" t="n"/>
      <c r="V175" s="2339" t="n"/>
      <c r="W175" s="2339" t="n"/>
      <c r="X175" s="2339" t="n"/>
      <c r="Y175" s="2339" t="n"/>
      <c r="Z175" s="2339" t="n"/>
      <c r="AA175" s="2339" t="n"/>
      <c r="AB175" s="2339" t="n"/>
      <c r="AC175" s="2339" t="n"/>
      <c r="AD175" s="2339" t="n"/>
      <c r="AE175" s="2339" t="n"/>
      <c r="AF175" s="2339" t="n"/>
      <c r="AG175" s="2339" t="n"/>
      <c r="AH175" s="2339" t="n"/>
      <c r="AI175" s="2363" t="n">
        <v>3.8519</v>
      </c>
      <c r="AJ175" s="2363" t="n">
        <v>4.2431</v>
      </c>
      <c r="AK175" s="2339" t="n"/>
      <c r="AL175" s="2339" t="n"/>
      <c r="AM175" s="2364" t="inlineStr">
        <is>
          <t>Cold storage/mega-WH 550,031 SF; NNN; landlord only: RE Tax $2,118,655/Ins $77,117/Mgmt $138,053; 2012 YOC</t>
        </is>
      </c>
    </row>
    <row r="176" ht="14.1" customHeight="1" s="1449">
      <c r="A176" s="2358" t="inlineStr">
        <is>
          <t>P093</t>
        </is>
      </c>
      <c r="B176" s="2338" t="n">
        <v>407</v>
      </c>
      <c r="C176" s="2358" t="inlineStr">
        <is>
          <t>R0114792</t>
        </is>
      </c>
      <c r="D176" s="2358" t="inlineStr">
        <is>
          <t>(Address TBD – R0114792)</t>
        </is>
      </c>
      <c r="E176" s="2358" t="inlineStr">
        <is>
          <t>Adams County</t>
        </is>
      </c>
      <c r="F176" s="2358" t="inlineStr">
        <is>
          <t>CO</t>
        </is>
      </c>
      <c r="G176" s="2358" t="inlineStr">
        <is>
          <t>Industrial</t>
        </is>
      </c>
      <c r="H176" s="2358" t="inlineStr">
        <is>
          <t>Industrial NNN</t>
        </is>
      </c>
      <c r="I176" s="2359" t="n">
        <v>1998</v>
      </c>
      <c r="J176" s="2359" t="n">
        <v>64501</v>
      </c>
      <c r="K176" s="2359" t="n">
        <v>2023</v>
      </c>
      <c r="L176" s="2358" t="n"/>
      <c r="M176" s="2358" t="n"/>
      <c r="N176" s="2358" t="n"/>
      <c r="O176" s="2360" t="n">
        <v>0.1487</v>
      </c>
      <c r="P176" s="2360" t="n">
        <v>0.365</v>
      </c>
      <c r="Q176" s="2358" t="n"/>
      <c r="R176" s="2358" t="n"/>
      <c r="S176" s="2358" t="n"/>
      <c r="T176" s="2358" t="n"/>
      <c r="U176" s="2358" t="n"/>
      <c r="V176" s="2358" t="n"/>
      <c r="W176" s="2358" t="n"/>
      <c r="X176" s="2358" t="n"/>
      <c r="Y176" s="2358" t="n"/>
      <c r="Z176" s="2358" t="n"/>
      <c r="AA176" s="2358" t="n"/>
      <c r="AB176" s="2358" t="n"/>
      <c r="AC176" s="2358" t="n"/>
      <c r="AD176" s="2358" t="n"/>
      <c r="AE176" s="2358" t="n"/>
      <c r="AF176" s="2358" t="n"/>
      <c r="AG176" s="2358" t="n"/>
      <c r="AH176" s="2358" t="n"/>
      <c r="AI176" s="2360" t="n">
        <v>3.1201</v>
      </c>
      <c r="AJ176" s="2360" t="n">
        <v>3.6337</v>
      </c>
      <c r="AK176" s="2358" t="n"/>
      <c r="AL176" s="2358" t="n"/>
      <c r="AM176" s="2361" t="inlineStr">
        <is>
          <t>NNN; landlord only: RE Tax $201,248/Ins $9,589/Mgmt $23,542; 1998 YOC</t>
        </is>
      </c>
    </row>
    <row r="177" ht="14.1" customHeight="1" s="1449">
      <c r="A177" s="2339" t="inlineStr">
        <is>
          <t>P093</t>
        </is>
      </c>
      <c r="B177" s="2338" t="n">
        <v>407</v>
      </c>
      <c r="C177" s="2339" t="inlineStr">
        <is>
          <t>R0114792</t>
        </is>
      </c>
      <c r="D177" s="2339" t="inlineStr">
        <is>
          <t>(Address TBD – R0114792)</t>
        </is>
      </c>
      <c r="E177" s="2339" t="inlineStr">
        <is>
          <t>Adams County</t>
        </is>
      </c>
      <c r="F177" s="2339" t="inlineStr">
        <is>
          <t>CO</t>
        </is>
      </c>
      <c r="G177" s="2339" t="inlineStr">
        <is>
          <t>Industrial</t>
        </is>
      </c>
      <c r="H177" s="2339" t="inlineStr">
        <is>
          <t>Industrial NNN</t>
        </is>
      </c>
      <c r="I177" s="2362" t="n">
        <v>1998</v>
      </c>
      <c r="J177" s="2362" t="n">
        <v>64501</v>
      </c>
      <c r="K177" s="2362" t="n">
        <v>2024</v>
      </c>
      <c r="L177" s="2339" t="n"/>
      <c r="M177" s="2339" t="n"/>
      <c r="N177" s="2339" t="n"/>
      <c r="O177" s="2363" t="n">
        <v>0.1168</v>
      </c>
      <c r="P177" s="2363" t="n">
        <v>0.3704</v>
      </c>
      <c r="Q177" s="2339" t="n"/>
      <c r="R177" s="2339" t="n"/>
      <c r="S177" s="2339" t="n"/>
      <c r="T177" s="2339" t="n"/>
      <c r="U177" s="2339" t="n"/>
      <c r="V177" s="2339" t="n"/>
      <c r="W177" s="2339" t="n"/>
      <c r="X177" s="2339" t="n"/>
      <c r="Y177" s="2339" t="n"/>
      <c r="Z177" s="2339" t="n"/>
      <c r="AA177" s="2339" t="n"/>
      <c r="AB177" s="2339" t="n"/>
      <c r="AC177" s="2339" t="n"/>
      <c r="AD177" s="2339" t="n"/>
      <c r="AE177" s="2339" t="n"/>
      <c r="AF177" s="2339" t="n"/>
      <c r="AG177" s="2339" t="n"/>
      <c r="AH177" s="2339" t="n"/>
      <c r="AI177" s="2363" t="n">
        <v>3.7914</v>
      </c>
      <c r="AJ177" s="2363" t="n">
        <v>4.2786</v>
      </c>
      <c r="AK177" s="2339" t="n"/>
      <c r="AL177" s="2339" t="n"/>
      <c r="AM177" s="2364" t="inlineStr">
        <is>
          <t>NNN; landlord only: RE Tax $244,551/Ins $7,536/Mgmt $23,889</t>
        </is>
      </c>
    </row>
    <row r="178" ht="14.1" customHeight="1" s="1449">
      <c r="A178" s="2358" t="inlineStr">
        <is>
          <t>P027</t>
        </is>
      </c>
      <c r="B178" s="2338" t="n">
        <v>407</v>
      </c>
      <c r="C178" s="2358" t="inlineStr">
        <is>
          <t>R0132030</t>
        </is>
      </c>
      <c r="D178" s="2358" t="inlineStr">
        <is>
          <t>(R0132030)</t>
        </is>
      </c>
      <c r="E178" s="2358" t="inlineStr">
        <is>
          <t>Adams County</t>
        </is>
      </c>
      <c r="F178" s="2358" t="inlineStr">
        <is>
          <t>CO</t>
        </is>
      </c>
      <c r="G178" s="2358" t="inlineStr">
        <is>
          <t>Industrial</t>
        </is>
      </c>
      <c r="H178" s="2358" t="inlineStr">
        <is>
          <t>Industrial NNN</t>
        </is>
      </c>
      <c r="I178" s="2359" t="n"/>
      <c r="J178" s="2359" t="n">
        <v>200094</v>
      </c>
      <c r="K178" s="2359" t="n">
        <v>2024</v>
      </c>
      <c r="L178" s="2358" t="n"/>
      <c r="M178" s="2358" t="n"/>
      <c r="N178" s="2358" t="n"/>
      <c r="O178" s="2360" t="n">
        <v>0.1315</v>
      </c>
      <c r="P178" s="2360" t="n">
        <v>0.2443</v>
      </c>
      <c r="Q178" s="2358" t="n"/>
      <c r="R178" s="2358" t="n"/>
      <c r="S178" s="2358" t="n"/>
      <c r="T178" s="2358" t="n"/>
      <c r="U178" s="2358" t="n"/>
      <c r="V178" s="2358" t="n"/>
      <c r="W178" s="2358" t="n"/>
      <c r="X178" s="2358" t="n"/>
      <c r="Y178" s="2358" t="n"/>
      <c r="Z178" s="2358" t="n"/>
      <c r="AA178" s="2358" t="n"/>
      <c r="AB178" s="2358" t="n"/>
      <c r="AC178" s="2360" t="n">
        <v>0.4013</v>
      </c>
      <c r="AD178" s="2360" t="n">
        <v>0.321</v>
      </c>
      <c r="AE178" s="2358" t="n"/>
      <c r="AF178" s="2360" t="n">
        <v>0.321</v>
      </c>
      <c r="AG178" s="2358" t="n"/>
      <c r="AH178" s="2358" t="n"/>
      <c r="AI178" s="2360" t="n">
        <v>2.2004</v>
      </c>
      <c r="AJ178" s="2360" t="n">
        <v>3.297</v>
      </c>
      <c r="AK178" s="2358" t="n"/>
      <c r="AL178" s="2358" t="n"/>
      <c r="AM178" s="2361" t="inlineStr">
        <is>
          <t>NNN; WH Expenses 2026 landlord data: RE Tax $440,287/Ins $26,308/Utils $64,237/Mgmt $48,882/CAM $80,298</t>
        </is>
      </c>
    </row>
    <row r="179" ht="14.1" customHeight="1" s="1449">
      <c r="A179" s="2339" t="inlineStr">
        <is>
          <t>P028</t>
        </is>
      </c>
      <c r="B179" s="2338" t="n">
        <v>407</v>
      </c>
      <c r="C179" s="2339" t="inlineStr">
        <is>
          <t>R0084040</t>
        </is>
      </c>
      <c r="D179" s="2339" t="inlineStr">
        <is>
          <t>(R0084040)</t>
        </is>
      </c>
      <c r="E179" s="2339" t="inlineStr">
        <is>
          <t>Adams County</t>
        </is>
      </c>
      <c r="F179" s="2339" t="inlineStr">
        <is>
          <t>CO</t>
        </is>
      </c>
      <c r="G179" s="2339" t="inlineStr">
        <is>
          <t>Industrial</t>
        </is>
      </c>
      <c r="H179" s="2339" t="inlineStr">
        <is>
          <t>Industrial NNN</t>
        </is>
      </c>
      <c r="I179" s="2362" t="n"/>
      <c r="J179" s="2362" t="n"/>
      <c r="K179" s="2362" t="n">
        <v>2024</v>
      </c>
      <c r="L179" s="2339" t="n"/>
      <c r="M179" s="2339" t="n"/>
      <c r="N179" s="2339" t="n"/>
      <c r="O179" s="2371" t="n">
        <v>24025</v>
      </c>
      <c r="P179" s="2371" t="n">
        <v>65817</v>
      </c>
      <c r="Q179" s="2339" t="n"/>
      <c r="R179" s="2339" t="n"/>
      <c r="S179" s="2339" t="n"/>
      <c r="T179" s="2339" t="n"/>
      <c r="U179" s="2339" t="n"/>
      <c r="V179" s="2339" t="n"/>
      <c r="W179" s="2339" t="n"/>
      <c r="X179" s="2339" t="n"/>
      <c r="Y179" s="2339" t="n"/>
      <c r="Z179" s="2339" t="n"/>
      <c r="AA179" s="2339" t="n"/>
      <c r="AB179" s="2339" t="n"/>
      <c r="AC179" s="2371" t="n">
        <v>128840</v>
      </c>
      <c r="AD179" s="2371" t="n">
        <v>69481</v>
      </c>
      <c r="AE179" s="2339" t="n"/>
      <c r="AF179" s="2371" t="n">
        <v>69481</v>
      </c>
      <c r="AG179" s="2339" t="n"/>
      <c r="AH179" s="2339" t="n"/>
      <c r="AI179" s="2371" t="n">
        <v>598274</v>
      </c>
      <c r="AJ179" s="2371" t="n">
        <v>886437</v>
      </c>
      <c r="AK179" s="2339" t="n"/>
      <c r="AL179" s="2339" t="n"/>
      <c r="AM179" s="2364" t="inlineStr">
        <is>
          <t>[NO SF] NNN; WH Expenses 2026 landlord data: RE Tax $598,274/Ins $24,025/Utils $69,481/Mgmt $65,817/CAM $128,840</t>
        </is>
      </c>
    </row>
    <row r="180" ht="14.1" customHeight="1" s="1449">
      <c r="A180" s="2358" t="inlineStr">
        <is>
          <t>P034</t>
        </is>
      </c>
      <c r="B180" s="2338" t="n">
        <v>407</v>
      </c>
      <c r="C180" s="2358" t="inlineStr">
        <is>
          <t>R0172865</t>
        </is>
      </c>
      <c r="D180" s="2358" t="inlineStr">
        <is>
          <t>(R0172865)</t>
        </is>
      </c>
      <c r="E180" s="2358" t="inlineStr">
        <is>
          <t>Adams County</t>
        </is>
      </c>
      <c r="F180" s="2358" t="inlineStr">
        <is>
          <t>CO</t>
        </is>
      </c>
      <c r="G180" s="2358" t="inlineStr">
        <is>
          <t>Industrial</t>
        </is>
      </c>
      <c r="H180" s="2358" t="inlineStr">
        <is>
          <t>Industrial NNN</t>
        </is>
      </c>
      <c r="I180" s="2359" t="n"/>
      <c r="J180" s="2359" t="n">
        <v>215461</v>
      </c>
      <c r="K180" s="2359" t="n">
        <v>2024</v>
      </c>
      <c r="L180" s="2358" t="n"/>
      <c r="M180" s="2358" t="n"/>
      <c r="N180" s="2358" t="n"/>
      <c r="O180" s="2360" t="n">
        <v>0.1431</v>
      </c>
      <c r="P180" s="2360" t="n">
        <v>0.331</v>
      </c>
      <c r="Q180" s="2358" t="n"/>
      <c r="R180" s="2358" t="n"/>
      <c r="S180" s="2358" t="n"/>
      <c r="T180" s="2358" t="n"/>
      <c r="U180" s="2358" t="n"/>
      <c r="V180" s="2358" t="n"/>
      <c r="W180" s="2358" t="n"/>
      <c r="X180" s="2358" t="n"/>
      <c r="Y180" s="2358" t="n"/>
      <c r="Z180" s="2358" t="n"/>
      <c r="AA180" s="2358" t="n"/>
      <c r="AB180" s="2358" t="n"/>
      <c r="AC180" s="2360" t="n">
        <v>0.5903</v>
      </c>
      <c r="AD180" s="2360" t="n">
        <v>0.4731</v>
      </c>
      <c r="AE180" s="2358" t="n"/>
      <c r="AF180" s="2360" t="n">
        <v>0.4731</v>
      </c>
      <c r="AG180" s="2358" t="n"/>
      <c r="AH180" s="2358" t="n"/>
      <c r="AI180" s="2360" t="n">
        <v>2.6197</v>
      </c>
      <c r="AJ180" s="2360" t="n">
        <v>4.1572</v>
      </c>
      <c r="AK180" s="2358" t="n"/>
      <c r="AL180" s="2358" t="n"/>
      <c r="AM180" s="2361" t="inlineStr">
        <is>
          <t>NNN; WH Expenses 2026 landlord data: RE Tax $564,450/Ins $30,832/Utils $101,924/Mgmt $71,321/CAM $127,177</t>
        </is>
      </c>
    </row>
    <row r="181" ht="14.1" customHeight="1" s="1449">
      <c r="A181" s="2339" t="inlineStr">
        <is>
          <t>P036</t>
        </is>
      </c>
      <c r="B181" s="2338" t="n">
        <v>407</v>
      </c>
      <c r="C181" s="2339" t="inlineStr">
        <is>
          <t>R0172868</t>
        </is>
      </c>
      <c r="D181" s="2339" t="inlineStr">
        <is>
          <t>(R0172868)</t>
        </is>
      </c>
      <c r="E181" s="2339" t="inlineStr">
        <is>
          <t>Adams County</t>
        </is>
      </c>
      <c r="F181" s="2339" t="inlineStr">
        <is>
          <t>CO</t>
        </is>
      </c>
      <c r="G181" s="2339" t="inlineStr">
        <is>
          <t>Industrial</t>
        </is>
      </c>
      <c r="H181" s="2339" t="inlineStr">
        <is>
          <t>Industrial NNN</t>
        </is>
      </c>
      <c r="I181" s="2362" t="n"/>
      <c r="J181" s="2362" t="n">
        <v>200000</v>
      </c>
      <c r="K181" s="2362" t="n">
        <v>2024</v>
      </c>
      <c r="L181" s="2339" t="n"/>
      <c r="M181" s="2339" t="n"/>
      <c r="N181" s="2339" t="n"/>
      <c r="O181" s="2363" t="n">
        <v>0.153</v>
      </c>
      <c r="P181" s="2363" t="n">
        <v>0.1804</v>
      </c>
      <c r="Q181" s="2339" t="n"/>
      <c r="R181" s="2339" t="n"/>
      <c r="S181" s="2339" t="n"/>
      <c r="T181" s="2339" t="n"/>
      <c r="U181" s="2339" t="n"/>
      <c r="V181" s="2339" t="n"/>
      <c r="W181" s="2339" t="n"/>
      <c r="X181" s="2339" t="n"/>
      <c r="Y181" s="2339" t="n"/>
      <c r="Z181" s="2339" t="n"/>
      <c r="AA181" s="2339" t="n"/>
      <c r="AB181" s="2339" t="n"/>
      <c r="AC181" s="2363" t="n">
        <v>0.479</v>
      </c>
      <c r="AD181" s="2339" t="n"/>
      <c r="AE181" s="2339" t="n"/>
      <c r="AF181" s="2339" t="n"/>
      <c r="AG181" s="2339" t="n"/>
      <c r="AH181" s="2339" t="n"/>
      <c r="AI181" s="2363" t="n">
        <v>3.041</v>
      </c>
      <c r="AJ181" s="2363" t="n">
        <v>3.8534</v>
      </c>
      <c r="AK181" s="2339" t="n"/>
      <c r="AL181" s="2339" t="n"/>
      <c r="AM181" s="2364" t="inlineStr">
        <is>
          <t>NNN; WH Expenses 2026 landlord data: RE Tax $608,209/Ins $30,594/Mgmt $36,085/CAM $95,792</t>
        </is>
      </c>
    </row>
    <row r="182" ht="14.1" customHeight="1" s="1449">
      <c r="A182" s="2358" t="inlineStr">
        <is>
          <t>P061</t>
        </is>
      </c>
      <c r="B182" s="2338" t="n">
        <v>584</v>
      </c>
      <c r="C182" s="2358" t="inlineStr">
        <is>
          <t>R0083935</t>
        </is>
      </c>
      <c r="D182" s="2358" t="inlineStr">
        <is>
          <t>(R0083935)</t>
        </is>
      </c>
      <c r="E182" s="2358" t="inlineStr">
        <is>
          <t>Adams County</t>
        </is>
      </c>
      <c r="F182" s="2358" t="inlineStr">
        <is>
          <t>CO</t>
        </is>
      </c>
      <c r="G182" s="2358" t="inlineStr">
        <is>
          <t>Industrial</t>
        </is>
      </c>
      <c r="H182" s="2358" t="inlineStr">
        <is>
          <t>Industrial NNN</t>
        </is>
      </c>
      <c r="I182" s="2359" t="n"/>
      <c r="J182" s="2359" t="n">
        <v>277690</v>
      </c>
      <c r="K182" s="2359" t="n">
        <v>2024</v>
      </c>
      <c r="L182" s="2358" t="n"/>
      <c r="M182" s="2358" t="n"/>
      <c r="N182" s="2358" t="n"/>
      <c r="O182" s="2360" t="n">
        <v>0.2911</v>
      </c>
      <c r="P182" s="2360" t="n">
        <v>0.6228</v>
      </c>
      <c r="Q182" s="2358" t="n"/>
      <c r="R182" s="2358" t="n"/>
      <c r="S182" s="2358" t="n"/>
      <c r="T182" s="2358" t="n"/>
      <c r="U182" s="2358" t="n"/>
      <c r="V182" s="2358" t="n"/>
      <c r="W182" s="2358" t="n"/>
      <c r="X182" s="2358" t="n"/>
      <c r="Y182" s="2358" t="n"/>
      <c r="Z182" s="2358" t="n"/>
      <c r="AA182" s="2358" t="n"/>
      <c r="AB182" s="2358" t="n"/>
      <c r="AC182" s="2360" t="n">
        <v>1.0179</v>
      </c>
      <c r="AD182" s="2360" t="n">
        <v>0.7056</v>
      </c>
      <c r="AE182" s="2358" t="n"/>
      <c r="AF182" s="2360" t="n">
        <v>0.7056</v>
      </c>
      <c r="AG182" s="2358" t="n"/>
      <c r="AH182" s="2358" t="n"/>
      <c r="AI182" s="2360" t="n">
        <v>2.8384</v>
      </c>
      <c r="AJ182" s="2360" t="n">
        <v>5.4758</v>
      </c>
      <c r="AK182" s="2358" t="n"/>
      <c r="AL182" s="2358" t="n"/>
      <c r="AM182" s="2361" t="inlineStr">
        <is>
          <t>NNN; WH Expenses 2026 landlord data 2024; ranges used (midpoints): RE Tax ~$788k/Ins ~$81k/Utils $195,945/Mgmt $172,937/CAM ~$283k</t>
        </is>
      </c>
    </row>
    <row r="183" ht="14.1" customHeight="1" s="1449">
      <c r="A183" s="2339" t="inlineStr">
        <is>
          <t>P069</t>
        </is>
      </c>
      <c r="B183" s="2338" t="n">
        <v>210</v>
      </c>
      <c r="C183" s="2339" t="inlineStr">
        <is>
          <t>R0098223</t>
        </is>
      </c>
      <c r="D183" s="2339" t="inlineStr">
        <is>
          <t>(R0098223)</t>
        </is>
      </c>
      <c r="E183" s="2339" t="inlineStr">
        <is>
          <t>Adams County</t>
        </is>
      </c>
      <c r="F183" s="2339" t="inlineStr">
        <is>
          <t>CO</t>
        </is>
      </c>
      <c r="G183" s="2339" t="inlineStr">
        <is>
          <t>Industrial</t>
        </is>
      </c>
      <c r="H183" s="2339" t="inlineStr">
        <is>
          <t>Industrial</t>
        </is>
      </c>
      <c r="I183" s="2362" t="n"/>
      <c r="J183" s="2362" t="n"/>
      <c r="K183" s="2362" t="n">
        <v>2023</v>
      </c>
      <c r="L183" s="2339" t="n"/>
      <c r="M183" s="2339" t="n"/>
      <c r="N183" s="2339" t="n"/>
      <c r="O183" s="2339" t="n"/>
      <c r="P183" s="2339" t="n"/>
      <c r="Q183" s="2339" t="n"/>
      <c r="R183" s="2339" t="n"/>
      <c r="S183" s="2339" t="n"/>
      <c r="T183" s="2339" t="n"/>
      <c r="U183" s="2339" t="n"/>
      <c r="V183" s="2339" t="n"/>
      <c r="W183" s="2339" t="n"/>
      <c r="X183" s="2339" t="n"/>
      <c r="Y183" s="2339" t="n"/>
      <c r="Z183" s="2339" t="n"/>
      <c r="AA183" s="2339" t="n"/>
      <c r="AB183" s="2339" t="n"/>
      <c r="AC183" s="2339" t="n"/>
      <c r="AD183" s="2339" t="n"/>
      <c r="AE183" s="2339" t="n"/>
      <c r="AF183" s="2339" t="n"/>
      <c r="AG183" s="2339" t="n"/>
      <c r="AH183" s="2339" t="n"/>
      <c r="AI183" s="2339" t="n"/>
      <c r="AJ183" s="2339" t="n"/>
      <c r="AK183" s="2371" t="n">
        <v>951113</v>
      </c>
      <c r="AL183" s="2339" t="n"/>
      <c r="AM183" s="2364" t="inlineStr">
        <is>
          <t>[NO SF] CORRECTED: previous entry had wrong NOI ($76,629). Correct 2023 NOI = $951,113 per WH Expenses 2026</t>
        </is>
      </c>
    </row>
    <row r="184" ht="14.1" customHeight="1" s="1449">
      <c r="A184" s="2358" t="inlineStr">
        <is>
          <t>P069</t>
        </is>
      </c>
      <c r="B184" s="2338" t="n">
        <v>210</v>
      </c>
      <c r="C184" s="2358" t="inlineStr">
        <is>
          <t>R0098223</t>
        </is>
      </c>
      <c r="D184" s="2358" t="inlineStr">
        <is>
          <t>(R0098223)</t>
        </is>
      </c>
      <c r="E184" s="2358" t="inlineStr">
        <is>
          <t>Adams County</t>
        </is>
      </c>
      <c r="F184" s="2358" t="inlineStr">
        <is>
          <t>CO</t>
        </is>
      </c>
      <c r="G184" s="2358" t="inlineStr">
        <is>
          <t>Industrial</t>
        </is>
      </c>
      <c r="H184" s="2358" t="inlineStr">
        <is>
          <t>Industrial</t>
        </is>
      </c>
      <c r="I184" s="2359" t="n"/>
      <c r="J184" s="2359" t="n"/>
      <c r="K184" s="2359" t="n">
        <v>2024</v>
      </c>
      <c r="L184" s="2358" t="n"/>
      <c r="M184" s="2358" t="n"/>
      <c r="N184" s="2358" t="n"/>
      <c r="O184" s="2358" t="n"/>
      <c r="P184" s="2358" t="n"/>
      <c r="Q184" s="2358" t="n"/>
      <c r="R184" s="2358" t="n"/>
      <c r="S184" s="2358" t="n"/>
      <c r="T184" s="2358" t="n"/>
      <c r="U184" s="2358" t="n"/>
      <c r="V184" s="2358" t="n"/>
      <c r="W184" s="2358" t="n"/>
      <c r="X184" s="2358" t="n"/>
      <c r="Y184" s="2358" t="n"/>
      <c r="Z184" s="2358" t="n"/>
      <c r="AA184" s="2358" t="n"/>
      <c r="AB184" s="2358" t="n"/>
      <c r="AC184" s="2358" t="n"/>
      <c r="AD184" s="2358" t="n"/>
      <c r="AE184" s="2358" t="n"/>
      <c r="AF184" s="2358" t="n"/>
      <c r="AG184" s="2358" t="n"/>
      <c r="AH184" s="2358" t="n"/>
      <c r="AI184" s="2358" t="n"/>
      <c r="AJ184" s="2358" t="n"/>
      <c r="AK184" s="2370" t="n">
        <v>1005999</v>
      </c>
      <c r="AL184" s="2358" t="n"/>
      <c r="AM184" s="2361" t="inlineStr">
        <is>
          <t>[NO SF] New 2024 row from WH Expenses 2026; NOI $1,005,999</t>
        </is>
      </c>
    </row>
    <row r="185" ht="14.1" customHeight="1" s="1449">
      <c r="A185" s="2339" t="inlineStr">
        <is>
          <t>P094</t>
        </is>
      </c>
      <c r="B185" s="2338" t="n">
        <v>407</v>
      </c>
      <c r="C185" s="2339" t="inlineStr">
        <is>
          <t>R0104122</t>
        </is>
      </c>
      <c r="D185" s="2339" t="inlineStr">
        <is>
          <t>550 W 53rd Pl</t>
        </is>
      </c>
      <c r="E185" s="2339" t="inlineStr">
        <is>
          <t>Denver</t>
        </is>
      </c>
      <c r="F185" s="2339" t="inlineStr">
        <is>
          <t>CO</t>
        </is>
      </c>
      <c r="G185" s="2339" t="inlineStr">
        <is>
          <t>Industrial</t>
        </is>
      </c>
      <c r="H185" s="2339" t="inlineStr">
        <is>
          <t>Distribution Warehouse</t>
        </is>
      </c>
      <c r="I185" s="2362" t="n">
        <v>1971</v>
      </c>
      <c r="J185" s="2362" t="n">
        <v>127900</v>
      </c>
      <c r="K185" s="2362" t="n">
        <v>2024</v>
      </c>
      <c r="L185" s="2363" t="n">
        <v>6.5</v>
      </c>
      <c r="M185" s="2339" t="n"/>
      <c r="N185" s="2363" t="n">
        <v>6.11</v>
      </c>
      <c r="O185" s="2339" t="n"/>
      <c r="P185" s="2339" t="n"/>
      <c r="Q185" s="2339" t="n"/>
      <c r="R185" s="2339" t="n"/>
      <c r="S185" s="2339" t="n"/>
      <c r="T185" s="2339" t="n"/>
      <c r="U185" s="2339" t="n"/>
      <c r="V185" s="2339" t="n"/>
      <c r="W185" s="2339" t="n"/>
      <c r="X185" s="2339" t="n"/>
      <c r="Y185" s="2339" t="n"/>
      <c r="Z185" s="2339" t="n"/>
      <c r="AA185" s="2339" t="n"/>
      <c r="AB185" s="2339" t="n"/>
      <c r="AC185" s="2339" t="n"/>
      <c r="AD185" s="2339" t="n"/>
      <c r="AE185" s="2339" t="n"/>
      <c r="AF185" s="2339" t="n"/>
      <c r="AG185" s="2339" t="n"/>
      <c r="AH185" s="2363" t="n">
        <v>0.4888</v>
      </c>
      <c r="AI185" s="2339" t="n"/>
      <c r="AJ185" s="2363" t="n">
        <v>0.4888</v>
      </c>
      <c r="AK185" s="2363" t="n">
        <v>5.6212</v>
      </c>
      <c r="AL185" s="2339" t="n"/>
      <c r="AM185" s="2364" t="inlineStr">
        <is>
          <t>Appraiser income approach (CBOE 2024 abatement); market rent $6.50/SF; vac 6%; OPX 5% + reserves 3%; 6.00% OAR; value $11,985,000</t>
        </is>
      </c>
    </row>
    <row r="186" ht="14.1" customHeight="1" s="1449">
      <c r="A186" s="2372" t="inlineStr">
        <is>
          <t>P095</t>
        </is>
      </c>
      <c r="B186" s="2338" t="n">
        <v>386</v>
      </c>
      <c r="C186" s="2372" t="inlineStr">
        <is>
          <t>R0086010</t>
        </is>
      </c>
      <c r="D186" s="2372" t="inlineStr">
        <is>
          <t>15413 E 18th Ave</t>
        </is>
      </c>
      <c r="E186" s="2372" t="inlineStr">
        <is>
          <t>Aurora</t>
        </is>
      </c>
      <c r="F186" s="2372" t="inlineStr">
        <is>
          <t>CO</t>
        </is>
      </c>
      <c r="G186" s="2372" t="inlineStr">
        <is>
          <t>Self-Storage</t>
        </is>
      </c>
      <c r="H186" s="2372" t="inlineStr">
        <is>
          <t>Self-Storage</t>
        </is>
      </c>
      <c r="I186" s="2373" t="n">
        <v>1984</v>
      </c>
      <c r="J186" s="2373" t="n">
        <v>63989</v>
      </c>
      <c r="K186" s="2373" t="n">
        <v>2024</v>
      </c>
      <c r="L186" s="2374" t="n">
        <v>15.0547</v>
      </c>
      <c r="M186" s="2374" t="n">
        <v>0.1953</v>
      </c>
      <c r="N186" s="2374" t="n">
        <v>12.9919</v>
      </c>
      <c r="O186" s="2372" t="n"/>
      <c r="P186" s="2372" t="n"/>
      <c r="Q186" s="2372" t="n"/>
      <c r="R186" s="2372" t="n"/>
      <c r="S186" s="2372" t="n"/>
      <c r="T186" s="2372" t="n"/>
      <c r="U186" s="2372" t="n"/>
      <c r="V186" s="2372" t="n"/>
      <c r="W186" s="2372" t="n"/>
      <c r="X186" s="2372" t="n"/>
      <c r="Y186" s="2372" t="n"/>
      <c r="Z186" s="2372" t="n"/>
      <c r="AA186" s="2372" t="n"/>
      <c r="AB186" s="2372" t="n"/>
      <c r="AC186" s="2372" t="n"/>
      <c r="AD186" s="2372" t="n"/>
      <c r="AE186" s="2372" t="n"/>
      <c r="AF186" s="2372" t="n"/>
      <c r="AG186" s="2372" t="n"/>
      <c r="AH186" s="2374" t="n">
        <v>2.5984</v>
      </c>
      <c r="AI186" s="2372" t="n"/>
      <c r="AJ186" s="2374" t="n">
        <v>3.118</v>
      </c>
      <c r="AK186" s="2374" t="n">
        <v>9.873799999999999</v>
      </c>
      <c r="AL186" s="2374" t="n">
        <v>0.5197000000000001</v>
      </c>
      <c r="AM186" s="2375" t="inlineStr">
        <is>
          <t>Appraiser pro forma (AXG CBOE 2024); NRA 57,754 SF; market rent $1.39/mo/SF NRA; vac 15%; OPX 20% EGI; reserves 4%; 7.90% loaded cap; value $8,000,000</t>
        </is>
      </c>
    </row>
    <row r="187" ht="14.1" customHeight="1" s="1449">
      <c r="A187" s="2339" t="inlineStr">
        <is>
          <t>P096</t>
        </is>
      </c>
      <c r="B187" s="2338" t="n">
        <v>407</v>
      </c>
      <c r="C187" s="2339" t="inlineStr">
        <is>
          <t>R0083917</t>
        </is>
      </c>
      <c r="D187" s="2339" t="inlineStr">
        <is>
          <t>14701 E 38th Ave</t>
        </is>
      </c>
      <c r="E187" s="2339" t="inlineStr">
        <is>
          <t>Aurora</t>
        </is>
      </c>
      <c r="F187" s="2339" t="inlineStr">
        <is>
          <t>CO</t>
        </is>
      </c>
      <c r="G187" s="2339" t="inlineStr">
        <is>
          <t>Industrial</t>
        </is>
      </c>
      <c r="H187" s="2339" t="inlineStr">
        <is>
          <t>Industrial Owner-User</t>
        </is>
      </c>
      <c r="I187" s="2362" t="n"/>
      <c r="J187" s="2362" t="n">
        <v>117280</v>
      </c>
      <c r="K187" s="2362" t="n">
        <v>2024</v>
      </c>
      <c r="L187" s="2339" t="n"/>
      <c r="M187" s="2339" t="n"/>
      <c r="N187" s="2339" t="n"/>
      <c r="O187" s="2363" t="n">
        <v>0.4818</v>
      </c>
      <c r="P187" s="2363" t="n">
        <v>3.8578</v>
      </c>
      <c r="Q187" s="2339" t="n"/>
      <c r="R187" s="2339" t="n"/>
      <c r="S187" s="2339" t="n"/>
      <c r="T187" s="2339" t="n"/>
      <c r="U187" s="2339" t="n"/>
      <c r="V187" s="2339" t="n"/>
      <c r="W187" s="2339" t="n"/>
      <c r="X187" s="2363" t="n">
        <v>1.8719</v>
      </c>
      <c r="Y187" s="2363" t="n">
        <v>1.8719</v>
      </c>
      <c r="Z187" s="2363" t="n">
        <v>0.1178</v>
      </c>
      <c r="AA187" s="2363" t="n">
        <v>0.04</v>
      </c>
      <c r="AB187" s="2339" t="n"/>
      <c r="AC187" s="2363" t="n">
        <v>0.1578</v>
      </c>
      <c r="AD187" s="2339" t="n"/>
      <c r="AE187" s="2339" t="n"/>
      <c r="AF187" s="2363" t="n">
        <v>3.1677</v>
      </c>
      <c r="AG187" s="2339" t="n"/>
      <c r="AH187" s="2363" t="n">
        <v>9.537000000000001</v>
      </c>
      <c r="AI187" s="2339" t="n"/>
      <c r="AJ187" s="2363" t="n">
        <v>9.537000000000001</v>
      </c>
      <c r="AK187" s="2339" t="n"/>
      <c r="AL187" s="2339" t="n"/>
      <c r="AM187" s="2364" t="inlineStr">
        <is>
          <t>I&amp;E Survey 2024; owner-user; CAUTION: expenses likely include non-RE business costs (mgmt $452k + utils $372k very high); 117,280 SF</t>
        </is>
      </c>
    </row>
    <row r="188" ht="14.1" customHeight="1" s="1449">
      <c r="A188" s="2358" t="inlineStr">
        <is>
          <t>P097</t>
        </is>
      </c>
      <c r="B188" s="2338" t="n">
        <v>210</v>
      </c>
      <c r="C188" s="2358" t="inlineStr">
        <is>
          <t>R0137586</t>
        </is>
      </c>
      <c r="D188" s="2358" t="inlineStr">
        <is>
          <t>7273-7285 E 96th Ave</t>
        </is>
      </c>
      <c r="E188" s="2358" t="inlineStr">
        <is>
          <t>Commerce City</t>
        </is>
      </c>
      <c r="F188" s="2358" t="inlineStr">
        <is>
          <t>CO</t>
        </is>
      </c>
      <c r="G188" s="2358" t="inlineStr">
        <is>
          <t>Industrial</t>
        </is>
      </c>
      <c r="H188" s="2358" t="inlineStr">
        <is>
          <t>Multi-Tenant Industrial</t>
        </is>
      </c>
      <c r="I188" s="2359" t="n"/>
      <c r="J188" s="2359" t="n">
        <v>57200</v>
      </c>
      <c r="K188" s="2359" t="n">
        <v>2023</v>
      </c>
      <c r="L188" s="2360" t="n">
        <v>14.0542</v>
      </c>
      <c r="M188" s="2358" t="n"/>
      <c r="N188" s="2358" t="n"/>
      <c r="O188" s="2360" t="n">
        <v>0.2194</v>
      </c>
      <c r="P188" s="2360" t="n">
        <v>0.9815</v>
      </c>
      <c r="Q188" s="2358" t="n"/>
      <c r="R188" s="2358" t="n"/>
      <c r="S188" s="2358" t="n"/>
      <c r="T188" s="2358" t="n"/>
      <c r="U188" s="2358" t="n"/>
      <c r="V188" s="2358" t="n"/>
      <c r="W188" s="2358" t="n"/>
      <c r="X188" s="2360" t="n">
        <v>0.6945</v>
      </c>
      <c r="Y188" s="2360" t="n">
        <v>0.6945</v>
      </c>
      <c r="Z188" s="2360" t="n">
        <v>0.3918</v>
      </c>
      <c r="AA188" s="2360" t="n">
        <v>0.0257</v>
      </c>
      <c r="AB188" s="2358" t="n"/>
      <c r="AC188" s="2360" t="n">
        <v>0.4175</v>
      </c>
      <c r="AD188" s="2358" t="n"/>
      <c r="AE188" s="2360" t="n">
        <v>0.1169</v>
      </c>
      <c r="AF188" s="2360" t="n">
        <v>0.1169</v>
      </c>
      <c r="AG188" s="2358" t="n"/>
      <c r="AH188" s="2360" t="n">
        <v>2.4266</v>
      </c>
      <c r="AI188" s="2358" t="n"/>
      <c r="AJ188" s="2360" t="n">
        <v>2.4266</v>
      </c>
      <c r="AK188" s="2358" t="n"/>
      <c r="AL188" s="2358" t="n"/>
      <c r="AM188" s="2361" t="inlineStr">
        <is>
          <t>I&amp;E Survey 2023; modified lease; 57,200 SF; total expenses approx (excludes RE taxes not reported)</t>
        </is>
      </c>
    </row>
    <row r="189" ht="14.1" customHeight="1" s="1449">
      <c r="A189" s="2339" t="inlineStr">
        <is>
          <t>P098</t>
        </is>
      </c>
      <c r="B189" s="2338" t="n">
        <v>210</v>
      </c>
      <c r="C189" s="2339" t="inlineStr">
        <is>
          <t>R0187010</t>
        </is>
      </c>
      <c r="D189" s="2339" t="inlineStr">
        <is>
          <t>8020 Steele St</t>
        </is>
      </c>
      <c r="E189" s="2339" t="inlineStr">
        <is>
          <t>Denver</t>
        </is>
      </c>
      <c r="F189" s="2339" t="inlineStr">
        <is>
          <t>CO</t>
        </is>
      </c>
      <c r="G189" s="2339" t="inlineStr">
        <is>
          <t>Industrial</t>
        </is>
      </c>
      <c r="H189" s="2339" t="inlineStr">
        <is>
          <t>Industrial Modified Gross</t>
        </is>
      </c>
      <c r="I189" s="2362" t="n"/>
      <c r="J189" s="2362" t="n">
        <v>70000</v>
      </c>
      <c r="K189" s="2362" t="n">
        <v>2024</v>
      </c>
      <c r="L189" s="2363" t="n">
        <v>7.7</v>
      </c>
      <c r="M189" s="2339" t="n"/>
      <c r="N189" s="2339" t="n"/>
      <c r="O189" s="2339" t="n"/>
      <c r="P189" s="2363" t="n">
        <v>0.231</v>
      </c>
      <c r="Q189" s="2339" t="n"/>
      <c r="R189" s="2339" t="n"/>
      <c r="S189" s="2339" t="n"/>
      <c r="T189" s="2339" t="n"/>
      <c r="U189" s="2339" t="n"/>
      <c r="V189" s="2339" t="n"/>
      <c r="W189" s="2339" t="n"/>
      <c r="X189" s="2363" t="n">
        <v>0.0514</v>
      </c>
      <c r="Y189" s="2363" t="n">
        <v>0.0514</v>
      </c>
      <c r="Z189" s="2339" t="n"/>
      <c r="AA189" s="2363" t="n">
        <v>0.0571</v>
      </c>
      <c r="AB189" s="2339" t="n"/>
      <c r="AC189" s="2363" t="n">
        <v>0.0571</v>
      </c>
      <c r="AD189" s="2339" t="n"/>
      <c r="AE189" s="2339" t="n"/>
      <c r="AF189" s="2339" t="n"/>
      <c r="AG189" s="2339" t="n"/>
      <c r="AH189" s="2363" t="n">
        <v>0.3396</v>
      </c>
      <c r="AI189" s="2339" t="n"/>
      <c r="AJ189" s="2363" t="n">
        <v>0.3396</v>
      </c>
      <c r="AK189" s="2339" t="n"/>
      <c r="AL189" s="2339" t="n"/>
      <c r="AM189" s="2364" t="inlineStr">
        <is>
          <t>I&amp;E Survey 2024; modified gross; owner pays ins/R&amp;M/mgmt only; tenant pays utils/trash; 70,000 SF; partial expense data</t>
        </is>
      </c>
    </row>
    <row r="190" ht="14.1" customHeight="1" s="1449">
      <c r="A190" s="2358" t="inlineStr">
        <is>
          <t>P099</t>
        </is>
      </c>
      <c r="B190" s="2338" t="n">
        <v>210</v>
      </c>
      <c r="C190" s="2358" t="inlineStr">
        <is>
          <t>R0111914</t>
        </is>
      </c>
      <c r="D190" s="2358" t="inlineStr">
        <is>
          <t>1963 Jasper St</t>
        </is>
      </c>
      <c r="E190" s="2358" t="inlineStr">
        <is>
          <t>Aurora</t>
        </is>
      </c>
      <c r="F190" s="2358" t="inlineStr">
        <is>
          <t>CO</t>
        </is>
      </c>
      <c r="G190" s="2358" t="inlineStr">
        <is>
          <t>Industrial</t>
        </is>
      </c>
      <c r="H190" s="2358" t="inlineStr">
        <is>
          <t>Multi-Tenant Industrial Gross</t>
        </is>
      </c>
      <c r="I190" s="2359" t="n"/>
      <c r="J190" s="2359" t="n">
        <v>33574</v>
      </c>
      <c r="K190" s="2359" t="n">
        <v>2024</v>
      </c>
      <c r="L190" s="2360" t="n">
        <v>9.829000000000001</v>
      </c>
      <c r="M190" s="2358" t="n"/>
      <c r="N190" s="2360" t="n">
        <v>9.829000000000001</v>
      </c>
      <c r="O190" s="2360" t="n">
        <v>0.2475</v>
      </c>
      <c r="P190" s="2360" t="n">
        <v>0.4915</v>
      </c>
      <c r="Q190" s="2358" t="n"/>
      <c r="R190" s="2358" t="n"/>
      <c r="S190" s="2358" t="n"/>
      <c r="T190" s="2358" t="n"/>
      <c r="U190" s="2358" t="n"/>
      <c r="V190" s="2358" t="n"/>
      <c r="W190" s="2358" t="n"/>
      <c r="X190" s="2360" t="n">
        <v>0.5624</v>
      </c>
      <c r="Y190" s="2360" t="n">
        <v>0.5624</v>
      </c>
      <c r="Z190" s="2360" t="n">
        <v>0.2949</v>
      </c>
      <c r="AA190" s="2360" t="n">
        <v>0.3366</v>
      </c>
      <c r="AB190" s="2358" t="n"/>
      <c r="AC190" s="2360" t="n">
        <v>0.6314</v>
      </c>
      <c r="AD190" s="2358" t="n"/>
      <c r="AE190" s="2360" t="n">
        <v>0.3437</v>
      </c>
      <c r="AF190" s="2360" t="n">
        <v>0.3437</v>
      </c>
      <c r="AG190" s="2358" t="n"/>
      <c r="AH190" s="2360" t="n">
        <v>2.2765</v>
      </c>
      <c r="AI190" s="2358" t="n"/>
      <c r="AJ190" s="2360" t="n">
        <v>2.2765</v>
      </c>
      <c r="AK190" s="2360" t="n">
        <v>7.5525</v>
      </c>
      <c r="AL190" s="2358" t="n"/>
      <c r="AM190" s="2361" t="inlineStr">
        <is>
          <t>I&amp;E Survey 2024; gross lease (tenant pays gas/elec); approx NOI = GRI minus owner expenses; 33,574 SF</t>
        </is>
      </c>
    </row>
    <row r="191" ht="14.1" customHeight="1" s="1449">
      <c r="A191" s="2376" t="inlineStr">
        <is>
          <t>P100</t>
        </is>
      </c>
      <c r="B191" s="2338" t="n">
        <v>1332</v>
      </c>
      <c r="C191" s="2376" t="inlineStr">
        <is>
          <t>R0111965</t>
        </is>
      </c>
      <c r="D191" s="2376" t="inlineStr">
        <is>
          <t>12101 Grant St</t>
        </is>
      </c>
      <c r="E191" s="2376" t="inlineStr">
        <is>
          <t>Thornton</t>
        </is>
      </c>
      <c r="F191" s="2376" t="inlineStr">
        <is>
          <t>CO</t>
        </is>
      </c>
      <c r="G191" s="2376" t="inlineStr">
        <is>
          <t>Hospitality</t>
        </is>
      </c>
      <c r="H191" s="2376" t="inlineStr">
        <is>
          <t>Hotel Limited Service</t>
        </is>
      </c>
      <c r="I191" s="2377" t="n">
        <v>1998</v>
      </c>
      <c r="J191" s="2377" t="n"/>
      <c r="K191" s="2377" t="n">
        <v>2024</v>
      </c>
      <c r="L191" s="2378" t="n">
        <v>3007421</v>
      </c>
      <c r="M191" s="2376" t="n"/>
      <c r="N191" s="2378" t="n">
        <v>3007421</v>
      </c>
      <c r="O191" s="2378" t="n">
        <v>45111</v>
      </c>
      <c r="P191" s="2376" t="n"/>
      <c r="Q191" s="2376" t="n"/>
      <c r="R191" s="2376" t="n"/>
      <c r="S191" s="2376" t="n"/>
      <c r="T191" s="2376" t="n"/>
      <c r="U191" s="2376" t="n"/>
      <c r="V191" s="2376" t="n"/>
      <c r="W191" s="2376" t="n"/>
      <c r="X191" s="2376" t="n"/>
      <c r="Y191" s="2376" t="n"/>
      <c r="Z191" s="2376" t="n"/>
      <c r="AA191" s="2376" t="n"/>
      <c r="AB191" s="2376" t="n"/>
      <c r="AC191" s="2376" t="n"/>
      <c r="AD191" s="2376" t="n"/>
      <c r="AE191" s="2376" t="n"/>
      <c r="AF191" s="2376" t="n"/>
      <c r="AG191" s="2378" t="n">
        <v>1975907</v>
      </c>
      <c r="AH191" s="2378" t="n">
        <v>2143856</v>
      </c>
      <c r="AI191" s="2376" t="n"/>
      <c r="AJ191" s="2378" t="n">
        <v>2143856</v>
      </c>
      <c r="AK191" s="2378" t="n">
        <v>863565</v>
      </c>
      <c r="AL191" s="2376" t="n"/>
      <c r="AM191" s="2379" t="inlineStr">
        <is>
          <t>[NO SF] Appraiser Rushmore income approach (AXG CBOE 2024); 100 rooms; ADR $115; occ 70%; RevPAR $80.50; loaded cap 11.30%; RE prop value ~$7.49M. Total Revenue breakout: Rooms+F&amp;B+Other</t>
        </is>
      </c>
    </row>
    <row r="192" ht="14.1" customHeight="1" s="1449">
      <c r="A192" s="2376" t="inlineStr">
        <is>
          <t>P101</t>
        </is>
      </c>
      <c r="B192" s="2338" t="n">
        <v>332</v>
      </c>
      <c r="C192" s="2376" t="inlineStr">
        <is>
          <t>R0202410</t>
        </is>
      </c>
      <c r="D192" s="2376" t="inlineStr">
        <is>
          <t>2556 Oswego St</t>
        </is>
      </c>
      <c r="E192" s="2376" t="inlineStr">
        <is>
          <t>Aurora</t>
        </is>
      </c>
      <c r="F192" s="2376" t="inlineStr">
        <is>
          <t>CO</t>
        </is>
      </c>
      <c r="G192" s="2376" t="inlineStr">
        <is>
          <t>Hospitality</t>
        </is>
      </c>
      <c r="H192" s="2376" t="inlineStr">
        <is>
          <t>Hotel Full Service</t>
        </is>
      </c>
      <c r="I192" s="2377" t="n">
        <v>2023</v>
      </c>
      <c r="J192" s="2377" t="n"/>
      <c r="K192" s="2377" t="n">
        <v>2024</v>
      </c>
      <c r="L192" s="2378" t="n">
        <v>11899487</v>
      </c>
      <c r="M192" s="2376" t="n"/>
      <c r="N192" s="2378" t="n">
        <v>11899487</v>
      </c>
      <c r="O192" s="2378" t="n">
        <v>154693</v>
      </c>
      <c r="P192" s="2376" t="n"/>
      <c r="Q192" s="2376" t="n"/>
      <c r="R192" s="2376" t="n"/>
      <c r="S192" s="2376" t="n"/>
      <c r="T192" s="2376" t="n"/>
      <c r="U192" s="2376" t="n"/>
      <c r="V192" s="2376" t="n"/>
      <c r="W192" s="2376" t="n"/>
      <c r="X192" s="2376" t="n"/>
      <c r="Y192" s="2376" t="n"/>
      <c r="Z192" s="2376" t="n"/>
      <c r="AA192" s="2376" t="n"/>
      <c r="AB192" s="2376" t="n"/>
      <c r="AC192" s="2376" t="n"/>
      <c r="AD192" s="2376" t="n"/>
      <c r="AE192" s="2376" t="n"/>
      <c r="AF192" s="2376" t="n"/>
      <c r="AG192" s="2378" t="n">
        <v>8760469</v>
      </c>
      <c r="AH192" s="2378" t="n">
        <v>8915468</v>
      </c>
      <c r="AI192" s="2376" t="n"/>
      <c r="AJ192" s="2378" t="n">
        <v>9391447</v>
      </c>
      <c r="AK192" s="2378" t="n">
        <v>2984019</v>
      </c>
      <c r="AL192" s="2378" t="n">
        <v>475979</v>
      </c>
      <c r="AM192" s="2379" t="inlineStr">
        <is>
          <t>[NO SF] Appraiser Rushmore income approach (AXG CBOE 2024); 227 rooms; built 2023; ADR $140; occ 70%; RevPAR $98; loaded cap 12.45%; RE value ~$23.47M (less FF&amp;E)</t>
        </is>
      </c>
    </row>
    <row r="193" ht="14.1" customHeight="1" s="1449">
      <c r="A193" s="2376" t="inlineStr">
        <is>
          <t>P102</t>
        </is>
      </c>
      <c r="B193" s="2338" t="n">
        <v>332</v>
      </c>
      <c r="C193" s="2376" t="inlineStr">
        <is>
          <t>R0024498</t>
        </is>
      </c>
      <c r="D193" s="2376" t="inlineStr">
        <is>
          <t>83 E 120th Ave</t>
        </is>
      </c>
      <c r="E193" s="2376" t="inlineStr">
        <is>
          <t>Thornton</t>
        </is>
      </c>
      <c r="F193" s="2376" t="inlineStr">
        <is>
          <t>CO</t>
        </is>
      </c>
      <c r="G193" s="2376" t="inlineStr">
        <is>
          <t>Hospitality</t>
        </is>
      </c>
      <c r="H193" s="2376" t="inlineStr">
        <is>
          <t>Hotel Full Service</t>
        </is>
      </c>
      <c r="I193" s="2377" t="n">
        <v>1984</v>
      </c>
      <c r="J193" s="2377" t="n">
        <v>114796</v>
      </c>
      <c r="K193" s="2377" t="n">
        <v>2024</v>
      </c>
      <c r="L193" s="2380" t="n">
        <v>66.4378</v>
      </c>
      <c r="M193" s="2376" t="n"/>
      <c r="N193" s="2380" t="n">
        <v>66.4378</v>
      </c>
      <c r="O193" s="2380" t="n">
        <v>0.8637</v>
      </c>
      <c r="P193" s="2376" t="n"/>
      <c r="Q193" s="2376" t="n"/>
      <c r="R193" s="2376" t="n"/>
      <c r="S193" s="2376" t="n"/>
      <c r="T193" s="2376" t="n"/>
      <c r="U193" s="2376" t="n"/>
      <c r="V193" s="2376" t="n"/>
      <c r="W193" s="2376" t="n"/>
      <c r="X193" s="2376" t="n"/>
      <c r="Y193" s="2376" t="n"/>
      <c r="Z193" s="2376" t="n"/>
      <c r="AA193" s="2376" t="n"/>
      <c r="AB193" s="2376" t="n"/>
      <c r="AC193" s="2376" t="n"/>
      <c r="AD193" s="2376" t="n"/>
      <c r="AE193" s="2376" t="n"/>
      <c r="AF193" s="2376" t="n"/>
      <c r="AG193" s="2380" t="n">
        <v>48.7513</v>
      </c>
      <c r="AH193" s="2380" t="n">
        <v>51.4075</v>
      </c>
      <c r="AI193" s="2376" t="n"/>
      <c r="AJ193" s="2380" t="n">
        <v>54.0651</v>
      </c>
      <c r="AK193" s="2380" t="n">
        <v>15.0303</v>
      </c>
      <c r="AL193" s="2380" t="n">
        <v>2.6575</v>
      </c>
      <c r="AM193" s="2379" t="inlineStr">
        <is>
          <t>Appraiser Rushmore income approach (AXG CBOE 2024); 137 rooms; 114,796 SF; 2 bldgs; 1984 YOC; ADR $142; occ 70%; loaded cap 10.56%; RE value $15.78M (less FF&amp;E); STR data: occ ~73%, ADR ~$147-161</t>
        </is>
      </c>
    </row>
    <row r="194" ht="14.1" customHeight="1" s="1449">
      <c r="A194" s="2358" t="inlineStr">
        <is>
          <t>P103</t>
        </is>
      </c>
      <c r="B194" s="2338" t="n">
        <v>407</v>
      </c>
      <c r="C194" s="2358" t="inlineStr">
        <is>
          <t>R0075212</t>
        </is>
      </c>
      <c r="D194" s="2358" t="inlineStr">
        <is>
          <t>10500 Havana Ct</t>
        </is>
      </c>
      <c r="E194" s="2358" t="inlineStr">
        <is>
          <t>Commerce City</t>
        </is>
      </c>
      <c r="F194" s="2358" t="inlineStr">
        <is>
          <t>CO</t>
        </is>
      </c>
      <c r="G194" s="2358" t="inlineStr">
        <is>
          <t>Industrial</t>
        </is>
      </c>
      <c r="H194" s="2358" t="inlineStr">
        <is>
          <t>Industrial NNN</t>
        </is>
      </c>
      <c r="I194" s="2359" t="n"/>
      <c r="J194" s="2359" t="n">
        <v>30000</v>
      </c>
      <c r="K194" s="2359" t="n">
        <v>2024</v>
      </c>
      <c r="L194" s="2360" t="n">
        <v>8.4</v>
      </c>
      <c r="M194" s="2358" t="n"/>
      <c r="N194" s="2358" t="n"/>
      <c r="O194" s="2360" t="n">
        <v>0.7568</v>
      </c>
      <c r="P194" s="2360" t="n">
        <v>0.3167</v>
      </c>
      <c r="Q194" s="2358" t="n"/>
      <c r="R194" s="2358" t="n"/>
      <c r="S194" s="2358" t="n"/>
      <c r="T194" s="2358" t="n"/>
      <c r="U194" s="2358" t="n"/>
      <c r="V194" s="2358" t="n"/>
      <c r="W194" s="2358" t="n"/>
      <c r="X194" s="2360" t="n">
        <v>0.3647</v>
      </c>
      <c r="Y194" s="2360" t="n">
        <v>0.3647</v>
      </c>
      <c r="Z194" s="2360" t="n">
        <v>0.1164</v>
      </c>
      <c r="AA194" s="2360" t="n">
        <v>0.2303</v>
      </c>
      <c r="AB194" s="2358" t="n"/>
      <c r="AC194" s="2360" t="n">
        <v>0.3468</v>
      </c>
      <c r="AD194" s="2358" t="n"/>
      <c r="AE194" s="2360" t="n">
        <v>0.06519999999999999</v>
      </c>
      <c r="AF194" s="2360" t="n">
        <v>0.06519999999999999</v>
      </c>
      <c r="AG194" s="2358" t="n"/>
      <c r="AH194" s="2360" t="n">
        <v>1.8501</v>
      </c>
      <c r="AI194" s="2358" t="n"/>
      <c r="AJ194" s="2360" t="n">
        <v>1.8501</v>
      </c>
      <c r="AK194" s="2358" t="n"/>
      <c r="AL194" s="2358" t="n"/>
      <c r="AM194" s="2361" t="inlineStr">
        <is>
          <t>I&amp;E Survey 2024; NNN lease; owner-reported; 30,000 SF; no NOI computed (no EGI reported)</t>
        </is>
      </c>
    </row>
    <row r="195" ht="14.1" customHeight="1" s="1449">
      <c r="A195" s="2339" t="inlineStr">
        <is>
          <t>P089</t>
        </is>
      </c>
      <c r="B195" s="2338" t="n">
        <v>407</v>
      </c>
      <c r="C195" s="2339" t="inlineStr">
        <is>
          <t>R0180951</t>
        </is>
      </c>
      <c r="D195" s="2339" t="inlineStr">
        <is>
          <t>21200 E 36th Dr</t>
        </is>
      </c>
      <c r="E195" s="2339" t="inlineStr">
        <is>
          <t>Aurora</t>
        </is>
      </c>
      <c r="F195" s="2339" t="inlineStr">
        <is>
          <t>CO</t>
        </is>
      </c>
      <c r="G195" s="2339" t="inlineStr">
        <is>
          <t>Industrial</t>
        </is>
      </c>
      <c r="H195" s="2339" t="inlineStr">
        <is>
          <t>Industrial NNN</t>
        </is>
      </c>
      <c r="I195" s="2362" t="n">
        <v>2016</v>
      </c>
      <c r="J195" s="2362" t="n">
        <v>122106</v>
      </c>
      <c r="K195" s="2362" t="n">
        <v>2024</v>
      </c>
      <c r="L195" s="2339" t="n"/>
      <c r="M195" s="2339" t="n"/>
      <c r="N195" s="2339" t="n"/>
      <c r="O195" s="2363" t="n">
        <v>0.0625</v>
      </c>
      <c r="P195" s="2339" t="n"/>
      <c r="Q195" s="2339" t="n"/>
      <c r="R195" s="2339" t="n"/>
      <c r="S195" s="2339" t="n"/>
      <c r="T195" s="2339" t="n"/>
      <c r="U195" s="2339" t="n"/>
      <c r="V195" s="2339" t="n"/>
      <c r="W195" s="2339" t="n"/>
      <c r="X195" s="2363" t="n">
        <v>0.3183</v>
      </c>
      <c r="Y195" s="2363" t="n">
        <v>0.3183</v>
      </c>
      <c r="Z195" s="2363" t="n">
        <v>0.1129</v>
      </c>
      <c r="AA195" s="2363" t="n">
        <v>0.09669999999999999</v>
      </c>
      <c r="AB195" s="2339" t="n"/>
      <c r="AC195" s="2363" t="n">
        <v>0.2096</v>
      </c>
      <c r="AD195" s="2363" t="n">
        <v>0.4794</v>
      </c>
      <c r="AE195" s="2339" t="n"/>
      <c r="AF195" s="2363" t="n">
        <v>0.4794</v>
      </c>
      <c r="AG195" s="2339" t="n"/>
      <c r="AH195" s="2339" t="n"/>
      <c r="AI195" s="2363" t="n">
        <v>4.358</v>
      </c>
      <c r="AJ195" s="2363" t="n">
        <v>5.4279</v>
      </c>
      <c r="AK195" s="2339" t="n"/>
      <c r="AL195" s="2339" t="n"/>
      <c r="AM195" s="2364" t="inlineStr">
        <is>
          <t>MT.xlsx 2024 survey — DETAIL UPDATE for R0180951; R&amp;M $38,871/Grd Maint $11,809/Snow-Trash $13,785 additional breakdown (matches WH Expenses totals)</t>
        </is>
      </c>
    </row>
    <row r="196" ht="14.1" customHeight="1" s="1449">
      <c r="A196" s="2358" t="inlineStr">
        <is>
          <t>P104</t>
        </is>
      </c>
      <c r="B196" s="2338" t="n">
        <v>210</v>
      </c>
      <c r="C196" s="2358" t="inlineStr">
        <is>
          <t>R0226379</t>
        </is>
      </c>
      <c r="D196" s="2358" t="inlineStr">
        <is>
          <t>26100 E 68th Ave</t>
        </is>
      </c>
      <c r="E196" s="2358" t="inlineStr">
        <is>
          <t>Aurora</t>
        </is>
      </c>
      <c r="F196" s="2358" t="inlineStr">
        <is>
          <t>CO</t>
        </is>
      </c>
      <c r="G196" s="2358" t="inlineStr">
        <is>
          <t>Industrial</t>
        </is>
      </c>
      <c r="H196" s="2358" t="inlineStr">
        <is>
          <t>Industrial Multi-Tenant</t>
        </is>
      </c>
      <c r="I196" s="2359" t="n"/>
      <c r="J196" s="2359" t="n">
        <v>187720</v>
      </c>
      <c r="K196" s="2359" t="n">
        <v>2024</v>
      </c>
      <c r="L196" s="2360" t="n">
        <v>7.35</v>
      </c>
      <c r="M196" s="2360" t="n">
        <v>6.1013</v>
      </c>
      <c r="N196" s="2360" t="n">
        <v>13.4512</v>
      </c>
      <c r="O196" s="2360" t="n">
        <v>0.9408</v>
      </c>
      <c r="P196" s="2360" t="n">
        <v>0.6045</v>
      </c>
      <c r="Q196" s="2358" t="n"/>
      <c r="R196" s="2358" t="n"/>
      <c r="S196" s="2360" t="n">
        <v>0.091</v>
      </c>
      <c r="T196" s="2360" t="n">
        <v>0.0133</v>
      </c>
      <c r="U196" s="2358" t="n"/>
      <c r="V196" s="2360" t="n">
        <v>0.0316</v>
      </c>
      <c r="W196" s="2360" t="n">
        <v>0.073</v>
      </c>
      <c r="X196" s="2360" t="n">
        <v>0.08649999999999999</v>
      </c>
      <c r="Y196" s="2360" t="n">
        <v>0.2954</v>
      </c>
      <c r="Z196" s="2358" t="n"/>
      <c r="AA196" s="2360" t="n">
        <v>0.0495</v>
      </c>
      <c r="AB196" s="2360" t="n">
        <v>0.1714</v>
      </c>
      <c r="AC196" s="2360" t="n">
        <v>0.3656</v>
      </c>
      <c r="AD196" s="2360" t="n">
        <v>0.1559</v>
      </c>
      <c r="AE196" s="2360" t="n">
        <v>0.0609</v>
      </c>
      <c r="AF196" s="2360" t="n">
        <v>0.2168</v>
      </c>
      <c r="AG196" s="2360" t="n">
        <v>0.0238</v>
      </c>
      <c r="AH196" s="2360" t="n">
        <v>3.1568</v>
      </c>
      <c r="AI196" s="2360" t="n">
        <v>3.6317</v>
      </c>
      <c r="AJ196" s="2360" t="n">
        <v>6.7886</v>
      </c>
      <c r="AK196" s="2360" t="n">
        <v>6.6627</v>
      </c>
      <c r="AL196" s="2358" t="n"/>
      <c r="AM196" s="2361" t="inlineStr">
        <is>
          <t>2024 actuals; CAM reimb + TBB structure; TBBs (178,730.57) included in Total OPX; RE Taxes include Metro District (179,316.74); Mgmt = CAM Mgmt + non-recov mgmt; Landscape+Snow+Security+Sweeping in Contract Svcs; SF unknown</t>
        </is>
      </c>
    </row>
    <row r="197" ht="14.1" customHeight="1" s="1449">
      <c r="A197" s="2339" t="inlineStr">
        <is>
          <t>P104</t>
        </is>
      </c>
      <c r="B197" s="2338" t="n">
        <v>210</v>
      </c>
      <c r="C197" s="2339" t="inlineStr">
        <is>
          <t>R0226379</t>
        </is>
      </c>
      <c r="D197" s="2339" t="inlineStr">
        <is>
          <t>26100 E 68th Ave</t>
        </is>
      </c>
      <c r="E197" s="2339" t="inlineStr">
        <is>
          <t>Aurora</t>
        </is>
      </c>
      <c r="F197" s="2339" t="inlineStr">
        <is>
          <t>CO</t>
        </is>
      </c>
      <c r="G197" s="2339" t="inlineStr">
        <is>
          <t>Industrial</t>
        </is>
      </c>
      <c r="H197" s="2339" t="inlineStr">
        <is>
          <t>Industrial Multi-Tenant</t>
        </is>
      </c>
      <c r="I197" s="2362" t="n"/>
      <c r="J197" s="2362" t="n">
        <v>187720</v>
      </c>
      <c r="K197" s="2362" t="n">
        <v>2023</v>
      </c>
      <c r="L197" s="2363" t="n">
        <v>6.3132</v>
      </c>
      <c r="M197" s="2363" t="n">
        <v>6.0317</v>
      </c>
      <c r="N197" s="2363" t="n">
        <v>12.3449</v>
      </c>
      <c r="O197" s="2363" t="n">
        <v>0.6231</v>
      </c>
      <c r="P197" s="2363" t="n">
        <v>0.5661</v>
      </c>
      <c r="Q197" s="2339" t="n"/>
      <c r="R197" s="2339" t="n"/>
      <c r="S197" s="2363" t="n">
        <v>0.0179</v>
      </c>
      <c r="T197" s="2363" t="n">
        <v>0.0238</v>
      </c>
      <c r="U197" s="2339" t="n"/>
      <c r="V197" s="2363" t="n">
        <v>0.1469</v>
      </c>
      <c r="W197" s="2363" t="n">
        <v>0.0926</v>
      </c>
      <c r="X197" s="2363" t="n">
        <v>0.0829</v>
      </c>
      <c r="Y197" s="2363" t="n">
        <v>0.3641</v>
      </c>
      <c r="Z197" s="2339" t="n"/>
      <c r="AA197" s="2363" t="n">
        <v>0.057</v>
      </c>
      <c r="AB197" s="2363" t="n">
        <v>0.1505</v>
      </c>
      <c r="AC197" s="2363" t="n">
        <v>0.485</v>
      </c>
      <c r="AD197" s="2363" t="n">
        <v>0.138</v>
      </c>
      <c r="AE197" s="2363" t="n">
        <v>0.0588</v>
      </c>
      <c r="AF197" s="2363" t="n">
        <v>0.1967</v>
      </c>
      <c r="AG197" s="2363" t="n">
        <v>0.0498</v>
      </c>
      <c r="AH197" s="2363" t="n">
        <v>2.8811</v>
      </c>
      <c r="AI197" s="2363" t="n">
        <v>3.5113</v>
      </c>
      <c r="AJ197" s="2363" t="n">
        <v>6.3924</v>
      </c>
      <c r="AK197" s="2363" t="n">
        <v>5.9525</v>
      </c>
      <c r="AL197" s="2339" t="n"/>
      <c r="AM197" s="2364" t="inlineStr">
        <is>
          <t>2023 actuals; CAM reimb + TBB structure; TBBs (171,359.08) included in Total OPX; RE Taxes include Metro District (172,730.34); Int Unit R&amp;M includes R&amp;M-Other (23,055.03); Other/Admin includes Personal Prop Tax (1,206.89); SF unknown</t>
        </is>
      </c>
    </row>
  </sheetData>
  <autoFilter ref="A3:AM3"/>
  <mergeCells count="2">
    <mergeCell ref="A2:AM2"/>
    <mergeCell ref="A1:AM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98"/>
  <sheetViews>
    <sheetView workbookViewId="0">
      <selection activeCell="O12" sqref="O12"/>
    </sheetView>
  </sheetViews>
  <sheetFormatPr baseColWidth="8" defaultRowHeight="15"/>
  <cols>
    <col width="41" customWidth="1" style="1449" min="1" max="1"/>
    <col width="32.5703125" customWidth="1" style="1449" min="2" max="2"/>
    <col width="45.5703125" customWidth="1" style="1449" min="3" max="3"/>
    <col width="134.7109375" customWidth="1" style="1449" min="4" max="4"/>
    <col width="52.7109375" customWidth="1" style="1449" min="5" max="5"/>
    <col width="51.7109375" customWidth="1" style="1449" min="6" max="6"/>
    <col width="47.28515625" customWidth="1" style="1449" min="7" max="7"/>
  </cols>
  <sheetData>
    <row r="1">
      <c r="A1" t="inlineStr">
        <is>
          <t>Municipality</t>
        </is>
      </c>
      <c r="B1" t="inlineStr">
        <is>
          <t>Category</t>
        </is>
      </c>
      <c r="C1" t="inlineStr">
        <is>
          <t>Resource Name</t>
        </is>
      </c>
      <c r="D1" t="inlineStr">
        <is>
          <t>URL</t>
        </is>
      </c>
      <c r="E1" t="inlineStr">
        <is>
          <t>Notes</t>
        </is>
      </c>
      <c r="F1" t="inlineStr">
        <is>
          <t>Unnamed: 5</t>
        </is>
      </c>
      <c r="G1" t="inlineStr">
        <is>
          <t>Unnamed: 6</t>
        </is>
      </c>
    </row>
    <row r="2">
      <c r="A2" s="1438" t="inlineStr">
        <is>
          <t>Adams County (Unincorporated)</t>
        </is>
      </c>
      <c r="B2" s="1438" t="inlineStr">
        <is>
          <t>Property Assessment</t>
        </is>
      </c>
      <c r="C2" s="1438" t="inlineStr">
        <is>
          <t>Assessor Property Lookup</t>
        </is>
      </c>
      <c r="D2" s="1438" t="inlineStr">
        <is>
          <t>https://adcogov.org/property-look</t>
        </is>
      </c>
      <c r="E2" s="1438" t="inlineStr">
        <is>
          <t>Primary parcel/property search tool for all of Adams County</t>
        </is>
      </c>
      <c r="F2" s="1438" t="n"/>
      <c r="G2" s="1438" t="n"/>
    </row>
    <row r="3">
      <c r="A3" s="1438" t="inlineStr">
        <is>
          <t>Adams County (Unincorporated)</t>
        </is>
      </c>
      <c r="B3" s="1438" t="inlineStr">
        <is>
          <t>Property Assessment</t>
        </is>
      </c>
      <c r="C3" s="1438" t="inlineStr">
        <is>
          <t>Assessor GIS QuickSearch</t>
        </is>
      </c>
      <c r="D3" s="1438" t="inlineStr">
        <is>
          <t>https://gisapp.adcogov.org/quicksearch/</t>
        </is>
      </c>
      <c r="E3" s="1438" t="inlineStr">
        <is>
          <t>Address or parcel-based search with map</t>
        </is>
      </c>
      <c r="F3" s="1438" t="n"/>
      <c r="G3" s="1438" t="n"/>
    </row>
    <row r="4">
      <c r="A4" s="1438" t="inlineStr">
        <is>
          <t>Adams County (Unincorporated)</t>
        </is>
      </c>
      <c r="B4" s="1438" t="inlineStr">
        <is>
          <t>Property Assessment</t>
        </is>
      </c>
      <c r="C4" s="1438" t="inlineStr">
        <is>
          <t>Assessor Main Page</t>
        </is>
      </c>
      <c r="D4" s="1438" t="inlineStr">
        <is>
          <t>https://adcogov.org/assessor</t>
        </is>
      </c>
      <c r="E4" s="1438" t="inlineStr">
        <is>
          <t>Assessor office info and resources</t>
        </is>
      </c>
      <c r="F4" s="1438" t="n"/>
      <c r="G4" s="1438" t="n"/>
    </row>
    <row r="5">
      <c r="A5" s="1438" t="inlineStr">
        <is>
          <t>Adams County (Unincorporated)</t>
        </is>
      </c>
      <c r="B5" s="1438" t="inlineStr">
        <is>
          <t>Property Assessment</t>
        </is>
      </c>
      <c r="C5" s="1438" t="inlineStr">
        <is>
          <t>NOV / Online Appeals Portal</t>
        </is>
      </c>
      <c r="D5" s="1438" t="inlineStr">
        <is>
          <t>https://assessor.adcogov.org/</t>
        </is>
      </c>
      <c r="E5" s="1438" t="inlineStr">
        <is>
          <t>Notice of Valuation and assessment appeals</t>
        </is>
      </c>
      <c r="F5" s="1438" t="n"/>
      <c r="G5" s="1438" t="n"/>
    </row>
    <row r="6">
      <c r="A6" s="1438" t="inlineStr">
        <is>
          <t>Adams County (Unincorporated)</t>
        </is>
      </c>
      <c r="B6" s="1438" t="inlineStr">
        <is>
          <t>Property Assessment</t>
        </is>
      </c>
      <c r="C6" s="1438" t="inlineStr">
        <is>
          <t>Public Data Download</t>
        </is>
      </c>
      <c r="D6" s="1438" t="inlineStr">
        <is>
          <t>https://assessornovs.adcogov.org/adamscountynovs</t>
        </is>
      </c>
      <c r="E6" s="1438" t="inlineStr">
        <is>
          <t>Weekly-updated bulk assessor data download</t>
        </is>
      </c>
      <c r="F6" s="1438" t="n"/>
      <c r="G6" s="1438" t="n"/>
    </row>
    <row r="7">
      <c r="A7" s="1438" t="inlineStr">
        <is>
          <t>Adams County (Unincorporated)</t>
        </is>
      </c>
      <c r="B7" s="1438" t="inlineStr">
        <is>
          <t>Property Tax / Treasurer</t>
        </is>
      </c>
      <c r="C7" s="1438" t="inlineStr">
        <is>
          <t>Treasurer Division</t>
        </is>
      </c>
      <c r="D7" s="1438" t="inlineStr">
        <is>
          <t>https://adamscountyco.gov/our-county/elected-officials/treasurer-public-trustee/treasurer-division/</t>
        </is>
      </c>
      <c r="E7" s="1438" t="inlineStr">
        <is>
          <t>Main treasurer page</t>
        </is>
      </c>
      <c r="F7" s="1438" t="n"/>
      <c r="G7" s="1438" t="n"/>
    </row>
    <row r="8">
      <c r="A8" s="1438" t="inlineStr">
        <is>
          <t>Adams County (Unincorporated)</t>
        </is>
      </c>
      <c r="B8" s="1438" t="inlineStr">
        <is>
          <t>Property Tax / Treasurer</t>
        </is>
      </c>
      <c r="C8" s="1438" t="inlineStr">
        <is>
          <t>Online Tax Payment</t>
        </is>
      </c>
      <c r="D8" s="1438" t="inlineStr">
        <is>
          <t>https://adcotax.com/treasurer/web/login.jsp</t>
        </is>
      </c>
      <c r="E8" s="1438" t="inlineStr">
        <is>
          <t>Pay property taxes online</t>
        </is>
      </c>
      <c r="F8" s="1438" t="n"/>
      <c r="G8" s="1438" t="n"/>
    </row>
    <row r="9">
      <c r="A9" s="1438" t="inlineStr">
        <is>
          <t>Adams County (Unincorporated)</t>
        </is>
      </c>
      <c r="B9" s="1438" t="inlineStr">
        <is>
          <t>Property Tax / Treasurer</t>
        </is>
      </c>
      <c r="C9" s="1438" t="inlineStr">
        <is>
          <t>Property Tax Inquiry</t>
        </is>
      </c>
      <c r="D9" s="1438" t="inlineStr">
        <is>
          <t>https://adamsil.devnetwedge.com/</t>
        </is>
      </c>
      <c r="E9" s="1438" t="inlineStr">
        <is>
          <t>Look up tax balances and payment history</t>
        </is>
      </c>
      <c r="F9" s="1438" t="n"/>
      <c r="G9" s="1438" t="n"/>
    </row>
    <row r="10">
      <c r="A10" s="1438" t="inlineStr">
        <is>
          <t>Adams County (Unincorporated)</t>
        </is>
      </c>
      <c r="B10" s="1438" t="inlineStr">
        <is>
          <t>Property Tax / Treasurer</t>
        </is>
      </c>
      <c r="C10" s="1438" t="inlineStr">
        <is>
          <t>Taxing Authorities / Mill Levy</t>
        </is>
      </c>
      <c r="D10" s="1438" t="inlineStr">
        <is>
          <t>https://adamscountyco.gov/our-county/elected-officials/treasurer-public-trustee/treasurer-division/property-tax-information/taxing-authorities/</t>
        </is>
      </c>
      <c r="E10" s="1438" t="inlineStr">
        <is>
          <t>Mill levy lookup by taxing district</t>
        </is>
      </c>
      <c r="F10" s="1438" t="n"/>
      <c r="G10" s="1438" t="n"/>
    </row>
    <row r="11">
      <c r="A11" s="1438" t="inlineStr">
        <is>
          <t>Adams County (Unincorporated)</t>
        </is>
      </c>
      <c r="B11" s="1438" t="inlineStr">
        <is>
          <t>Property Tax / Treasurer</t>
        </is>
      </c>
      <c r="C11" s="1438" t="inlineStr">
        <is>
          <t>DOLA Division of Property Taxation</t>
        </is>
      </c>
      <c r="D11" s="1438" t="inlineStr">
        <is>
          <t>https://dpt.colorado.gov/locality/adams-county-treasurer</t>
        </is>
      </c>
      <c r="E11" s="1438" t="inlineStr">
        <is>
          <t>Colorado state-level property tax data for Adams County</t>
        </is>
      </c>
      <c r="F11" s="1438" t="n"/>
      <c r="G11" s="1438" t="n"/>
    </row>
    <row r="12">
      <c r="A12" s="1438" t="inlineStr">
        <is>
          <t>Adams County (Unincorporated)</t>
        </is>
      </c>
      <c r="B12" s="1438" t="inlineStr">
        <is>
          <t>Property Tax / Treasurer</t>
        </is>
      </c>
      <c r="C12" s="1438" t="inlineStr">
        <is>
          <t>DOLA Mill Levy Public Info (HB24-1302)</t>
        </is>
      </c>
      <c r="D12" s="1438" t="inlineStr">
        <is>
          <t>https://dlg.colorado.gov/hb24-1302-mill-levy-public-information</t>
        </is>
      </c>
      <c r="E12" s="1438" t="inlineStr">
        <is>
          <t>Statewide mill levy transparency portal</t>
        </is>
      </c>
      <c r="F12" s="1438" t="n"/>
      <c r="G12" s="1438" t="n"/>
    </row>
    <row r="13">
      <c r="A13" s="1438" t="inlineStr">
        <is>
          <t>Adams County (Unincorporated)</t>
        </is>
      </c>
      <c r="B13" s="1438" t="inlineStr">
        <is>
          <t>Deed / Title Records</t>
        </is>
      </c>
      <c r="C13" s="1438" t="inlineStr">
        <is>
          <t>Clerk &amp; Recorder Recording Page</t>
        </is>
      </c>
      <c r="D13" s="1438" t="inlineStr">
        <is>
          <t>https://adcogov.org/recording</t>
        </is>
      </c>
      <c r="E13" s="1438" t="inlineStr">
        <is>
          <t>Official recording office</t>
        </is>
      </c>
      <c r="F13" s="1438" t="n"/>
      <c r="G13" s="1438" t="n"/>
    </row>
    <row r="14">
      <c r="A14" s="1438" t="inlineStr">
        <is>
          <t>Adams County (Unincorporated)</t>
        </is>
      </c>
      <c r="B14" s="1438" t="inlineStr">
        <is>
          <t>Deed / Title Records</t>
        </is>
      </c>
      <c r="C14" s="1438" t="inlineStr">
        <is>
          <t>Landmark Web Document Search</t>
        </is>
      </c>
      <c r="D14" s="1438" t="inlineStr">
        <is>
          <t>https://recording.adcogov.org/landmarkweb</t>
        </is>
      </c>
      <c r="E14" s="1438" t="inlineStr">
        <is>
          <t>Grantor/Grantee deed search</t>
        </is>
      </c>
      <c r="F14" s="1438" t="n"/>
      <c r="G14" s="1438" t="n"/>
    </row>
    <row r="15">
      <c r="A15" s="1438" t="inlineStr">
        <is>
          <t>Adams County (Unincorporated)</t>
        </is>
      </c>
      <c r="B15" s="1438" t="inlineStr">
        <is>
          <t>Deed / Title Records</t>
        </is>
      </c>
      <c r="C15" s="1438" t="inlineStr">
        <is>
          <t>Public Records / Recorded Documents</t>
        </is>
      </c>
      <c r="D15" s="1438" t="inlineStr">
        <is>
          <t>https://adamscountyco.gov/service/find-public-records-recorded-documents/</t>
        </is>
      </c>
      <c r="E15" s="1438" t="inlineStr">
        <is>
          <t>How to find recorded docs</t>
        </is>
      </c>
      <c r="F15" s="1438" t="n"/>
      <c r="G15" s="1438" t="n"/>
    </row>
    <row r="16">
      <c r="A16" s="1438" t="inlineStr">
        <is>
          <t>Adams County (Unincorporated)</t>
        </is>
      </c>
      <c r="B16" s="1438" t="inlineStr">
        <is>
          <t>Deed / Title Records</t>
        </is>
      </c>
      <c r="C16" s="1438" t="inlineStr">
        <is>
          <t>E-Recording</t>
        </is>
      </c>
      <c r="D16" s="1438" t="inlineStr">
        <is>
          <t>https://www.adcogov.org/e-recording</t>
        </is>
      </c>
      <c r="E16" s="1438" t="inlineStr">
        <is>
          <t>Electronic document recording</t>
        </is>
      </c>
      <c r="F16" s="1438" t="n"/>
      <c r="G16" s="1438" t="n"/>
    </row>
    <row r="17">
      <c r="A17" s="1438" t="inlineStr">
        <is>
          <t>Adams County (Unincorporated)</t>
        </is>
      </c>
      <c r="B17" s="1438" t="inlineStr">
        <is>
          <t>GIS / Mapping</t>
        </is>
      </c>
      <c r="C17" s="1438" t="inlineStr">
        <is>
          <t>Advanced GIS Map Viewer</t>
        </is>
      </c>
      <c r="D17" s="1438" t="inlineStr">
        <is>
          <t>https://gisapp.adcogov.org/Html5Viewer/index.html?viewer=AdvancedExt.Advanced_HTML</t>
        </is>
      </c>
      <c r="E17" s="1438" t="inlineStr">
        <is>
          <t>Full-featured interactive map</t>
        </is>
      </c>
      <c r="F17" s="1438" t="n"/>
      <c r="G17" s="1438" t="n"/>
    </row>
    <row r="18">
      <c r="A18" s="1438" t="inlineStr">
        <is>
          <t>Adams County (Unincorporated)</t>
        </is>
      </c>
      <c r="B18" s="1438" t="inlineStr">
        <is>
          <t>GIS / Mapping</t>
        </is>
      </c>
      <c r="C18" s="1438" t="inlineStr">
        <is>
          <t>Open Data Hub (ArcGIS)</t>
        </is>
      </c>
      <c r="D18" s="1438" t="inlineStr">
        <is>
          <t>https://data-adcogov.opendata.arcgis.com/</t>
        </is>
      </c>
      <c r="E18" s="1438" t="inlineStr">
        <is>
          <t>Downloadable datasets including zoning</t>
        </is>
      </c>
      <c r="F18" s="1438" t="inlineStr">
        <is>
          <t xml:space="preserve"> parcels</t>
        </is>
      </c>
      <c r="G18" s="1438" t="inlineStr">
        <is>
          <t xml:space="preserve"> flood zones</t>
        </is>
      </c>
    </row>
    <row r="19">
      <c r="A19" s="1438" t="inlineStr">
        <is>
          <t>Adams County (Unincorporated)</t>
        </is>
      </c>
      <c r="B19" s="1438" t="inlineStr">
        <is>
          <t>GIS / Mapping</t>
        </is>
      </c>
      <c r="C19" s="1438" t="inlineStr">
        <is>
          <t>GIS Interactive Maps Page</t>
        </is>
      </c>
      <c r="D19" s="1438" t="inlineStr">
        <is>
          <t>https://adamscountyco.gov/service/gis-interactive-maps/</t>
        </is>
      </c>
      <c r="E19" s="1438" t="inlineStr">
        <is>
          <t>Links to all county GIS tools</t>
        </is>
      </c>
      <c r="F19" s="1438" t="n"/>
      <c r="G19" s="1438" t="n"/>
    </row>
    <row r="20">
      <c r="A20" s="1438" t="inlineStr">
        <is>
          <t>Adams County (Unincorporated)</t>
        </is>
      </c>
      <c r="B20" s="1438" t="inlineStr">
        <is>
          <t>Permits</t>
        </is>
      </c>
      <c r="C20" s="1438" t="inlineStr">
        <is>
          <t>E-Permit Center (Accela)</t>
        </is>
      </c>
      <c r="D20" s="1438" t="inlineStr">
        <is>
          <t>https://aca-prod.accela.com/ADAMSCO/Default.aspx</t>
        </is>
      </c>
      <c r="E20" s="1438" t="inlineStr">
        <is>
          <t>Online permit applications and search</t>
        </is>
      </c>
      <c r="F20" s="1438" t="n"/>
      <c r="G20" s="1438" t="n"/>
    </row>
    <row r="21">
      <c r="A21" s="1438" t="inlineStr">
        <is>
          <t>Adams County (Unincorporated)</t>
        </is>
      </c>
      <c r="B21" s="1438" t="inlineStr">
        <is>
          <t>Permits</t>
        </is>
      </c>
      <c r="C21" s="1438" t="inlineStr">
        <is>
          <t>E-Permit Center Landing</t>
        </is>
      </c>
      <c r="D21" s="1438" t="inlineStr">
        <is>
          <t>https://epermits.adcogov.org/</t>
        </is>
      </c>
      <c r="E21" s="1438" t="inlineStr">
        <is>
          <t>Permit portal landing page</t>
        </is>
      </c>
      <c r="F21" s="1438" t="n"/>
      <c r="G21" s="1438" t="n"/>
    </row>
    <row r="22">
      <c r="A22" s="1438" t="inlineStr">
        <is>
          <t>Adams County (Unincorporated)</t>
        </is>
      </c>
      <c r="B22" s="1438" t="inlineStr">
        <is>
          <t>Permits</t>
        </is>
      </c>
      <c r="C22" s="1438" t="inlineStr">
        <is>
          <t>Building Safety</t>
        </is>
      </c>
      <c r="D22" s="1438" t="inlineStr">
        <is>
          <t>https://adcogov.org/building-safety</t>
        </is>
      </c>
      <c r="E22" s="1438" t="inlineStr">
        <is>
          <t>Building department info</t>
        </is>
      </c>
      <c r="F22" s="1438" t="n"/>
      <c r="G22" s="1438" t="n"/>
    </row>
    <row r="23">
      <c r="A23" s="1438" t="inlineStr">
        <is>
          <t>Adams County (Unincorporated)</t>
        </is>
      </c>
      <c r="B23" s="1438" t="inlineStr">
        <is>
          <t>Code Enforcement</t>
        </is>
      </c>
      <c r="C23" s="1438" t="inlineStr">
        <is>
          <t>Eye on Adams (Permits + Violations)</t>
        </is>
      </c>
      <c r="D23" s="1438" t="inlineStr">
        <is>
          <t>https://adamscounty.buildingeye.com/</t>
        </is>
      </c>
      <c r="E23" s="1438" t="inlineStr">
        <is>
          <t>Track permits and code enforcement cases</t>
        </is>
      </c>
      <c r="F23" s="1438" t="n"/>
      <c r="G23" s="1438" t="n"/>
    </row>
    <row r="24">
      <c r="A24" s="1438" t="inlineStr">
        <is>
          <t>Adams County (Unincorporated)</t>
        </is>
      </c>
      <c r="B24" s="1438" t="inlineStr">
        <is>
          <t>Code Enforcement</t>
        </is>
      </c>
      <c r="C24" s="1438" t="inlineStr">
        <is>
          <t>Code Violations Enforcement Search</t>
        </is>
      </c>
      <c r="D24" s="1438" t="inlineStr">
        <is>
          <t>https://adamscounty.buildingeye.com/enforcement</t>
        </is>
      </c>
      <c r="E24" s="1438" t="inlineStr">
        <is>
          <t>Violation lookup only</t>
        </is>
      </c>
      <c r="F24" s="1438" t="n"/>
      <c r="G24" s="1438" t="n"/>
    </row>
    <row r="25">
      <c r="A25" s="1438" t="inlineStr">
        <is>
          <t>Adams County (Unincorporated)</t>
        </is>
      </c>
      <c r="B25" s="1438" t="inlineStr">
        <is>
          <t>Code Enforcement</t>
        </is>
      </c>
      <c r="C25" s="1438" t="inlineStr">
        <is>
          <t>Neighborhood Services</t>
        </is>
      </c>
      <c r="D25" s="1438" t="inlineStr">
        <is>
          <t>https://adcogov.org/neighborhood-services</t>
        </is>
      </c>
      <c r="E25" s="1438" t="inlineStr">
        <is>
          <t>Report and track code complaints</t>
        </is>
      </c>
      <c r="F25" s="1438" t="n"/>
      <c r="G25" s="1438" t="n"/>
    </row>
    <row r="26">
      <c r="A26" s="1438" t="inlineStr">
        <is>
          <t>Adams County (Unincorporated)</t>
        </is>
      </c>
      <c r="B26" s="1438" t="inlineStr">
        <is>
          <t>Zoning / Planning</t>
        </is>
      </c>
      <c r="C26" s="1438" t="inlineStr">
        <is>
          <t>Planning &amp; Development Main Page</t>
        </is>
      </c>
      <c r="D26" s="1438" t="inlineStr">
        <is>
          <t>https://adamscountyco.gov/our-county/community-economic-development/planning-development/</t>
        </is>
      </c>
      <c r="E26" s="1438" t="inlineStr">
        <is>
          <t>Unincorporated area zoning authority</t>
        </is>
      </c>
      <c r="F26" s="1438" t="n"/>
      <c r="G26" s="1438" t="n"/>
    </row>
    <row r="27">
      <c r="A27" s="1438" t="inlineStr">
        <is>
          <t>Adams County (Unincorporated)</t>
        </is>
      </c>
      <c r="B27" s="1438" t="inlineStr">
        <is>
          <t>Zoning / Planning</t>
        </is>
      </c>
      <c r="C27" s="1438" t="inlineStr">
        <is>
          <t>Zoning Dataset (ArcGIS Open Data)</t>
        </is>
      </c>
      <c r="D27" s="1438" t="inlineStr">
        <is>
          <t>https://data-adcogov.opendata.arcgis.com/datasets/ADCOGOV::zoning/about</t>
        </is>
      </c>
      <c r="E27" s="1438" t="inlineStr">
        <is>
          <t>Downloadable zoning GIS layer</t>
        </is>
      </c>
      <c r="F27" s="1438" t="n"/>
      <c r="G27" s="1438" t="n"/>
    </row>
    <row r="28">
      <c r="A28" s="1438" t="inlineStr">
        <is>
          <t>Adams County (Unincorporated)</t>
        </is>
      </c>
      <c r="B28" s="1438" t="inlineStr">
        <is>
          <t>Zoning / Planning</t>
        </is>
      </c>
      <c r="C28" s="1438" t="inlineStr">
        <is>
          <t>Development Standards &amp; Regulations</t>
        </is>
      </c>
      <c r="D28" s="1438" t="inlineStr">
        <is>
          <t>https://online.encodeplus.com/regs/adamscounty-co/doc-viewer.aspx?secid=6410</t>
        </is>
      </c>
      <c r="E28" s="1438" t="inlineStr">
        <is>
          <t>Online land development code</t>
        </is>
      </c>
      <c r="F28" s="1438" t="n"/>
      <c r="G28" s="1438" t="n"/>
    </row>
    <row r="29">
      <c r="A29" s="1438" t="inlineStr">
        <is>
          <t>Adams County (Unincorporated)</t>
        </is>
      </c>
      <c r="B29" s="1438" t="inlineStr">
        <is>
          <t>Flood Zone</t>
        </is>
      </c>
      <c r="C29" s="1438" t="inlineStr">
        <is>
          <t>Floodplain Management Page</t>
        </is>
      </c>
      <c r="D29" s="1438" t="inlineStr">
        <is>
          <t>https://adamscountyco.gov/our-county/community-economic-development/floodplain-management/</t>
        </is>
      </c>
      <c r="E29" s="1438" t="inlineStr">
        <is>
          <t>County floodplain administrator</t>
        </is>
      </c>
      <c r="F29" s="1438" t="n"/>
      <c r="G29" s="1438" t="n"/>
    </row>
    <row r="30">
      <c r="A30" s="1438" t="inlineStr">
        <is>
          <t>Adams County (Unincorporated)</t>
        </is>
      </c>
      <c r="B30" s="1438" t="inlineStr">
        <is>
          <t>Flood Zone</t>
        </is>
      </c>
      <c r="C30" s="1438" t="inlineStr">
        <is>
          <t>Flood Zones GIS Dataset</t>
        </is>
      </c>
      <c r="D30" s="1438" t="inlineStr">
        <is>
          <t>https://data-adcogov.opendata.arcgis.com/datasets/flood-zones</t>
        </is>
      </c>
      <c r="E30" s="1438" t="inlineStr">
        <is>
          <t>Downloadable FEMA flood zone layer</t>
        </is>
      </c>
      <c r="F30" s="1438" t="n"/>
      <c r="G30" s="1438" t="n"/>
    </row>
    <row r="31">
      <c r="A31" s="1438" t="inlineStr">
        <is>
          <t>Adams County (Unincorporated)</t>
        </is>
      </c>
      <c r="B31" s="1438" t="inlineStr">
        <is>
          <t>Flood Zone</t>
        </is>
      </c>
      <c r="C31" s="1438" t="inlineStr">
        <is>
          <t>FEMA Map Service Center</t>
        </is>
      </c>
      <c r="D31" s="1438" t="inlineStr">
        <is>
          <t>https://msc.fema.gov/</t>
        </is>
      </c>
      <c r="E31" s="1438" t="inlineStr">
        <is>
          <t>Official FEMA FIRM lookup by address</t>
        </is>
      </c>
      <c r="F31" s="1438" t="n"/>
      <c r="G31" s="1438" t="n"/>
    </row>
    <row r="32">
      <c r="A32" s="1438" t="inlineStr">
        <is>
          <t>Adams County (Unincorporated)</t>
        </is>
      </c>
      <c r="B32" s="1438" t="inlineStr">
        <is>
          <t>Flood Zone</t>
        </is>
      </c>
      <c r="C32" s="1438" t="inlineStr">
        <is>
          <t>Colorado Hazard Mapping / RiskMAP</t>
        </is>
      </c>
      <c r="D32" s="1438" t="inlineStr">
        <is>
          <t>https://coloradohazardmapping.com/hazardMapping/floodplainMapping</t>
        </is>
      </c>
      <c r="E32" s="1438" t="inlineStr">
        <is>
          <t>State-level flood mapping portal</t>
        </is>
      </c>
      <c r="F32" s="1438" t="n"/>
      <c r="G32" s="1438" t="n"/>
    </row>
    <row r="33">
      <c r="A33" s="1438" t="inlineStr">
        <is>
          <t>Adams County (Unincorporated)</t>
        </is>
      </c>
      <c r="B33" s="1438" t="inlineStr">
        <is>
          <t>Flood Zone</t>
        </is>
      </c>
      <c r="C33" s="1438" t="inlineStr">
        <is>
          <t>FEMA National Flood Hazard Layer</t>
        </is>
      </c>
      <c r="D33" s="1438" t="inlineStr">
        <is>
          <t>https://www.fema.gov/flood-maps/national-flood-hazard-layer</t>
        </is>
      </c>
      <c r="E33" s="1438" t="inlineStr">
        <is>
          <t>National FEMA flood layer viewer</t>
        </is>
      </c>
      <c r="F33" s="1438" t="n"/>
      <c r="G33" s="1438" t="n"/>
    </row>
    <row r="34">
      <c r="A34" s="1438" t="inlineStr">
        <is>
          <t>Adams County (Unincorporated)</t>
        </is>
      </c>
      <c r="B34" s="1438" t="inlineStr">
        <is>
          <t>Comprehensive Plan</t>
        </is>
      </c>
      <c r="C34" s="1438" t="inlineStr">
        <is>
          <t>Advancing Adams Comprehensive Plan</t>
        </is>
      </c>
      <c r="D34" s="1438" t="inlineStr">
        <is>
          <t>https://adamscountyco.gov/our-county/community-economic-development/advancing-adams/comprehensive-plan/</t>
        </is>
      </c>
      <c r="E34" s="1438" t="inlineStr">
        <is>
          <t>County master plan</t>
        </is>
      </c>
      <c r="F34" s="1438" t="n"/>
      <c r="G34" s="1438" t="n"/>
    </row>
    <row r="35">
      <c r="A35" s="1438" t="inlineStr">
        <is>
          <t>Adams County (Unincorporated)</t>
        </is>
      </c>
      <c r="B35" s="1438" t="inlineStr">
        <is>
          <t>Comprehensive Plan</t>
        </is>
      </c>
      <c r="C35" s="1438" t="inlineStr">
        <is>
          <t>Master Plans &amp; Maps</t>
        </is>
      </c>
      <c r="D35" s="1438" t="inlineStr">
        <is>
          <t>https://adcogov.org/master-plans-maps</t>
        </is>
      </c>
      <c r="E35" s="1438" t="inlineStr">
        <is>
          <t>All county master plans</t>
        </is>
      </c>
      <c r="F35" s="1438" t="n"/>
      <c r="G35" s="1438" t="n"/>
    </row>
    <row r="36">
      <c r="A36" s="1438" t="inlineStr">
        <is>
          <t>Adams County (Unincorporated)</t>
        </is>
      </c>
      <c r="B36" s="1438" t="inlineStr">
        <is>
          <t>Comprehensive Plan</t>
        </is>
      </c>
      <c r="C36" s="1438" t="inlineStr">
        <is>
          <t>Sustainable Adams County 2030 Plan</t>
        </is>
      </c>
      <c r="D36" s="1438" t="inlineStr">
        <is>
          <t>https://adamscountyco.gov/wp-content/uploads/2026/01/CED-2030-Sustainability-Plan-011426.pdf</t>
        </is>
      </c>
      <c r="E36" s="1438" t="inlineStr">
        <is>
          <t>2030 sustainability/land use plan PDF</t>
        </is>
      </c>
      <c r="F36" s="1438" t="n"/>
      <c r="G36" s="1438" t="n"/>
    </row>
    <row r="37">
      <c r="A37" s="1438" t="inlineStr">
        <is>
          <t>Adams County (Unincorporated)</t>
        </is>
      </c>
      <c r="B37" s="1438" t="inlineStr">
        <is>
          <t>Economic Development</t>
        </is>
      </c>
      <c r="C37" s="1438" t="inlineStr">
        <is>
          <t>Community &amp; Economic Development (CEDD)</t>
        </is>
      </c>
      <c r="D37" s="1438" t="inlineStr">
        <is>
          <t>https://adamscountyco.gov/our-county/community-economic-development/</t>
        </is>
      </c>
      <c r="E37" s="1438" t="inlineStr">
        <is>
          <t>County economic dev office</t>
        </is>
      </c>
      <c r="F37" s="1438" t="n"/>
      <c r="G37" s="1438" t="n"/>
    </row>
    <row r="38">
      <c r="A38" s="1438" t="inlineStr">
        <is>
          <t>Adams County (Unincorporated)</t>
        </is>
      </c>
      <c r="B38" s="1438" t="inlineStr">
        <is>
          <t>Economic Development</t>
        </is>
      </c>
      <c r="C38" s="1438" t="inlineStr">
        <is>
          <t>ChooseAdams</t>
        </is>
      </c>
      <c r="D38" s="1438" t="inlineStr">
        <is>
          <t>https://chooseadams.org/business-services/</t>
        </is>
      </c>
      <c r="E38" s="1438" t="inlineStr">
        <is>
          <t>Business attraction portal</t>
        </is>
      </c>
      <c r="F38" s="1438" t="n"/>
      <c r="G38" s="1438" t="n"/>
    </row>
    <row r="39">
      <c r="A39" s="1438" t="inlineStr">
        <is>
          <t>Adams County (Unincorporated)</t>
        </is>
      </c>
      <c r="B39" s="1438" t="inlineStr">
        <is>
          <t>Economic Development</t>
        </is>
      </c>
      <c r="C39" s="1438" t="inlineStr">
        <is>
          <t>Adams County EDC</t>
        </is>
      </c>
      <c r="D39" s="1438" t="inlineStr">
        <is>
          <t>https://adamscountyedc.com/</t>
        </is>
      </c>
      <c r="E39" s="1438" t="inlineStr">
        <is>
          <t>Economic Development Corporation</t>
        </is>
      </c>
      <c r="F39" s="1438" t="n"/>
      <c r="G39" s="1438" t="n"/>
    </row>
    <row r="40">
      <c r="A40" s="1438" t="inlineStr">
        <is>
          <t>Adams County (Unincorporated)</t>
        </is>
      </c>
      <c r="B40" s="1438" t="inlineStr">
        <is>
          <t>Economic Development</t>
        </is>
      </c>
      <c r="C40" s="1438" t="inlineStr">
        <is>
          <t>2025 Economic Profile</t>
        </is>
      </c>
      <c r="D40" s="1438" t="inlineStr">
        <is>
          <t>https://adamscountyco.gov/wp-content/uploads/2025/11/2025-Adams-County-Economic-Profile-CED.pdf</t>
        </is>
      </c>
      <c r="E40" s="1438" t="inlineStr">
        <is>
          <t>Annual economic profile PDF</t>
        </is>
      </c>
      <c r="F40" s="1438" t="n"/>
      <c r="G40" s="1438" t="n"/>
    </row>
    <row r="41">
      <c r="A41" s="1438" t="inlineStr">
        <is>
          <t>Adams County (Unincorporated)</t>
        </is>
      </c>
      <c r="B41" s="1438" t="inlineStr">
        <is>
          <t>Public Works / ROW</t>
        </is>
      </c>
      <c r="C41" s="1438" t="inlineStr">
        <is>
          <t>Public Works</t>
        </is>
      </c>
      <c r="D41" s="1438" t="inlineStr">
        <is>
          <t>https://adcogov.org/public-works</t>
        </is>
      </c>
      <c r="E41" s="1438" t="inlineStr">
        <is>
          <t>ROW permits and infrastructure info</t>
        </is>
      </c>
      <c r="F41" s="1438" t="n"/>
      <c r="G41" s="1438" t="n"/>
    </row>
    <row r="42">
      <c r="A42" s="1439" t="inlineStr">
        <is>
          <t>Brighton</t>
        </is>
      </c>
      <c r="B42" s="1439" t="inlineStr">
        <is>
          <t>Property Assessment</t>
        </is>
      </c>
      <c r="C42" s="1439" t="inlineStr">
        <is>
          <t>Adams County Assessor (Property Lookup)</t>
        </is>
      </c>
      <c r="D42" s="1439" t="inlineStr">
        <is>
          <t>https://adcogov.org/property-look</t>
        </is>
      </c>
      <c r="E42" s="1439" t="inlineStr">
        <is>
          <t>Brighton is fully within Adams County</t>
        </is>
      </c>
      <c r="F42" s="1439" t="n"/>
      <c r="G42" s="1439" t="n"/>
    </row>
    <row r="43">
      <c r="A43" s="1439" t="inlineStr">
        <is>
          <t>Brighton</t>
        </is>
      </c>
      <c r="B43" s="1439" t="inlineStr">
        <is>
          <t>Property Tax / Treasurer</t>
        </is>
      </c>
      <c r="C43" s="1439" t="inlineStr">
        <is>
          <t>Online Tax Payment</t>
        </is>
      </c>
      <c r="D43" s="1439" t="inlineStr">
        <is>
          <t>https://adcotax.com/treasurer/web/login.jsp</t>
        </is>
      </c>
      <c r="E43" s="1439" t="inlineStr">
        <is>
          <t>Adams County tax payment portal</t>
        </is>
      </c>
      <c r="F43" s="1439" t="n"/>
      <c r="G43" s="1439" t="n"/>
    </row>
    <row r="44">
      <c r="A44" s="1439" t="inlineStr">
        <is>
          <t>Brighton</t>
        </is>
      </c>
      <c r="B44" s="1439" t="inlineStr">
        <is>
          <t>Property Tax / Treasurer</t>
        </is>
      </c>
      <c r="C44" s="1439" t="inlineStr">
        <is>
          <t>Property Tax Inquiry</t>
        </is>
      </c>
      <c r="D44" s="1439" t="inlineStr">
        <is>
          <t>https://adamsil.devnetwedge.com/</t>
        </is>
      </c>
      <c r="E44" s="1439" t="inlineStr">
        <is>
          <t>Tax balance and history lookup</t>
        </is>
      </c>
      <c r="F44" s="1439" t="n"/>
      <c r="G44" s="1439" t="n"/>
    </row>
    <row r="45">
      <c r="A45" s="1439" t="inlineStr">
        <is>
          <t>Brighton</t>
        </is>
      </c>
      <c r="B45" s="1439" t="inlineStr">
        <is>
          <t>Deed / Title Records</t>
        </is>
      </c>
      <c r="C45" s="1439" t="inlineStr">
        <is>
          <t>Landmark Web Document Search</t>
        </is>
      </c>
      <c r="D45" s="1439" t="inlineStr">
        <is>
          <t>https://recording.adcogov.org/landmarkweb</t>
        </is>
      </c>
      <c r="E45" s="1439" t="inlineStr">
        <is>
          <t>Adams County deed/title records</t>
        </is>
      </c>
      <c r="F45" s="1439" t="n"/>
      <c r="G45" s="1439" t="n"/>
    </row>
    <row r="46">
      <c r="A46" s="1439" t="inlineStr">
        <is>
          <t>Brighton</t>
        </is>
      </c>
      <c r="B46" s="1439" t="inlineStr">
        <is>
          <t>GIS / Mapping</t>
        </is>
      </c>
      <c r="C46" s="1439" t="inlineStr">
        <is>
          <t>GIS Division</t>
        </is>
      </c>
      <c r="D46" s="1439" t="inlineStr">
        <is>
          <t>https://www.brightonco.gov/248/Geographic-Information-Systems</t>
        </is>
      </c>
      <c r="E46" s="1439" t="inlineStr">
        <is>
          <t>Brighton GIS maps and data</t>
        </is>
      </c>
      <c r="F46" s="1439" t="n"/>
      <c r="G46" s="1439" t="n"/>
    </row>
    <row r="47">
      <c r="A47" s="1439" t="inlineStr">
        <is>
          <t>Brighton</t>
        </is>
      </c>
      <c r="B47" s="1439" t="inlineStr">
        <is>
          <t>GIS / Mapping</t>
        </is>
      </c>
      <c r="C47" s="1439" t="inlineStr">
        <is>
          <t>Interactive Development Map</t>
        </is>
      </c>
      <c r="D47" s="1439" t="inlineStr">
        <is>
          <t>https://www.brightonco.gov/1596/Interactive-Development-Map</t>
        </is>
      </c>
      <c r="E47" s="1439" t="inlineStr">
        <is>
          <t>Active development projects map</t>
        </is>
      </c>
      <c r="F47" s="1439" t="n"/>
      <c r="G47" s="1439" t="n"/>
    </row>
    <row r="48">
      <c r="A48" s="1439" t="inlineStr">
        <is>
          <t>Brighton</t>
        </is>
      </c>
      <c r="B48" s="1439" t="inlineStr">
        <is>
          <t>Permits</t>
        </is>
      </c>
      <c r="C48" s="1439" t="inlineStr">
        <is>
          <t>Permitting Portal</t>
        </is>
      </c>
      <c r="D48" s="1439" t="inlineStr">
        <is>
          <t>https://www.brightonco.gov/222/Permitting</t>
        </is>
      </c>
      <c r="E48" s="1439" t="inlineStr">
        <is>
          <t>Building permit applications and search</t>
        </is>
      </c>
      <c r="F48" s="1439" t="n"/>
      <c r="G48" s="1439" t="n"/>
    </row>
    <row r="49">
      <c r="A49" s="1439" t="inlineStr">
        <is>
          <t>Brighton</t>
        </is>
      </c>
      <c r="B49" s="1439" t="inlineStr">
        <is>
          <t>Permits</t>
        </is>
      </c>
      <c r="C49" s="1439" t="inlineStr">
        <is>
          <t>Inspections</t>
        </is>
      </c>
      <c r="D49" s="1439" t="inlineStr">
        <is>
          <t>https://www.brightonco.gov/1130/Inspections</t>
        </is>
      </c>
      <c r="E49" s="1439" t="inlineStr">
        <is>
          <t>Schedule and track inspections</t>
        </is>
      </c>
      <c r="F49" s="1439" t="n"/>
      <c r="G49" s="1439" t="n"/>
    </row>
    <row r="50">
      <c r="A50" s="1439" t="inlineStr">
        <is>
          <t>Brighton</t>
        </is>
      </c>
      <c r="B50" s="1439" t="inlineStr">
        <is>
          <t>Permits</t>
        </is>
      </c>
      <c r="C50" s="1439" t="inlineStr">
        <is>
          <t>Land Use &amp; Development Applications</t>
        </is>
      </c>
      <c r="D50" s="1439" t="inlineStr">
        <is>
          <t>https://www.brightonco.gov/1142/Land-Use-Development-Applications</t>
        </is>
      </c>
      <c r="E50" s="1439" t="inlineStr">
        <is>
          <t>Development application tracker</t>
        </is>
      </c>
      <c r="F50" s="1439" t="n"/>
      <c r="G50" s="1439" t="n"/>
    </row>
    <row r="51">
      <c r="A51" s="1439" t="inlineStr">
        <is>
          <t>Brighton</t>
        </is>
      </c>
      <c r="B51" s="1439" t="inlineStr">
        <is>
          <t>Permits</t>
        </is>
      </c>
      <c r="C51" s="1439" t="inlineStr">
        <is>
          <t>Development Services</t>
        </is>
      </c>
      <c r="D51" s="1439" t="inlineStr">
        <is>
          <t>https://www.brightonco.gov/1162/Development-Services</t>
        </is>
      </c>
      <c r="E51" s="1439" t="inlineStr">
        <is>
          <t>Development services department</t>
        </is>
      </c>
      <c r="F51" s="1439" t="n"/>
      <c r="G51" s="1439" t="n"/>
    </row>
    <row r="52">
      <c r="A52" s="1439" t="inlineStr">
        <is>
          <t>Brighton</t>
        </is>
      </c>
      <c r="B52" s="1439" t="inlineStr">
        <is>
          <t>Permits</t>
        </is>
      </c>
      <c r="C52" s="1439" t="inlineStr">
        <is>
          <t>Permit Reports (Commercial/Residential)</t>
        </is>
      </c>
      <c r="D52" s="1439" t="inlineStr">
        <is>
          <t>https://brightonco.gov/1143/Reports</t>
        </is>
      </c>
      <c r="E52" s="1439" t="inlineStr">
        <is>
          <t>Issued permit statistics</t>
        </is>
      </c>
      <c r="F52" s="1439" t="n"/>
      <c r="G52" s="1439" t="n"/>
    </row>
    <row r="53">
      <c r="A53" s="1439" t="inlineStr">
        <is>
          <t>Brighton</t>
        </is>
      </c>
      <c r="B53" s="1439" t="inlineStr">
        <is>
          <t>Zoning / Planning</t>
        </is>
      </c>
      <c r="C53" s="1439" t="inlineStr">
        <is>
          <t>Planning &amp; Zoning Main Page</t>
        </is>
      </c>
      <c r="D53" s="1439" t="inlineStr">
        <is>
          <t>https://www.brightonco.gov/224/Planning-Zoning</t>
        </is>
      </c>
      <c r="E53" s="1439" t="inlineStr">
        <is>
          <t>Zoning information and staff contacts</t>
        </is>
      </c>
      <c r="F53" s="1439" t="n"/>
      <c r="G53" s="1439" t="n"/>
    </row>
    <row r="54">
      <c r="A54" s="1439" t="inlineStr">
        <is>
          <t>Brighton</t>
        </is>
      </c>
      <c r="B54" s="1439" t="inlineStr">
        <is>
          <t>Zoning / Planning</t>
        </is>
      </c>
      <c r="C54" s="1439" t="inlineStr">
        <is>
          <t>Land Use &amp; Development Code</t>
        </is>
      </c>
      <c r="D54" s="1439" t="inlineStr">
        <is>
          <t>https://www.brightonco.gov/363/Land-Use-Development-Code</t>
        </is>
      </c>
      <c r="E54" s="1439" t="inlineStr">
        <is>
          <t>Brighton's zoning code (Article 17 of Municipal Code)</t>
        </is>
      </c>
      <c r="F54" s="1439" t="n"/>
      <c r="G54" s="1439" t="n"/>
    </row>
    <row r="55">
      <c r="A55" s="1439" t="inlineStr">
        <is>
          <t>Brighton</t>
        </is>
      </c>
      <c r="B55" s="1439" t="inlineStr">
        <is>
          <t>Zoning / Planning</t>
        </is>
      </c>
      <c r="C55" s="1439" t="inlineStr">
        <is>
          <t>Long Range Planning / Comprehensive Plan</t>
        </is>
      </c>
      <c r="D55" s="1439" t="inlineStr">
        <is>
          <t>https://www.brightonco.gov/553/Long-Range-Planning</t>
        </is>
      </c>
      <c r="E55" s="1439" t="inlineStr">
        <is>
          <t>Be Brighton Comprehensive Plan</t>
        </is>
      </c>
      <c r="F55" s="1439" t="n"/>
      <c r="G55" s="1439" t="n"/>
    </row>
    <row r="56">
      <c r="A56" s="1439" t="inlineStr">
        <is>
          <t>Brighton</t>
        </is>
      </c>
      <c r="B56" s="1439" t="inlineStr">
        <is>
          <t>Flood Zone</t>
        </is>
      </c>
      <c r="C56" s="1439" t="inlineStr">
        <is>
          <t>FEMA Map Service Center</t>
        </is>
      </c>
      <c r="D56" s="1439" t="inlineStr">
        <is>
          <t>https://msc.fema.gov/</t>
        </is>
      </c>
      <c r="E56" s="1439" t="inlineStr">
        <is>
          <t>Address-specific FEMA FIRM lookup</t>
        </is>
      </c>
      <c r="F56" s="1439" t="n"/>
      <c r="G56" s="1439" t="n"/>
    </row>
    <row r="57">
      <c r="A57" s="1439" t="inlineStr">
        <is>
          <t>Brighton</t>
        </is>
      </c>
      <c r="B57" s="1439" t="inlineStr">
        <is>
          <t>Flood Zone</t>
        </is>
      </c>
      <c r="C57" s="1439" t="inlineStr">
        <is>
          <t>Adams County Floodplain Management</t>
        </is>
      </c>
      <c r="D57" s="1439" t="inlineStr">
        <is>
          <t>https://adamscountyco.gov/our-county/community-economic-development/floodplain-management/</t>
        </is>
      </c>
      <c r="E57" s="1439" t="inlineStr">
        <is>
          <t>County floodplain resources</t>
        </is>
      </c>
      <c r="F57" s="1439" t="n"/>
      <c r="G57" s="1439" t="n"/>
    </row>
    <row r="58">
      <c r="A58" s="1439" t="inlineStr">
        <is>
          <t>Brighton</t>
        </is>
      </c>
      <c r="B58" s="1439" t="inlineStr">
        <is>
          <t>Crime / Safety</t>
        </is>
      </c>
      <c r="C58" s="1439" t="inlineStr">
        <is>
          <t>Weekly Crime Reports &amp; Crime Map</t>
        </is>
      </c>
      <c r="D58" s="1439" t="inlineStr">
        <is>
          <t>https://www.brightonco.gov/1862/Weekly-Crime-Reports-Crime-Map</t>
        </is>
      </c>
      <c r="E58" s="1439" t="inlineStr">
        <is>
          <t>Brighton PD crime map and reports</t>
        </is>
      </c>
      <c r="F58" s="1439" t="n"/>
      <c r="G58" s="1439" t="n"/>
    </row>
    <row r="59">
      <c r="A59" s="1439" t="inlineStr">
        <is>
          <t>Brighton</t>
        </is>
      </c>
      <c r="B59" s="1439" t="inlineStr">
        <is>
          <t>Public Records</t>
        </is>
      </c>
      <c r="C59" s="1439" t="inlineStr">
        <is>
          <t>Requesting Records (CORA)</t>
        </is>
      </c>
      <c r="D59" s="1439" t="inlineStr">
        <is>
          <t>https://www.brightonco.gov/213/Requesting-Records-Information</t>
        </is>
      </c>
      <c r="E59" s="1439" t="inlineStr">
        <is>
          <t>Public records request process</t>
        </is>
      </c>
      <c r="F59" s="1439" t="n"/>
      <c r="G59" s="1439" t="n"/>
    </row>
    <row r="60">
      <c r="A60" s="1439" t="inlineStr">
        <is>
          <t>Brighton</t>
        </is>
      </c>
      <c r="B60" s="1439" t="inlineStr">
        <is>
          <t>School Districts</t>
        </is>
      </c>
      <c r="C60" s="1439" t="inlineStr">
        <is>
          <t>School District 27J (Brighton)</t>
        </is>
      </c>
      <c r="D60" s="1439" t="inlineStr">
        <is>
          <t>https://www.sd27j.org/</t>
        </is>
      </c>
      <c r="E60" s="1439" t="inlineStr">
        <is>
          <t>Primary school district for Brighton</t>
        </is>
      </c>
      <c r="F60" s="1439" t="n"/>
      <c r="G60" s="1439" t="n"/>
    </row>
    <row r="61">
      <c r="A61" s="1440" t="inlineStr">
        <is>
          <t>Commerce City</t>
        </is>
      </c>
      <c r="B61" s="1440" t="inlineStr">
        <is>
          <t>Property Assessment</t>
        </is>
      </c>
      <c r="C61" s="1440" t="inlineStr">
        <is>
          <t>Adams County Assessor (Property Lookup)</t>
        </is>
      </c>
      <c r="D61" s="1440" t="inlineStr">
        <is>
          <t>https://adcogov.org/property-look</t>
        </is>
      </c>
      <c r="E61" s="1440" t="inlineStr">
        <is>
          <t>Commerce City is fully within Adams County</t>
        </is>
      </c>
      <c r="F61" s="1440" t="n"/>
      <c r="G61" s="1440" t="n"/>
    </row>
    <row r="62">
      <c r="A62" s="1440" t="inlineStr">
        <is>
          <t>Commerce City</t>
        </is>
      </c>
      <c r="B62" s="1440" t="inlineStr">
        <is>
          <t>Property Tax / Treasurer</t>
        </is>
      </c>
      <c r="C62" s="1440" t="inlineStr">
        <is>
          <t>Online Tax Payment</t>
        </is>
      </c>
      <c r="D62" s="1440" t="inlineStr">
        <is>
          <t>https://adcotax.com/treasurer/web/login.jsp</t>
        </is>
      </c>
      <c r="E62" s="1440" t="inlineStr">
        <is>
          <t>Adams County tax payment portal</t>
        </is>
      </c>
      <c r="F62" s="1440" t="n"/>
      <c r="G62" s="1440" t="n"/>
    </row>
    <row r="63">
      <c r="A63" s="1440" t="inlineStr">
        <is>
          <t>Commerce City</t>
        </is>
      </c>
      <c r="B63" s="1440" t="inlineStr">
        <is>
          <t>Property Tax / Treasurer</t>
        </is>
      </c>
      <c r="C63" s="1440" t="inlineStr">
        <is>
          <t>Property Tax Inquiry</t>
        </is>
      </c>
      <c r="D63" s="1440" t="inlineStr">
        <is>
          <t>https://adamsil.devnetwedge.com/</t>
        </is>
      </c>
      <c r="E63" s="1440" t="inlineStr">
        <is>
          <t>Tax balance and history lookup</t>
        </is>
      </c>
      <c r="F63" s="1440" t="n"/>
      <c r="G63" s="1440" t="n"/>
    </row>
    <row r="64">
      <c r="A64" s="1440" t="inlineStr">
        <is>
          <t>Commerce City</t>
        </is>
      </c>
      <c r="B64" s="1440" t="inlineStr">
        <is>
          <t>Deed / Title Records</t>
        </is>
      </c>
      <c r="C64" s="1440" t="inlineStr">
        <is>
          <t>Landmark Web Document Search</t>
        </is>
      </c>
      <c r="D64" s="1440" t="inlineStr">
        <is>
          <t>https://recording.adcogov.org/landmarkweb</t>
        </is>
      </c>
      <c r="E64" s="1440" t="inlineStr">
        <is>
          <t>Adams County deed/title records</t>
        </is>
      </c>
      <c r="F64" s="1440" t="n"/>
      <c r="G64" s="1440" t="n"/>
    </row>
    <row r="65">
      <c r="A65" s="1440" t="inlineStr">
        <is>
          <t>Commerce City</t>
        </is>
      </c>
      <c r="B65" s="1440" t="inlineStr">
        <is>
          <t>GIS / Mapping</t>
        </is>
      </c>
      <c r="C65" s="1440" t="inlineStr">
        <is>
          <t>Maps Data &amp; GIS</t>
        </is>
      </c>
      <c r="D65" s="1440" t="inlineStr">
        <is>
          <t>https://www.c3gov.com/Residents/Maps-Data-GIS</t>
        </is>
      </c>
      <c r="E65" s="1440" t="inlineStr">
        <is>
          <t>City GIS maps and data</t>
        </is>
      </c>
      <c r="F65" s="1440" t="n"/>
      <c r="G65" s="1440" t="n"/>
    </row>
    <row r="66">
      <c r="A66" s="1440" t="inlineStr">
        <is>
          <t>Commerce City</t>
        </is>
      </c>
      <c r="B66" s="1440" t="inlineStr">
        <is>
          <t>GIS / Mapping</t>
        </is>
      </c>
      <c r="C66" s="1440" t="inlineStr">
        <is>
          <t>Commerce City Open Data (ArcGIS Hub)</t>
        </is>
      </c>
      <c r="D66" s="1440" t="inlineStr">
        <is>
          <t>https://data-c3.opendata.arcgis.com/</t>
        </is>
      </c>
      <c r="E66" s="1440" t="inlineStr">
        <is>
          <t>Downloadable GIS datasets</t>
        </is>
      </c>
      <c r="F66" s="1440" t="n"/>
      <c r="G66" s="1440" t="n"/>
    </row>
    <row r="67">
      <c r="A67" s="1440" t="inlineStr">
        <is>
          <t>Commerce City</t>
        </is>
      </c>
      <c r="B67" s="1440" t="inlineStr">
        <is>
          <t>Permits</t>
        </is>
      </c>
      <c r="C67" s="1440" t="inlineStr">
        <is>
          <t>eTRAKiT Permits Page</t>
        </is>
      </c>
      <c r="D67" s="1440" t="inlineStr">
        <is>
          <t>https://www.c3gov.com/doing-business/developing-in-commerce-city/building-permits</t>
        </is>
      </c>
      <c r="E67" s="1440" t="inlineStr">
        <is>
          <t>Building permit info and portal link</t>
        </is>
      </c>
      <c r="F67" s="1440" t="n"/>
      <c r="G67" s="1440" t="n"/>
    </row>
    <row r="68">
      <c r="A68" s="1440" t="inlineStr">
        <is>
          <t>Commerce City</t>
        </is>
      </c>
      <c r="B68" s="1440" t="inlineStr">
        <is>
          <t>Permits</t>
        </is>
      </c>
      <c r="C68" s="1440" t="inlineStr">
        <is>
          <t>eTRAKiT Login / Permit Search</t>
        </is>
      </c>
      <c r="D68" s="1440" t="inlineStr">
        <is>
          <t>https://comc.csqrcloud.com/community-etrakit/</t>
        </is>
      </c>
      <c r="E68" s="1440" t="inlineStr">
        <is>
          <t>Online permit search and applications</t>
        </is>
      </c>
      <c r="F68" s="1440" t="n"/>
      <c r="G68" s="1440" t="n"/>
    </row>
    <row r="69">
      <c r="A69" s="1440" t="inlineStr">
        <is>
          <t>Commerce City</t>
        </is>
      </c>
      <c r="B69" s="1440" t="inlineStr">
        <is>
          <t>Permits</t>
        </is>
      </c>
      <c r="C69" s="1440" t="inlineStr">
        <is>
          <t>Building Permit Process</t>
        </is>
      </c>
      <c r="D69" s="1440" t="inlineStr">
        <is>
          <t>https://www.c3gov.com/doing-business/developing-in-commerce-city/building-permits-inspections/step-2-permit-application-contractor-licensing-reviews/building-permit-process</t>
        </is>
      </c>
      <c r="E69" s="1440" t="inlineStr">
        <is>
          <t>Step-by-step permit guide</t>
        </is>
      </c>
      <c r="F69" s="1440" t="n"/>
      <c r="G69" s="1440" t="n"/>
    </row>
    <row r="70">
      <c r="A70" s="1440" t="inlineStr">
        <is>
          <t>Commerce City</t>
        </is>
      </c>
      <c r="B70" s="1440" t="inlineStr">
        <is>
          <t>Permits</t>
        </is>
      </c>
      <c r="C70" s="1440" t="inlineStr">
        <is>
          <t>Civil Plan Approval / Grading Permits</t>
        </is>
      </c>
      <c r="D70" s="1440" t="inlineStr">
        <is>
          <t>https://www.c3gov.com/doing-business/developing-in-commerce-city/civil-plan-approval-grading-permits</t>
        </is>
      </c>
      <c r="E70" s="1440" t="inlineStr">
        <is>
          <t>Civil/grading permits</t>
        </is>
      </c>
      <c r="F70" s="1440" t="n"/>
      <c r="G70" s="1440" t="n"/>
    </row>
    <row r="71">
      <c r="A71" s="1440" t="inlineStr">
        <is>
          <t>Commerce City</t>
        </is>
      </c>
      <c r="B71" s="1440" t="inlineStr">
        <is>
          <t>Code Enforcement</t>
        </is>
      </c>
      <c r="C71" s="1440" t="inlineStr">
        <is>
          <t>Code Enforcement</t>
        </is>
      </c>
      <c r="D71" s="1440" t="inlineStr">
        <is>
          <t>https://www.c3gov.com/Government/Departments-Divisions/Code-Enforcement</t>
        </is>
      </c>
      <c r="E71" s="1440" t="inlineStr">
        <is>
          <t>Code enforcement department</t>
        </is>
      </c>
      <c r="F71" s="1440" t="n"/>
      <c r="G71" s="1440" t="n"/>
    </row>
    <row r="72">
      <c r="A72" s="1440" t="inlineStr">
        <is>
          <t>Commerce City</t>
        </is>
      </c>
      <c r="B72" s="1440" t="inlineStr">
        <is>
          <t>Zoning / Planning</t>
        </is>
      </c>
      <c r="C72" s="1440" t="inlineStr">
        <is>
          <t>Land Use Approvals</t>
        </is>
      </c>
      <c r="D72" s="1440" t="inlineStr">
        <is>
          <t>https://www.c3gov.com/Business-Development/Developing-in-Commerce-City/Land-Use-Approvals</t>
        </is>
      </c>
      <c r="E72" s="1440" t="inlineStr">
        <is>
          <t>Entitlement and approval process</t>
        </is>
      </c>
      <c r="F72" s="1440" t="n"/>
      <c r="G72" s="1440" t="n"/>
    </row>
    <row r="73">
      <c r="A73" s="1440" t="inlineStr">
        <is>
          <t>Commerce City</t>
        </is>
      </c>
      <c r="B73" s="1440" t="inlineStr">
        <is>
          <t>Zoning / Planning</t>
        </is>
      </c>
      <c r="C73" s="1440" t="inlineStr">
        <is>
          <t>Land Use Standards</t>
        </is>
      </c>
      <c r="D73" s="1440" t="inlineStr">
        <is>
          <t>https://www.c3gov.com/Business-Development/Developing-in-Commerce-City/Land-Use-Standards</t>
        </is>
      </c>
      <c r="E73" s="1440" t="inlineStr">
        <is>
          <t>Land use regulations and standards</t>
        </is>
      </c>
      <c r="F73" s="1440" t="n"/>
      <c r="G73" s="1440" t="n"/>
    </row>
    <row r="74">
      <c r="A74" s="1440" t="inlineStr">
        <is>
          <t>Commerce City</t>
        </is>
      </c>
      <c r="B74" s="1440" t="inlineStr">
        <is>
          <t>Zoning / Planning</t>
        </is>
      </c>
      <c r="C74" s="1440" t="inlineStr">
        <is>
          <t>Land Development Code</t>
        </is>
      </c>
      <c r="D74" s="1440" t="inlineStr">
        <is>
          <t>https://www.c3gov.com/Government/City-Codes/Land-Development-Code</t>
        </is>
      </c>
      <c r="E74" s="1440" t="inlineStr">
        <is>
          <t>Zoning code (updated 2025)</t>
        </is>
      </c>
      <c r="F74" s="1440" t="n"/>
      <c r="G74" s="1440" t="n"/>
    </row>
    <row r="75">
      <c r="A75" s="1440" t="inlineStr">
        <is>
          <t>Commerce City</t>
        </is>
      </c>
      <c r="B75" s="1440" t="inlineStr">
        <is>
          <t>Zoning / Planning</t>
        </is>
      </c>
      <c r="C75" s="1440" t="inlineStr">
        <is>
          <t>Comprehensive Plan</t>
        </is>
      </c>
      <c r="D75" s="1440" t="inlineStr">
        <is>
          <t>https://www.c3gov.com/Government/City-Charter-Master-Plans/Comprehensive-Plan</t>
        </is>
      </c>
      <c r="E75" s="1440" t="inlineStr">
        <is>
          <t>City comprehensive plan</t>
        </is>
      </c>
      <c r="F75" s="1440" t="n"/>
      <c r="G75" s="1440" t="n"/>
    </row>
    <row r="76">
      <c r="A76" s="1440" t="inlineStr">
        <is>
          <t>Commerce City</t>
        </is>
      </c>
      <c r="B76" s="1440" t="inlineStr">
        <is>
          <t>Flood Zone</t>
        </is>
      </c>
      <c r="C76" s="1440" t="inlineStr">
        <is>
          <t>FEMA Map Service Center</t>
        </is>
      </c>
      <c r="D76" s="1440" t="inlineStr">
        <is>
          <t>https://msc.fema.gov/</t>
        </is>
      </c>
      <c r="E76" s="1440" t="inlineStr">
        <is>
          <t>Address-specific FEMA FIRM lookup</t>
        </is>
      </c>
      <c r="F76" s="1440" t="n"/>
      <c r="G76" s="1440" t="n"/>
    </row>
    <row r="77">
      <c r="A77" s="1440" t="inlineStr">
        <is>
          <t>Commerce City</t>
        </is>
      </c>
      <c r="B77" s="1440" t="inlineStr">
        <is>
          <t>Flood Zone</t>
        </is>
      </c>
      <c r="C77" s="1440" t="inlineStr">
        <is>
          <t>Adams County Floodplain Management</t>
        </is>
      </c>
      <c r="D77" s="1440" t="inlineStr">
        <is>
          <t>https://adamscountyco.gov/our-county/community-economic-development/floodplain-management/</t>
        </is>
      </c>
      <c r="E77" s="1440" t="inlineStr">
        <is>
          <t>County floodplain resources</t>
        </is>
      </c>
      <c r="F77" s="1440" t="n"/>
      <c r="G77" s="1440" t="n"/>
    </row>
    <row r="78">
      <c r="A78" s="1440" t="inlineStr">
        <is>
          <t>Commerce City</t>
        </is>
      </c>
      <c r="B78" s="1440" t="inlineStr">
        <is>
          <t>Economic Development</t>
        </is>
      </c>
      <c r="C78" s="1440" t="inlineStr">
        <is>
          <t>Economic Development Department</t>
        </is>
      </c>
      <c r="D78" s="1440" t="inlineStr">
        <is>
          <t>https://www.c3gov.com/Government/Departments-Divisions/Economic-Development</t>
        </is>
      </c>
      <c r="E78" s="1440" t="inlineStr">
        <is>
          <t>City economic development office</t>
        </is>
      </c>
      <c r="F78" s="1440" t="n"/>
      <c r="G78" s="1440" t="n"/>
    </row>
    <row r="79">
      <c r="A79" s="1440" t="inlineStr">
        <is>
          <t>Commerce City</t>
        </is>
      </c>
      <c r="B79" s="1440" t="inlineStr">
        <is>
          <t>Crime / Safety</t>
        </is>
      </c>
      <c r="C79" s="1440" t="inlineStr">
        <is>
          <t>Records and Crime Statistics</t>
        </is>
      </c>
      <c r="D79" s="1440" t="inlineStr">
        <is>
          <t>https://www.c3gov.com/Public-Safety/Police-Department/Records-and-Crime-Statistics</t>
        </is>
      </c>
      <c r="E79" s="1440" t="inlineStr">
        <is>
          <t>Crime reports and statistics</t>
        </is>
      </c>
      <c r="F79" s="1440" t="n"/>
      <c r="G79" s="1440" t="n"/>
    </row>
    <row r="80">
      <c r="A80" s="1440" t="inlineStr">
        <is>
          <t>Commerce City</t>
        </is>
      </c>
      <c r="B80" s="1440" t="inlineStr">
        <is>
          <t>School Districts</t>
        </is>
      </c>
      <c r="C80" s="1440" t="inlineStr">
        <is>
          <t>Adams 12 Five Star Schools</t>
        </is>
      </c>
      <c r="D80" s="1440" t="inlineStr">
        <is>
          <t>https://www.adams12.org/</t>
        </is>
      </c>
      <c r="E80" s="1440" t="inlineStr">
        <is>
          <t>Primary district for Commerce City</t>
        </is>
      </c>
      <c r="F80" s="1440" t="n"/>
      <c r="G80" s="1440" t="n"/>
    </row>
    <row r="81">
      <c r="A81" s="1440" t="inlineStr">
        <is>
          <t>Commerce City</t>
        </is>
      </c>
      <c r="B81" s="1440" t="inlineStr">
        <is>
          <t>School Districts</t>
        </is>
      </c>
      <c r="C81" s="1440" t="inlineStr">
        <is>
          <t>School District 27J</t>
        </is>
      </c>
      <c r="D81" s="1440" t="inlineStr">
        <is>
          <t>https://www.sd27j.org/</t>
        </is>
      </c>
      <c r="E81" s="1440" t="inlineStr">
        <is>
          <t>Serves northern portions of Commerce City</t>
        </is>
      </c>
      <c r="F81" s="1440" t="n"/>
      <c r="G81" s="1440" t="n"/>
    </row>
    <row r="82">
      <c r="A82" s="1440" t="inlineStr">
        <is>
          <t>Commerce City</t>
        </is>
      </c>
      <c r="B82" s="1440" t="inlineStr">
        <is>
          <t>School Districts</t>
        </is>
      </c>
      <c r="C82" s="1440" t="inlineStr">
        <is>
          <t>Mapleton School District 1</t>
        </is>
      </c>
      <c r="D82" s="1440" t="inlineStr">
        <is>
          <t>https://www.mapleton.us/</t>
        </is>
      </c>
      <c r="E82" s="1440" t="inlineStr">
        <is>
          <t>Serves portions of Commerce City</t>
        </is>
      </c>
      <c r="F82" s="1440" t="n"/>
      <c r="G82" s="1440" t="n"/>
    </row>
    <row r="83">
      <c r="A83" s="1441" t="inlineStr">
        <is>
          <t>Federal Heights</t>
        </is>
      </c>
      <c r="B83" s="1441" t="inlineStr">
        <is>
          <t>Property Assessment</t>
        </is>
      </c>
      <c r="C83" s="1441" t="inlineStr">
        <is>
          <t>Adams County Assessor (Property Lookup)</t>
        </is>
      </c>
      <c r="D83" s="1441" t="inlineStr">
        <is>
          <t>https://adcogov.org/property-look</t>
        </is>
      </c>
      <c r="E83" s="1441" t="inlineStr">
        <is>
          <t>Federal Heights is fully within Adams County</t>
        </is>
      </c>
      <c r="F83" s="1441" t="n"/>
      <c r="G83" s="1441" t="n"/>
    </row>
    <row r="84">
      <c r="A84" s="1441" t="inlineStr">
        <is>
          <t>Federal Heights</t>
        </is>
      </c>
      <c r="B84" s="1441" t="inlineStr">
        <is>
          <t>Property Tax / Treasurer</t>
        </is>
      </c>
      <c r="C84" s="1441" t="inlineStr">
        <is>
          <t>Online Tax Payment</t>
        </is>
      </c>
      <c r="D84" s="1441" t="inlineStr">
        <is>
          <t>https://adcotax.com/treasurer/web/login.jsp</t>
        </is>
      </c>
      <c r="E84" s="1441" t="inlineStr">
        <is>
          <t>Adams County tax payment portal</t>
        </is>
      </c>
      <c r="F84" s="1441" t="n"/>
      <c r="G84" s="1441" t="n"/>
    </row>
    <row r="85">
      <c r="A85" s="1441" t="inlineStr">
        <is>
          <t>Federal Heights</t>
        </is>
      </c>
      <c r="B85" s="1441" t="inlineStr">
        <is>
          <t>Property Tax / Treasurer</t>
        </is>
      </c>
      <c r="C85" s="1441" t="inlineStr">
        <is>
          <t>Property Tax Inquiry</t>
        </is>
      </c>
      <c r="D85" s="1441" t="inlineStr">
        <is>
          <t>https://adamsil.devnetwedge.com/</t>
        </is>
      </c>
      <c r="E85" s="1441" t="inlineStr">
        <is>
          <t>Tax balance and history lookup</t>
        </is>
      </c>
      <c r="F85" s="1441" t="n"/>
      <c r="G85" s="1441" t="n"/>
    </row>
    <row r="86">
      <c r="A86" s="1441" t="inlineStr">
        <is>
          <t>Federal Heights</t>
        </is>
      </c>
      <c r="B86" s="1441" t="inlineStr">
        <is>
          <t>Deed / Title Records</t>
        </is>
      </c>
      <c r="C86" s="1441" t="inlineStr">
        <is>
          <t>Landmark Web Document Search</t>
        </is>
      </c>
      <c r="D86" s="1441" t="inlineStr">
        <is>
          <t>https://recording.adcogov.org/landmarkweb</t>
        </is>
      </c>
      <c r="E86" s="1441" t="inlineStr">
        <is>
          <t>Adams County deed/title records</t>
        </is>
      </c>
      <c r="F86" s="1441" t="n"/>
      <c r="G86" s="1441" t="n"/>
    </row>
    <row r="87">
      <c r="A87" s="1441" t="inlineStr">
        <is>
          <t>Federal Heights</t>
        </is>
      </c>
      <c r="B87" s="1441" t="inlineStr">
        <is>
          <t>GIS / Mapping</t>
        </is>
      </c>
      <c r="C87" s="1441" t="inlineStr">
        <is>
          <t>City Maps</t>
        </is>
      </c>
      <c r="D87" s="1441" t="inlineStr">
        <is>
          <t>https://www.fedheights.org/?SEC=D1A883BE-0C29-4602-8CC9-5D6A08DA5503</t>
        </is>
      </c>
      <c r="E87" s="1441" t="inlineStr">
        <is>
          <t>City map resources</t>
        </is>
      </c>
      <c r="F87" s="1441" t="n"/>
      <c r="G87" s="1441" t="n"/>
    </row>
    <row r="88">
      <c r="A88" s="1441" t="inlineStr">
        <is>
          <t>Federal Heights</t>
        </is>
      </c>
      <c r="B88" s="1441" t="inlineStr">
        <is>
          <t>Permits</t>
        </is>
      </c>
      <c r="C88" s="1441" t="inlineStr">
        <is>
          <t>Building Department</t>
        </is>
      </c>
      <c r="D88" s="1441" t="inlineStr">
        <is>
          <t>https://www.fedheights.org/building</t>
        </is>
      </c>
      <c r="E88" s="1441" t="inlineStr">
        <is>
          <t>Building permits and inspections</t>
        </is>
      </c>
      <c r="F88" s="1441" t="n"/>
      <c r="G88" s="1441" t="n"/>
    </row>
    <row r="89">
      <c r="A89" s="1441" t="inlineStr">
        <is>
          <t>Federal Heights</t>
        </is>
      </c>
      <c r="B89" s="1441" t="inlineStr">
        <is>
          <t>Code Enforcement</t>
        </is>
      </c>
      <c r="C89" s="1441" t="inlineStr">
        <is>
          <t>Code Enforcement</t>
        </is>
      </c>
      <c r="D89" s="1441" t="inlineStr">
        <is>
          <t>https://www.fedheights.org/codeenforcement</t>
        </is>
      </c>
      <c r="E89" s="1441" t="inlineStr">
        <is>
          <t>Code enforcement department</t>
        </is>
      </c>
      <c r="F89" s="1441" t="n"/>
      <c r="G89" s="1441" t="n"/>
    </row>
    <row r="90">
      <c r="A90" s="1441" t="inlineStr">
        <is>
          <t>Federal Heights</t>
        </is>
      </c>
      <c r="B90" s="1441" t="inlineStr">
        <is>
          <t>Zoning / Planning</t>
        </is>
      </c>
      <c r="C90" s="1441" t="inlineStr">
        <is>
          <t>Planning Department</t>
        </is>
      </c>
      <c r="D90" s="1441" t="inlineStr">
        <is>
          <t>https://www.fedheights.org/planning</t>
        </is>
      </c>
      <c r="E90" s="1441" t="inlineStr">
        <is>
          <t>Planning and zoning info</t>
        </is>
      </c>
      <c r="F90" s="1441" t="n"/>
      <c r="G90" s="1441" t="n"/>
    </row>
    <row r="91">
      <c r="A91" s="1441" t="inlineStr">
        <is>
          <t>Federal Heights</t>
        </is>
      </c>
      <c r="B91" s="1441" t="inlineStr">
        <is>
          <t>Zoning / Planning</t>
        </is>
      </c>
      <c r="C91" s="1441" t="inlineStr">
        <is>
          <t>Zoning Information Page</t>
        </is>
      </c>
      <c r="D91" s="1441" t="inlineStr">
        <is>
          <t>https://www.fedheights.org/index.asp?SEC=D7AA9940-8607-468A-8215-7308DD3BF799&amp;Type=B_BASIC</t>
        </is>
      </c>
      <c r="E91" s="1441" t="inlineStr">
        <is>
          <t>Zoning district info and lookup</t>
        </is>
      </c>
      <c r="F91" s="1441" t="n"/>
      <c r="G91" s="1441" t="n"/>
    </row>
    <row r="92">
      <c r="A92" s="1441" t="inlineStr">
        <is>
          <t>Federal Heights</t>
        </is>
      </c>
      <c r="B92" s="1441" t="inlineStr">
        <is>
          <t>Zoning / Planning</t>
        </is>
      </c>
      <c r="C92" s="1441" t="inlineStr">
        <is>
          <t>Municipal Code (Municode)</t>
        </is>
      </c>
      <c r="D92" s="1441" t="inlineStr">
        <is>
          <t>https://library.municode.com/co/federal_heights</t>
        </is>
      </c>
      <c r="E92" s="1441" t="inlineStr">
        <is>
          <t>Full zoning and municipal code</t>
        </is>
      </c>
      <c r="F92" s="1441" t="n"/>
      <c r="G92" s="1441" t="n"/>
    </row>
    <row r="93">
      <c r="A93" s="1441" t="inlineStr">
        <is>
          <t>Federal Heights</t>
        </is>
      </c>
      <c r="B93" s="1441" t="inlineStr">
        <is>
          <t>Flood Zone</t>
        </is>
      </c>
      <c r="C93" s="1441" t="inlineStr">
        <is>
          <t>FEMA Map Service Center</t>
        </is>
      </c>
      <c r="D93" s="1441" t="inlineStr">
        <is>
          <t>https://msc.fema.gov/</t>
        </is>
      </c>
      <c r="E93" s="1441" t="inlineStr">
        <is>
          <t>Address-specific FEMA FIRM lookup</t>
        </is>
      </c>
      <c r="F93" s="1441" t="n"/>
      <c r="G93" s="1441" t="n"/>
    </row>
    <row r="94">
      <c r="A94" s="1441" t="inlineStr">
        <is>
          <t>Federal Heights</t>
        </is>
      </c>
      <c r="B94" s="1441" t="inlineStr">
        <is>
          <t>Economic Development</t>
        </is>
      </c>
      <c r="C94" s="1441" t="inlineStr">
        <is>
          <t>Economic Development / FHRA</t>
        </is>
      </c>
      <c r="D94" s="1441" t="inlineStr">
        <is>
          <t>https://www.fedheights.org/economicdevelopment</t>
        </is>
      </c>
      <c r="E94" s="1441" t="inlineStr">
        <is>
          <t>City economic development office</t>
        </is>
      </c>
      <c r="F94" s="1441" t="n"/>
      <c r="G94" s="1441" t="n"/>
    </row>
    <row r="95">
      <c r="A95" s="1441" t="inlineStr">
        <is>
          <t>Federal Heights</t>
        </is>
      </c>
      <c r="B95" s="1441" t="inlineStr">
        <is>
          <t>Utilities</t>
        </is>
      </c>
      <c r="C95" s="1441" t="inlineStr">
        <is>
          <t>Utilities Page</t>
        </is>
      </c>
      <c r="D95" s="1441" t="inlineStr">
        <is>
          <t>https://www.fedheights.org/utilities</t>
        </is>
      </c>
      <c r="E95" s="1441" t="inlineStr">
        <is>
          <t>Water/sewer utility info</t>
        </is>
      </c>
      <c r="F95" s="1441" t="n"/>
      <c r="G95" s="1441" t="n"/>
    </row>
    <row r="96">
      <c r="A96" s="1441" t="inlineStr">
        <is>
          <t>Federal Heights</t>
        </is>
      </c>
      <c r="B96" s="1441" t="inlineStr">
        <is>
          <t>Utilities</t>
        </is>
      </c>
      <c r="C96" s="1441" t="inlineStr">
        <is>
          <t>Public Works</t>
        </is>
      </c>
      <c r="D96" s="1441" t="inlineStr">
        <is>
          <t>https://www.fedheights.org/publicworks</t>
        </is>
      </c>
      <c r="E96" s="1441" t="inlineStr">
        <is>
          <t>Public works department</t>
        </is>
      </c>
      <c r="F96" s="1441" t="n"/>
      <c r="G96" s="1441" t="n"/>
    </row>
    <row r="97">
      <c r="A97" s="1441" t="inlineStr">
        <is>
          <t>Federal Heights</t>
        </is>
      </c>
      <c r="B97" s="1441" t="inlineStr">
        <is>
          <t>Utilities</t>
        </is>
      </c>
      <c r="C97" s="1441" t="inlineStr">
        <is>
          <t>Xcel Energy</t>
        </is>
      </c>
      <c r="D97" s="1441" t="inlineStr">
        <is>
          <t>https://www.xcelenergy.com/</t>
        </is>
      </c>
      <c r="E97" s="1441" t="inlineStr">
        <is>
          <t>Electric and gas provider for Federal Heights</t>
        </is>
      </c>
      <c r="F97" s="1441" t="n"/>
      <c r="G97" s="1441" t="n"/>
    </row>
    <row r="98">
      <c r="A98" s="1441" t="inlineStr">
        <is>
          <t>Federal Heights</t>
        </is>
      </c>
      <c r="B98" s="1441" t="inlineStr">
        <is>
          <t>School Districts</t>
        </is>
      </c>
      <c r="C98" s="1441" t="inlineStr">
        <is>
          <t>Adams 12 Five Star Schools</t>
        </is>
      </c>
      <c r="D98" s="1441" t="inlineStr">
        <is>
          <t>https://www.adams12.org/</t>
        </is>
      </c>
      <c r="E98" s="1441" t="inlineStr">
        <is>
          <t>Primary school district for Federal Heights</t>
        </is>
      </c>
      <c r="F98" s="1441" t="n"/>
      <c r="G98" s="1441" t="n"/>
    </row>
    <row r="99">
      <c r="A99" s="1442" t="inlineStr">
        <is>
          <t>Northglenn</t>
        </is>
      </c>
      <c r="B99" s="1442" t="inlineStr">
        <is>
          <t>Property Assessment</t>
        </is>
      </c>
      <c r="C99" s="1442" t="inlineStr">
        <is>
          <t>Adams County Assessor (Property Lookup)</t>
        </is>
      </c>
      <c r="D99" s="1442" t="inlineStr">
        <is>
          <t>https://adcogov.org/property-look</t>
        </is>
      </c>
      <c r="E99" s="1442" t="inlineStr">
        <is>
          <t>Northglenn is fully within Adams County</t>
        </is>
      </c>
      <c r="F99" s="1442" t="n"/>
      <c r="G99" s="1442" t="n"/>
    </row>
    <row r="100">
      <c r="A100" s="1442" t="inlineStr">
        <is>
          <t>Northglenn</t>
        </is>
      </c>
      <c r="B100" s="1442" t="inlineStr">
        <is>
          <t>Property Tax / Treasurer</t>
        </is>
      </c>
      <c r="C100" s="1442" t="inlineStr">
        <is>
          <t>Online Tax Payment</t>
        </is>
      </c>
      <c r="D100" s="1442" t="inlineStr">
        <is>
          <t>https://adcotax.com/treasurer/web/login.jsp</t>
        </is>
      </c>
      <c r="E100" s="1442" t="inlineStr">
        <is>
          <t>Adams County tax payment portal</t>
        </is>
      </c>
      <c r="F100" s="1442" t="n"/>
      <c r="G100" s="1442" t="n"/>
    </row>
    <row r="101">
      <c r="A101" s="1442" t="inlineStr">
        <is>
          <t>Northglenn</t>
        </is>
      </c>
      <c r="B101" s="1442" t="inlineStr">
        <is>
          <t>Property Tax / Treasurer</t>
        </is>
      </c>
      <c r="C101" s="1442" t="inlineStr">
        <is>
          <t>Property Tax Inquiry</t>
        </is>
      </c>
      <c r="D101" s="1442" t="inlineStr">
        <is>
          <t>https://adamsil.devnetwedge.com/</t>
        </is>
      </c>
      <c r="E101" s="1442" t="inlineStr">
        <is>
          <t>Tax balance and history lookup</t>
        </is>
      </c>
      <c r="F101" s="1442" t="n"/>
      <c r="G101" s="1442" t="n"/>
    </row>
    <row r="102">
      <c r="A102" s="1442" t="inlineStr">
        <is>
          <t>Northglenn</t>
        </is>
      </c>
      <c r="B102" s="1442" t="inlineStr">
        <is>
          <t>Deed / Title Records</t>
        </is>
      </c>
      <c r="C102" s="1442" t="inlineStr">
        <is>
          <t>Landmark Web Document Search</t>
        </is>
      </c>
      <c r="D102" s="1442" t="inlineStr">
        <is>
          <t>https://recording.adcogov.org/landmarkweb</t>
        </is>
      </c>
      <c r="E102" s="1442" t="inlineStr">
        <is>
          <t>Adams County deed/title records</t>
        </is>
      </c>
      <c r="F102" s="1442" t="n"/>
      <c r="G102" s="1442" t="n"/>
    </row>
    <row r="103">
      <c r="A103" s="1442" t="inlineStr">
        <is>
          <t>Northglenn</t>
        </is>
      </c>
      <c r="B103" s="1442" t="inlineStr">
        <is>
          <t>GIS / Mapping</t>
        </is>
      </c>
      <c r="C103" s="1442" t="inlineStr">
        <is>
          <t>Maps Page</t>
        </is>
      </c>
      <c r="D103" s="1442" t="inlineStr">
        <is>
          <t>https://www.northglenn.org/residents/about_northglenn/maps.php</t>
        </is>
      </c>
      <c r="E103" s="1442" t="inlineStr">
        <is>
          <t>City maps</t>
        </is>
      </c>
      <c r="F103" s="1442" t="n"/>
      <c r="G103" s="1442" t="n"/>
    </row>
    <row r="104">
      <c r="A104" s="1442" t="inlineStr">
        <is>
          <t>Northglenn</t>
        </is>
      </c>
      <c r="B104" s="1442" t="inlineStr">
        <is>
          <t>GIS / Mapping</t>
        </is>
      </c>
      <c r="C104" s="1442" t="inlineStr">
        <is>
          <t>Interactive Zoning Map (ArcGIS)</t>
        </is>
      </c>
      <c r="D104" s="1442" t="inlineStr">
        <is>
          <t>https://www.arcgis.com/home/webmap/viewer.html?webmap=39b7188473574a07bcc84ca0ec3807fc</t>
        </is>
      </c>
      <c r="E104" s="1442" t="inlineStr">
        <is>
          <t>Citywide zoning map viewer</t>
        </is>
      </c>
      <c r="F104" s="1442" t="n"/>
      <c r="G104" s="1442" t="n"/>
    </row>
    <row r="105">
      <c r="A105" s="1442" t="inlineStr">
        <is>
          <t>Northglenn</t>
        </is>
      </c>
      <c r="B105" s="1442" t="inlineStr">
        <is>
          <t>Permits</t>
        </is>
      </c>
      <c r="C105" s="1442" t="inlineStr">
        <is>
          <t>Building Department</t>
        </is>
      </c>
      <c r="D105" s="1442" t="inlineStr">
        <is>
          <t>https://www.northglenn.org/government/departments/building/</t>
        </is>
      </c>
      <c r="E105" s="1442" t="inlineStr">
        <is>
          <t>Building dept (contracted to SAFEbuilt)</t>
        </is>
      </c>
      <c r="F105" s="1442" t="n"/>
      <c r="G105" s="1442" t="n"/>
    </row>
    <row r="106">
      <c r="A106" s="1442" t="inlineStr">
        <is>
          <t>Northglenn</t>
        </is>
      </c>
      <c r="B106" s="1442" t="inlineStr">
        <is>
          <t>Permits</t>
        </is>
      </c>
      <c r="C106" s="1442" t="inlineStr">
        <is>
          <t>Permits Page</t>
        </is>
      </c>
      <c r="D106" s="1442" t="inlineStr">
        <is>
          <t>https://www.northglenn.org/government/departments/building/permits.php</t>
        </is>
      </c>
      <c r="E106" s="1442" t="inlineStr">
        <is>
          <t>Permit types and applications</t>
        </is>
      </c>
      <c r="F106" s="1442" t="n"/>
      <c r="G106" s="1442" t="n"/>
    </row>
    <row r="107">
      <c r="A107" s="1442" t="inlineStr">
        <is>
          <t>Northglenn</t>
        </is>
      </c>
      <c r="B107" s="1442" t="inlineStr">
        <is>
          <t>Permits</t>
        </is>
      </c>
      <c r="C107" s="1442" t="inlineStr">
        <is>
          <t>Building Permit Info</t>
        </is>
      </c>
      <c r="D107" s="1442" t="inlineStr">
        <is>
          <t>https://www.northglenn.org/government/licenses_and_permits/building_permit.php</t>
        </is>
      </c>
      <c r="E107" s="1442" t="inlineStr">
        <is>
          <t>How to apply for a building permit</t>
        </is>
      </c>
      <c r="F107" s="1442" t="n"/>
      <c r="G107" s="1442" t="n"/>
    </row>
    <row r="108">
      <c r="A108" s="1442" t="inlineStr">
        <is>
          <t>Northglenn</t>
        </is>
      </c>
      <c r="B108" s="1442" t="inlineStr">
        <is>
          <t>Zoning / Planning</t>
        </is>
      </c>
      <c r="C108" s="1442" t="inlineStr">
        <is>
          <t>QuickZone (Address Zoning Lookup)</t>
        </is>
      </c>
      <c r="D108" s="1442" t="inlineStr">
        <is>
          <t>https://secure.northglenn.org/quickzone</t>
        </is>
      </c>
      <c r="E108" s="1442" t="inlineStr">
        <is>
          <t>Instant zoning lookup by address — most user-friendly in county</t>
        </is>
      </c>
      <c r="F108" s="1442" t="n"/>
      <c r="G108" s="1442" t="n"/>
    </row>
    <row r="109">
      <c r="A109" s="1442" t="inlineStr">
        <is>
          <t>Northglenn</t>
        </is>
      </c>
      <c r="B109" s="1442" t="inlineStr">
        <is>
          <t>Zoning / Planning</t>
        </is>
      </c>
      <c r="C109" s="1442" t="inlineStr">
        <is>
          <t>Land Use and Zoning Main Page</t>
        </is>
      </c>
      <c r="D109" s="1442" t="inlineStr">
        <is>
          <t>https://www.northglenn.org/government/land_use_and_zoning/</t>
        </is>
      </c>
      <c r="E109" s="1442" t="inlineStr">
        <is>
          <t>Zoning department</t>
        </is>
      </c>
      <c r="F109" s="1442" t="n"/>
      <c r="G109" s="1442" t="n"/>
    </row>
    <row r="110">
      <c r="A110" s="1442" t="inlineStr">
        <is>
          <t>Northglenn</t>
        </is>
      </c>
      <c r="B110" s="1442" t="inlineStr">
        <is>
          <t>Zoning / Planning</t>
        </is>
      </c>
      <c r="C110" s="1442" t="inlineStr">
        <is>
          <t>Zoning Map</t>
        </is>
      </c>
      <c r="D110" s="1442" t="inlineStr">
        <is>
          <t>https://www.northglenn.org/government/land_use_and_zoning/zoning_map.php</t>
        </is>
      </c>
      <c r="E110" s="1442" t="inlineStr">
        <is>
          <t>Official citywide zoning map</t>
        </is>
      </c>
      <c r="F110" s="1442" t="n"/>
      <c r="G110" s="1442" t="n"/>
    </row>
    <row r="111">
      <c r="A111" s="1442" t="inlineStr">
        <is>
          <t>Northglenn</t>
        </is>
      </c>
      <c r="B111" s="1442" t="inlineStr">
        <is>
          <t>Zoning / Planning</t>
        </is>
      </c>
      <c r="C111" s="1442" t="inlineStr">
        <is>
          <t>Comprehensive Plan</t>
        </is>
      </c>
      <c r="D111" s="1442" t="inlineStr">
        <is>
          <t>https://www.northglenn.org/government/land_use_and_zoning/comprehensive_plan.php</t>
        </is>
      </c>
      <c r="E111" s="1442" t="inlineStr">
        <is>
          <t>City comprehensive plan</t>
        </is>
      </c>
      <c r="F111" s="1442" t="n"/>
      <c r="G111" s="1442" t="n"/>
    </row>
    <row r="112">
      <c r="A112" s="1442" t="inlineStr">
        <is>
          <t>Northglenn</t>
        </is>
      </c>
      <c r="B112" s="1442" t="inlineStr">
        <is>
          <t>Zoning / Planning</t>
        </is>
      </c>
      <c r="C112" s="1442" t="inlineStr">
        <is>
          <t>Planning and Development Department</t>
        </is>
      </c>
      <c r="D112" s="1442" t="inlineStr">
        <is>
          <t>https://www.northglenn.org/government/departments/planning_department/index.php</t>
        </is>
      </c>
      <c r="E112" s="1442" t="inlineStr">
        <is>
          <t>Planning department</t>
        </is>
      </c>
      <c r="F112" s="1442" t="n"/>
      <c r="G112" s="1442" t="n"/>
    </row>
    <row r="113">
      <c r="A113" s="1442" t="inlineStr">
        <is>
          <t>Northglenn</t>
        </is>
      </c>
      <c r="B113" s="1442" t="inlineStr">
        <is>
          <t>Flood Zone</t>
        </is>
      </c>
      <c r="C113" s="1442" t="inlineStr">
        <is>
          <t>FEMA Map Service Center</t>
        </is>
      </c>
      <c r="D113" s="1442" t="inlineStr">
        <is>
          <t>https://msc.fema.gov/</t>
        </is>
      </c>
      <c r="E113" s="1442" t="inlineStr">
        <is>
          <t>Address-specific FEMA FIRM lookup</t>
        </is>
      </c>
      <c r="F113" s="1442" t="n"/>
      <c r="G113" s="1442" t="n"/>
    </row>
    <row r="114">
      <c r="A114" s="1442" t="inlineStr">
        <is>
          <t>Northglenn</t>
        </is>
      </c>
      <c r="B114" s="1442" t="inlineStr">
        <is>
          <t>Flood Zone</t>
        </is>
      </c>
      <c r="C114" s="1442" t="inlineStr">
        <is>
          <t>Adams County Floodplain Management</t>
        </is>
      </c>
      <c r="D114" s="1442" t="inlineStr">
        <is>
          <t>https://adamscountyco.gov/our-county/community-economic-development/floodplain-management/</t>
        </is>
      </c>
      <c r="E114" s="1442" t="inlineStr">
        <is>
          <t>County floodplain resources</t>
        </is>
      </c>
      <c r="F114" s="1442" t="n"/>
      <c r="G114" s="1442" t="n"/>
    </row>
    <row r="115">
      <c r="A115" s="1442" t="inlineStr">
        <is>
          <t>Northglenn</t>
        </is>
      </c>
      <c r="B115" s="1442" t="inlineStr">
        <is>
          <t>Economic Development</t>
        </is>
      </c>
      <c r="C115" s="1442" t="inlineStr">
        <is>
          <t>Business Help / Economic Development</t>
        </is>
      </c>
      <c r="D115" s="1442" t="inlineStr">
        <is>
          <t>https://www.northglenn.org/biz/</t>
        </is>
      </c>
      <c r="E115" s="1442" t="inlineStr">
        <is>
          <t>City business resources</t>
        </is>
      </c>
      <c r="F115" s="1442" t="n"/>
      <c r="G115" s="1442" t="n"/>
    </row>
    <row r="116">
      <c r="A116" s="1442" t="inlineStr">
        <is>
          <t>Northglenn</t>
        </is>
      </c>
      <c r="B116" s="1442" t="inlineStr">
        <is>
          <t>Business License</t>
        </is>
      </c>
      <c r="C116" s="1442" t="inlineStr">
        <is>
          <t>Business License</t>
        </is>
      </c>
      <c r="D116" s="1442" t="inlineStr">
        <is>
          <t>https://www.northglenn.org/government/licenses_and_permits/business_license.php</t>
        </is>
      </c>
      <c r="E116" s="1442" t="inlineStr">
        <is>
          <t>Business license portal</t>
        </is>
      </c>
      <c r="F116" s="1442" t="n"/>
      <c r="G116" s="1442" t="n"/>
    </row>
    <row r="117">
      <c r="A117" s="1442" t="inlineStr">
        <is>
          <t>Northglenn</t>
        </is>
      </c>
      <c r="B117" s="1442" t="inlineStr">
        <is>
          <t>Short-Term Rental</t>
        </is>
      </c>
      <c r="C117" s="1442" t="inlineStr">
        <is>
          <t>Short-Term Rental License</t>
        </is>
      </c>
      <c r="D117" s="1442" t="inlineStr">
        <is>
          <t>https://www.northglenn.org/government/licenses_and_permits/short_term_rental_license.php</t>
        </is>
      </c>
      <c r="E117" s="1442" t="inlineStr">
        <is>
          <t>STR license requirements</t>
        </is>
      </c>
      <c r="F117" s="1442" t="n"/>
      <c r="G117" s="1442" t="n"/>
    </row>
    <row r="118">
      <c r="A118" s="1442" t="inlineStr">
        <is>
          <t>Northglenn</t>
        </is>
      </c>
      <c r="B118" s="1442" t="inlineStr">
        <is>
          <t>Crime / Safety</t>
        </is>
      </c>
      <c r="C118" s="1442" t="inlineStr">
        <is>
          <t>Crime Maps</t>
        </is>
      </c>
      <c r="D118" s="1442" t="inlineStr">
        <is>
          <t>https://secure.northglenn.org/maps/crime</t>
        </is>
      </c>
      <c r="E118" s="1442" t="inlineStr">
        <is>
          <t>Interactive crime map</t>
        </is>
      </c>
      <c r="F118" s="1442" t="n"/>
      <c r="G118" s="1442" t="n"/>
    </row>
    <row r="119">
      <c r="A119" s="1442" t="inlineStr">
        <is>
          <t>Northglenn</t>
        </is>
      </c>
      <c r="B119" s="1442" t="inlineStr">
        <is>
          <t>Crime / Safety</t>
        </is>
      </c>
      <c r="C119" s="1442" t="inlineStr">
        <is>
          <t>Crime Stats</t>
        </is>
      </c>
      <c r="D119" s="1442" t="inlineStr">
        <is>
          <t>https://www.northglenn.org/public_safety/police/crime_stats.php</t>
        </is>
      </c>
      <c r="E119" s="1442" t="inlineStr">
        <is>
          <t>Crime statistics</t>
        </is>
      </c>
      <c r="F119" s="1442" t="n"/>
      <c r="G119" s="1442" t="n"/>
    </row>
    <row r="120">
      <c r="A120" s="1442" t="inlineStr">
        <is>
          <t>Northglenn</t>
        </is>
      </c>
      <c r="B120" s="1442" t="inlineStr">
        <is>
          <t>Utilities</t>
        </is>
      </c>
      <c r="C120" s="1442" t="inlineStr">
        <is>
          <t>Water</t>
        </is>
      </c>
      <c r="D120" s="1442" t="inlineStr">
        <is>
          <t>https://www.northglenn.org/residents/water/</t>
        </is>
      </c>
      <c r="E120" s="1442" t="inlineStr">
        <is>
          <t>City water utility</t>
        </is>
      </c>
      <c r="F120" s="1442" t="n"/>
      <c r="G120" s="1442" t="n"/>
    </row>
    <row r="121">
      <c r="A121" s="1442" t="inlineStr">
        <is>
          <t>Northglenn</t>
        </is>
      </c>
      <c r="B121" s="1442" t="inlineStr">
        <is>
          <t>School Districts</t>
        </is>
      </c>
      <c r="C121" s="1442" t="inlineStr">
        <is>
          <t>Adams 12 Five Star Schools</t>
        </is>
      </c>
      <c r="D121" s="1442" t="inlineStr">
        <is>
          <t>https://www.adams12.org/</t>
        </is>
      </c>
      <c r="E121" s="1442" t="inlineStr">
        <is>
          <t>Primary school district for Northglenn</t>
        </is>
      </c>
      <c r="F121" s="1442" t="n"/>
      <c r="G121" s="1442" t="n"/>
    </row>
    <row r="122">
      <c r="A122" s="1442" t="inlineStr">
        <is>
          <t>Northglenn</t>
        </is>
      </c>
      <c r="B122" s="1442" t="inlineStr">
        <is>
          <t>School Districts</t>
        </is>
      </c>
      <c r="C122" s="1442" t="inlineStr">
        <is>
          <t>Schools Listing</t>
        </is>
      </c>
      <c r="D122" s="1442" t="inlineStr">
        <is>
          <t>https://www.northglenn.org/residents/schools.php</t>
        </is>
      </c>
      <c r="E122" s="1442" t="inlineStr">
        <is>
          <t>Northglenn school directory</t>
        </is>
      </c>
      <c r="F122" s="1442" t="n"/>
      <c r="G122" s="1442" t="n"/>
    </row>
    <row r="123">
      <c r="A123" s="1443" t="inlineStr">
        <is>
          <t>Thornton</t>
        </is>
      </c>
      <c r="B123" s="1443" t="inlineStr">
        <is>
          <t>Property Assessment</t>
        </is>
      </c>
      <c r="C123" s="1443" t="inlineStr">
        <is>
          <t>Thornton CityView Property Locator</t>
        </is>
      </c>
      <c r="D123" s="1443" t="inlineStr">
        <is>
          <t>https://cityviewportal.thorntonco.gov/Property</t>
        </is>
      </c>
      <c r="E123" s="1443" t="inlineStr">
        <is>
          <t>City-run parcel info portal with permit history</t>
        </is>
      </c>
      <c r="F123" s="1443" t="n"/>
      <c r="G123" s="1443" t="n"/>
    </row>
    <row r="124">
      <c r="A124" s="1443" t="inlineStr">
        <is>
          <t>Thornton</t>
        </is>
      </c>
      <c r="B124" s="1443" t="inlineStr">
        <is>
          <t>Property Assessment</t>
        </is>
      </c>
      <c r="C124" s="1443" t="inlineStr">
        <is>
          <t>Adams County Assessor (Property Lookup)</t>
        </is>
      </c>
      <c r="D124" s="1443" t="inlineStr">
        <is>
          <t>https://adcogov.org/property-look</t>
        </is>
      </c>
      <c r="E124" s="1443" t="inlineStr">
        <is>
          <t>County assessment data</t>
        </is>
      </c>
      <c r="F124" s="1443" t="n"/>
      <c r="G124" s="1443" t="n"/>
    </row>
    <row r="125">
      <c r="A125" s="1443" t="inlineStr">
        <is>
          <t>Thornton</t>
        </is>
      </c>
      <c r="B125" s="1443" t="inlineStr">
        <is>
          <t>Property Tax / Treasurer</t>
        </is>
      </c>
      <c r="C125" s="1443" t="inlineStr">
        <is>
          <t>Online Tax Payment</t>
        </is>
      </c>
      <c r="D125" s="1443" t="inlineStr">
        <is>
          <t>https://adcotax.com/treasurer/web/login.jsp</t>
        </is>
      </c>
      <c r="E125" s="1443" t="inlineStr">
        <is>
          <t>Adams County tax payment portal</t>
        </is>
      </c>
      <c r="F125" s="1443" t="n"/>
      <c r="G125" s="1443" t="n"/>
    </row>
    <row r="126">
      <c r="A126" s="1443" t="inlineStr">
        <is>
          <t>Thornton</t>
        </is>
      </c>
      <c r="B126" s="1443" t="inlineStr">
        <is>
          <t>Property Tax / Treasurer</t>
        </is>
      </c>
      <c r="C126" s="1443" t="inlineStr">
        <is>
          <t>Property Tax Inquiry</t>
        </is>
      </c>
      <c r="D126" s="1443" t="inlineStr">
        <is>
          <t>https://adamsil.devnetwedge.com/</t>
        </is>
      </c>
      <c r="E126" s="1443" t="inlineStr">
        <is>
          <t>Tax balance and history lookup</t>
        </is>
      </c>
      <c r="F126" s="1443" t="n"/>
      <c r="G126" s="1443" t="n"/>
    </row>
    <row r="127">
      <c r="A127" s="1443" t="inlineStr">
        <is>
          <t>Thornton</t>
        </is>
      </c>
      <c r="B127" s="1443" t="inlineStr">
        <is>
          <t>Deed / Title Records</t>
        </is>
      </c>
      <c r="C127" s="1443" t="inlineStr">
        <is>
          <t>Landmark Web Document Search</t>
        </is>
      </c>
      <c r="D127" s="1443" t="inlineStr">
        <is>
          <t>https://recording.adcogov.org/landmarkweb</t>
        </is>
      </c>
      <c r="E127" s="1443" t="inlineStr">
        <is>
          <t>Adams County deed/title records</t>
        </is>
      </c>
      <c r="F127" s="1443" t="n"/>
      <c r="G127" s="1443" t="n"/>
    </row>
    <row r="128">
      <c r="A128" s="1443" t="inlineStr">
        <is>
          <t>Thornton</t>
        </is>
      </c>
      <c r="B128" s="1443" t="inlineStr">
        <is>
          <t>GIS / Mapping</t>
        </is>
      </c>
      <c r="C128" s="1443" t="inlineStr">
        <is>
          <t>Open Data Site (ArcGIS)</t>
        </is>
      </c>
      <c r="D128" s="1443" t="inlineStr">
        <is>
          <t>https://data-cityofthornton.opendata.arcgis.com/</t>
        </is>
      </c>
      <c r="E128" s="1443" t="inlineStr">
        <is>
          <t>Downloadable GIS datasets including zoning</t>
        </is>
      </c>
      <c r="F128" s="1443" t="n"/>
      <c r="G128" s="1443" t="n"/>
    </row>
    <row r="129">
      <c r="A129" s="1443" t="inlineStr">
        <is>
          <t>Thornton</t>
        </is>
      </c>
      <c r="B129" s="1443" t="inlineStr">
        <is>
          <t>GIS / Mapping</t>
        </is>
      </c>
      <c r="C129" s="1443" t="inlineStr">
        <is>
          <t>Interactive GIS Map Viewer</t>
        </is>
      </c>
      <c r="D129" s="1443" t="inlineStr">
        <is>
          <t>https://maps.thorntonco.gov/portal/apps/webappviewer/index.html?id=3ca678047c5b48568a9322c364808f7e</t>
        </is>
      </c>
      <c r="E129" s="1443" t="inlineStr">
        <is>
          <t>Full interactive city GIS map</t>
        </is>
      </c>
      <c r="F129" s="1443" t="n"/>
      <c r="G129" s="1443" t="n"/>
    </row>
    <row r="130">
      <c r="A130" s="1443" t="inlineStr">
        <is>
          <t>Thornton</t>
        </is>
      </c>
      <c r="B130" s="1443" t="inlineStr">
        <is>
          <t>GIS / Mapping</t>
        </is>
      </c>
      <c r="C130" s="1443" t="inlineStr">
        <is>
          <t>Development Code Hub (ArcGIS)</t>
        </is>
      </c>
      <c r="D130" s="1443" t="inlineStr">
        <is>
          <t>https://city-of-thornton-development-code-cityofthornton.hub.arcgis.com/</t>
        </is>
      </c>
      <c r="E130" s="1443" t="inlineStr">
        <is>
          <t>Zoning and development code in map format</t>
        </is>
      </c>
      <c r="F130" s="1443" t="n"/>
      <c r="G130" s="1443" t="n"/>
    </row>
    <row r="131">
      <c r="A131" s="1443" t="inlineStr">
        <is>
          <t>Thornton</t>
        </is>
      </c>
      <c r="B131" s="1443" t="inlineStr">
        <is>
          <t>Permits</t>
        </is>
      </c>
      <c r="C131" s="1443" t="inlineStr">
        <is>
          <t>CityView Portal</t>
        </is>
      </c>
      <c r="D131" s="1443" t="inlineStr">
        <is>
          <t>https://cityviewportal.thorntonco.gov/</t>
        </is>
      </c>
      <c r="E131" s="1443" t="inlineStr">
        <is>
          <t>Permits search and property info</t>
        </is>
      </c>
      <c r="F131" s="1443" t="n"/>
      <c r="G131" s="1443" t="n"/>
    </row>
    <row r="132">
      <c r="A132" s="1443" t="inlineStr">
        <is>
          <t>Thornton</t>
        </is>
      </c>
      <c r="B132" s="1443" t="inlineStr">
        <is>
          <t>Permits</t>
        </is>
      </c>
      <c r="C132" s="1443" t="inlineStr">
        <is>
          <t>Permits &amp; Inspections Portal</t>
        </is>
      </c>
      <c r="D132" s="1443" t="inlineStr">
        <is>
          <t>https://permits.thorntonco.gov/</t>
        </is>
      </c>
      <c r="E132" s="1443" t="inlineStr">
        <is>
          <t>Online permit applications and tracking</t>
        </is>
      </c>
      <c r="F132" s="1443" t="n"/>
      <c r="G132" s="1443" t="n"/>
    </row>
    <row r="133">
      <c r="A133" s="1443" t="inlineStr">
        <is>
          <t>Thornton</t>
        </is>
      </c>
      <c r="B133" s="1443" t="inlineStr">
        <is>
          <t>Code Enforcement</t>
        </is>
      </c>
      <c r="C133" s="1443" t="inlineStr">
        <is>
          <t>Code Compliance</t>
        </is>
      </c>
      <c r="D133" s="1443" t="inlineStr">
        <is>
          <t>https://www.thorntonco.gov/city-services/code-compliance</t>
        </is>
      </c>
      <c r="E133" s="1443" t="inlineStr">
        <is>
          <t>Code compliance department</t>
        </is>
      </c>
      <c r="F133" s="1443" t="n"/>
      <c r="G133" s="1443" t="n"/>
    </row>
    <row r="134">
      <c r="A134" s="1443" t="inlineStr">
        <is>
          <t>Thornton</t>
        </is>
      </c>
      <c r="B134" s="1443" t="inlineStr">
        <is>
          <t>Zoning / Planning</t>
        </is>
      </c>
      <c r="C134" s="1443" t="inlineStr">
        <is>
          <t>Current Planning &amp; Zoning</t>
        </is>
      </c>
      <c r="D134" s="1443" t="inlineStr">
        <is>
          <t>https://www.thorntonco.gov/business-development/city-development/current-planning-zoning</t>
        </is>
      </c>
      <c r="E134" s="1443" t="inlineStr">
        <is>
          <t>Zoning department main page</t>
        </is>
      </c>
      <c r="F134" s="1443" t="n"/>
      <c r="G134" s="1443" t="n"/>
    </row>
    <row r="135">
      <c r="A135" s="1443" t="inlineStr">
        <is>
          <t>Thornton</t>
        </is>
      </c>
      <c r="B135" s="1443" t="inlineStr">
        <is>
          <t>Zoning / Planning</t>
        </is>
      </c>
      <c r="C135" s="1443" t="inlineStr">
        <is>
          <t>Zoning Districts Uses and Regulations</t>
        </is>
      </c>
      <c r="D135" s="1443" t="inlineStr">
        <is>
          <t>https://www.thorntonco.gov/business-development/city-development/current-planning-zoning/zoning-districts-uses-and-regulations</t>
        </is>
      </c>
      <c r="E135" s="1443" t="inlineStr">
        <is>
          <t>Detailed zoning district regulations</t>
        </is>
      </c>
      <c r="F135" s="1443" t="n"/>
      <c r="G135" s="1443" t="n"/>
    </row>
    <row r="136">
      <c r="A136" s="1443" t="inlineStr">
        <is>
          <t>Thornton</t>
        </is>
      </c>
      <c r="B136" s="1443" t="inlineStr">
        <is>
          <t>Zoning / Planning</t>
        </is>
      </c>
      <c r="C136" s="1443" t="inlineStr">
        <is>
          <t>Active Development</t>
        </is>
      </c>
      <c r="D136" s="1443" t="inlineStr">
        <is>
          <t>https://www.thorntonco.gov/business-development/active-development</t>
        </is>
      </c>
      <c r="E136" s="1443" t="inlineStr">
        <is>
          <t>Active and pending development projects</t>
        </is>
      </c>
      <c r="F136" s="1443" t="n"/>
      <c r="G136" s="1443" t="n"/>
    </row>
    <row r="137">
      <c r="A137" s="1443" t="inlineStr">
        <is>
          <t>Thornton</t>
        </is>
      </c>
      <c r="B137" s="1443" t="inlineStr">
        <is>
          <t>Zoning / Planning</t>
        </is>
      </c>
      <c r="C137" s="1443" t="inlineStr">
        <is>
          <t>Long Range Planning</t>
        </is>
      </c>
      <c r="D137" s="1443" t="inlineStr">
        <is>
          <t>https://www.thorntonco.gov/business-development/city-development/long-range-planning</t>
        </is>
      </c>
      <c r="E137" s="1443" t="inlineStr">
        <is>
          <t>Long range planning division</t>
        </is>
      </c>
      <c r="F137" s="1443" t="n"/>
      <c r="G137" s="1443" t="n"/>
    </row>
    <row r="138">
      <c r="A138" s="1443" t="inlineStr">
        <is>
          <t>Thornton</t>
        </is>
      </c>
      <c r="B138" s="1443" t="inlineStr">
        <is>
          <t>Zoning / Planning</t>
        </is>
      </c>
      <c r="C138" s="1443" t="inlineStr">
        <is>
          <t>Comprehensive Plan</t>
        </is>
      </c>
      <c r="D138" s="1443" t="inlineStr">
        <is>
          <t>https://www.thorntonco.gov/business-development/city-development/long-range-planning/plans/thornton-comprehensive-plan</t>
        </is>
      </c>
      <c r="E138" s="1443" t="inlineStr">
        <is>
          <t>City comprehensive plan</t>
        </is>
      </c>
      <c r="F138" s="1443" t="n"/>
      <c r="G138" s="1443" t="n"/>
    </row>
    <row r="139">
      <c r="A139" s="1443" t="inlineStr">
        <is>
          <t>Thornton</t>
        </is>
      </c>
      <c r="B139" s="1443" t="inlineStr">
        <is>
          <t>Zoning / Planning</t>
        </is>
      </c>
      <c r="C139" s="1443" t="inlineStr">
        <is>
          <t>Functional Strategic &amp; Master Plans</t>
        </is>
      </c>
      <c r="D139" s="1443" t="inlineStr">
        <is>
          <t>https://www.thorntonco.gov/business-development/city-development/long-range-planning/plans/functional-strategic-master-plans</t>
        </is>
      </c>
      <c r="E139" s="1443" t="inlineStr">
        <is>
          <t>All city master plans</t>
        </is>
      </c>
      <c r="F139" s="1443" t="n"/>
      <c r="G139" s="1443" t="n"/>
    </row>
    <row r="140">
      <c r="A140" s="1443" t="inlineStr">
        <is>
          <t>Thornton</t>
        </is>
      </c>
      <c r="B140" s="1443" t="inlineStr">
        <is>
          <t>Flood Zone</t>
        </is>
      </c>
      <c r="C140" s="1443" t="inlineStr">
        <is>
          <t>FEMA Map Service Center</t>
        </is>
      </c>
      <c r="D140" s="1443" t="inlineStr">
        <is>
          <t>https://msc.fema.gov/</t>
        </is>
      </c>
      <c r="E140" s="1443" t="inlineStr">
        <is>
          <t>Address-specific FEMA FIRM lookup</t>
        </is>
      </c>
      <c r="F140" s="1443" t="n"/>
      <c r="G140" s="1443" t="n"/>
    </row>
    <row r="141">
      <c r="A141" s="1443" t="inlineStr">
        <is>
          <t>Thornton</t>
        </is>
      </c>
      <c r="B141" s="1443" t="inlineStr">
        <is>
          <t>Flood Zone</t>
        </is>
      </c>
      <c r="C141" s="1443" t="inlineStr">
        <is>
          <t>Adams County Floodplain Management</t>
        </is>
      </c>
      <c r="D141" s="1443" t="inlineStr">
        <is>
          <t>https://adamscountyco.gov/our-county/community-economic-development/floodplain-management/</t>
        </is>
      </c>
      <c r="E141" s="1443" t="inlineStr">
        <is>
          <t>County floodplain resources</t>
        </is>
      </c>
      <c r="F141" s="1443" t="n"/>
      <c r="G141" s="1443" t="n"/>
    </row>
    <row r="142">
      <c r="A142" s="1443" t="inlineStr">
        <is>
          <t>Thornton</t>
        </is>
      </c>
      <c r="B142" s="1443" t="inlineStr">
        <is>
          <t>Economic Development</t>
        </is>
      </c>
      <c r="C142" s="1443" t="inlineStr">
        <is>
          <t>City Development</t>
        </is>
      </c>
      <c r="D142" s="1443" t="inlineStr">
        <is>
          <t>https://www.thorntonco.gov/business-development/city-development</t>
        </is>
      </c>
      <c r="E142" s="1443" t="inlineStr">
        <is>
          <t>Business and development services</t>
        </is>
      </c>
      <c r="F142" s="1443" t="n"/>
      <c r="G142" s="1443" t="n"/>
    </row>
    <row r="143">
      <c r="A143" s="1443" t="inlineStr">
        <is>
          <t>Thornton</t>
        </is>
      </c>
      <c r="B143" s="1443" t="inlineStr">
        <is>
          <t>Business License</t>
        </is>
      </c>
      <c r="C143" s="1443" t="inlineStr">
        <is>
          <t>Business Licenses</t>
        </is>
      </c>
      <c r="D143" s="1443" t="inlineStr">
        <is>
          <t>https://www.thorntonco.gov/business-development/business-licenses</t>
        </is>
      </c>
      <c r="E143" s="1443" t="inlineStr">
        <is>
          <t>Business license portal</t>
        </is>
      </c>
      <c r="F143" s="1443" t="n"/>
      <c r="G143" s="1443" t="n"/>
    </row>
    <row r="144">
      <c r="A144" s="1443" t="inlineStr">
        <is>
          <t>Thornton</t>
        </is>
      </c>
      <c r="B144" s="1443" t="inlineStr">
        <is>
          <t>Short-Term Rental</t>
        </is>
      </c>
      <c r="C144" s="1443" t="inlineStr">
        <is>
          <t>STR Ordinance</t>
        </is>
      </c>
      <c r="D144" s="1443" t="inlineStr">
        <is>
          <t>https://www.thorntonco.gov/media/file/short-term-rental-ordinance</t>
        </is>
      </c>
      <c r="E144" s="1443" t="inlineStr">
        <is>
          <t>$180 annual fee; primary residence only</t>
        </is>
      </c>
      <c r="F144" s="1443" t="n"/>
      <c r="G144" s="1443" t="n"/>
    </row>
    <row r="145">
      <c r="A145" s="1443" t="inlineStr">
        <is>
          <t>Thornton</t>
        </is>
      </c>
      <c r="B145" s="1443" t="inlineStr">
        <is>
          <t>Crime / Safety</t>
        </is>
      </c>
      <c r="C145" s="1443" t="inlineStr">
        <is>
          <t>Thornton PD Crime Info</t>
        </is>
      </c>
      <c r="D145" s="1443" t="inlineStr">
        <is>
          <t>https://www.thorntonpd.org/crime-info</t>
        </is>
      </c>
      <c r="E145" s="1443" t="inlineStr">
        <is>
          <t>Crime statistics and reports</t>
        </is>
      </c>
      <c r="F145" s="1443" t="n"/>
      <c r="G145" s="1443" t="n"/>
    </row>
    <row r="146">
      <c r="A146" s="1443" t="inlineStr">
        <is>
          <t>Thornton</t>
        </is>
      </c>
      <c r="B146" s="1443" t="inlineStr">
        <is>
          <t>Utilities</t>
        </is>
      </c>
      <c r="C146" s="1443" t="inlineStr">
        <is>
          <t>Water</t>
        </is>
      </c>
      <c r="D146" s="1443" t="inlineStr">
        <is>
          <t>https://www.thorntonco.gov/city-services/water</t>
        </is>
      </c>
      <c r="E146" s="1443" t="inlineStr">
        <is>
          <t>City water services</t>
        </is>
      </c>
      <c r="F146" s="1443" t="n"/>
      <c r="G146" s="1443" t="n"/>
    </row>
    <row r="147">
      <c r="A147" s="1443" t="inlineStr">
        <is>
          <t>Thornton</t>
        </is>
      </c>
      <c r="B147" s="1443" t="inlineStr">
        <is>
          <t>Utilities</t>
        </is>
      </c>
      <c r="C147" s="1443" t="inlineStr">
        <is>
          <t>Thornton Water Authority</t>
        </is>
      </c>
      <c r="D147" s="1443" t="inlineStr">
        <is>
          <t>https://www.thorntonwater.com/</t>
        </is>
      </c>
      <c r="E147" s="1443" t="inlineStr">
        <is>
          <t>Thornton water authority</t>
        </is>
      </c>
      <c r="F147" s="1443" t="n"/>
      <c r="G147" s="1443" t="n"/>
    </row>
    <row r="148">
      <c r="A148" s="1443" t="inlineStr">
        <is>
          <t>Thornton</t>
        </is>
      </c>
      <c r="B148" s="1443" t="inlineStr">
        <is>
          <t>Utilities</t>
        </is>
      </c>
      <c r="C148" s="1443" t="inlineStr">
        <is>
          <t>Utility Billing</t>
        </is>
      </c>
      <c r="D148" s="1443" t="inlineStr">
        <is>
          <t>https://www.thorntonco.gov/city-services/utility-billing</t>
        </is>
      </c>
      <c r="E148" s="1443" t="inlineStr">
        <is>
          <t>Utility billing portal</t>
        </is>
      </c>
      <c r="F148" s="1443" t="n"/>
      <c r="G148" s="1443" t="n"/>
    </row>
    <row r="149">
      <c r="A149" s="1443" t="inlineStr">
        <is>
          <t>Thornton</t>
        </is>
      </c>
      <c r="B149" s="1443" t="inlineStr">
        <is>
          <t>Utilities</t>
        </is>
      </c>
      <c r="C149" s="1443" t="inlineStr">
        <is>
          <t>Electric &amp; Gas Utility Services</t>
        </is>
      </c>
      <c r="D149" s="1443" t="inlineStr">
        <is>
          <t>https://www.thorntonco.gov/electric-gas-utility-services</t>
        </is>
      </c>
      <c r="E149" s="1443" t="inlineStr">
        <is>
          <t>Xcel Energy or United Power depending on location</t>
        </is>
      </c>
      <c r="F149" s="1443" t="n"/>
      <c r="G149" s="1443" t="n"/>
    </row>
    <row r="150">
      <c r="A150" s="1443" t="inlineStr">
        <is>
          <t>Thornton</t>
        </is>
      </c>
      <c r="B150" s="1443" t="inlineStr">
        <is>
          <t>Utilities</t>
        </is>
      </c>
      <c r="C150" s="1443" t="inlineStr">
        <is>
          <t>United Power</t>
        </is>
      </c>
      <c r="D150" s="1443" t="inlineStr">
        <is>
          <t>https://www.unitedpower.com/</t>
        </is>
      </c>
      <c r="E150" s="1443" t="inlineStr">
        <is>
          <t>Electric co-op serving parts of Thornton</t>
        </is>
      </c>
      <c r="F150" s="1443" t="n"/>
      <c r="G150" s="1443" t="n"/>
    </row>
    <row r="151">
      <c r="A151" s="1443" t="inlineStr">
        <is>
          <t>Thornton</t>
        </is>
      </c>
      <c r="B151" s="1443" t="inlineStr">
        <is>
          <t>Utilities</t>
        </is>
      </c>
      <c r="C151" s="1443" t="inlineStr">
        <is>
          <t>Xcel Energy</t>
        </is>
      </c>
      <c r="D151" s="1443" t="inlineStr">
        <is>
          <t>https://www.xcelenergy.com/</t>
        </is>
      </c>
      <c r="E151" s="1443" t="inlineStr">
        <is>
          <t>Electric/gas provider for parts of Thornton</t>
        </is>
      </c>
      <c r="F151" s="1443" t="n"/>
      <c r="G151" s="1443" t="n"/>
    </row>
    <row r="152">
      <c r="A152" s="1443" t="inlineStr">
        <is>
          <t>Thornton</t>
        </is>
      </c>
      <c r="B152" s="1443" t="inlineStr">
        <is>
          <t>School Districts</t>
        </is>
      </c>
      <c r="C152" s="1443" t="inlineStr">
        <is>
          <t>Adams 12 Five Star Schools</t>
        </is>
      </c>
      <c r="D152" s="1443" t="inlineStr">
        <is>
          <t>https://www.adams12.org/</t>
        </is>
      </c>
      <c r="E152" s="1443" t="inlineStr">
        <is>
          <t>Primary school district for Thornton</t>
        </is>
      </c>
      <c r="F152" s="1443" t="n"/>
      <c r="G152" s="1443" t="n"/>
    </row>
    <row r="153">
      <c r="A153" s="1443" t="inlineStr">
        <is>
          <t>Thornton</t>
        </is>
      </c>
      <c r="B153" s="1443" t="inlineStr">
        <is>
          <t>School Districts</t>
        </is>
      </c>
      <c r="C153" s="1443" t="inlineStr">
        <is>
          <t>School District 27J</t>
        </is>
      </c>
      <c r="D153" s="1443" t="inlineStr">
        <is>
          <t>https://www.sd27j.org/</t>
        </is>
      </c>
      <c r="E153" s="1443" t="inlineStr">
        <is>
          <t>Serves northeast Thornton</t>
        </is>
      </c>
      <c r="F153" s="1443" t="n"/>
      <c r="G153" s="1443" t="n"/>
    </row>
    <row r="154">
      <c r="A154" s="1444" t="inlineStr">
        <is>
          <t>Westminster</t>
        </is>
      </c>
      <c r="B154" s="1444" t="inlineStr">
        <is>
          <t>Property Assessment</t>
        </is>
      </c>
      <c r="C154" s="1444" t="inlineStr">
        <is>
          <t>Westminster eTRAKiT Parcel Search</t>
        </is>
      </c>
      <c r="D154" s="1444" t="inlineStr">
        <is>
          <t>https://develop.cityofwestminster.us/ETRAKIT/Search/parcel.aspx</t>
        </is>
      </c>
      <c r="E154" s="1444" t="inlineStr">
        <is>
          <t>City parcel/permit search</t>
        </is>
      </c>
      <c r="F154" s="1444" t="n"/>
      <c r="G154" s="1444" t="n"/>
    </row>
    <row r="155">
      <c r="A155" s="1444" t="inlineStr">
        <is>
          <t>Westminster</t>
        </is>
      </c>
      <c r="B155" s="1444" t="inlineStr">
        <is>
          <t>Property Assessment</t>
        </is>
      </c>
      <c r="C155" s="1444" t="inlineStr">
        <is>
          <t>Adams County Assessor (Adams Co. portion)</t>
        </is>
      </c>
      <c r="D155" s="1444" t="inlineStr">
        <is>
          <t>https://adcogov.org/property-look</t>
        </is>
      </c>
      <c r="E155" s="1444" t="inlineStr">
        <is>
          <t>For parcels in eastern Westminster (Adams County)</t>
        </is>
      </c>
      <c r="F155" s="1444" t="n"/>
      <c r="G155" s="1444" t="n"/>
    </row>
    <row r="156">
      <c r="A156" s="1444" t="inlineStr">
        <is>
          <t>Westminster</t>
        </is>
      </c>
      <c r="B156" s="1444" t="inlineStr">
        <is>
          <t>Property Assessment</t>
        </is>
      </c>
      <c r="C156" s="1444" t="inlineStr">
        <is>
          <t>Jefferson County Assessor (Jefferson Co. portion)</t>
        </is>
      </c>
      <c r="D156" s="1444" t="inlineStr">
        <is>
          <t>https://propertysearch.jeffco.us/</t>
        </is>
      </c>
      <c r="E156" s="1444" t="inlineStr">
        <is>
          <t>For parcels in western Westminster (Jefferson County)</t>
        </is>
      </c>
      <c r="F156" s="1444" t="n"/>
      <c r="G156" s="1444" t="n"/>
    </row>
    <row r="157">
      <c r="A157" s="1444" t="inlineStr">
        <is>
          <t>Westminster</t>
        </is>
      </c>
      <c r="B157" s="1444" t="inlineStr">
        <is>
          <t>Property Tax / Treasurer</t>
        </is>
      </c>
      <c r="C157" s="1444" t="inlineStr">
        <is>
          <t>Adams County Tax Payment (Adams Co. portion)</t>
        </is>
      </c>
      <c r="D157" s="1444" t="inlineStr">
        <is>
          <t>https://adcotax.com/treasurer/web/login.jsp</t>
        </is>
      </c>
      <c r="E157" s="1444" t="inlineStr">
        <is>
          <t>For Adams County parcels</t>
        </is>
      </c>
      <c r="F157" s="1444" t="n"/>
      <c r="G157" s="1444" t="n"/>
    </row>
    <row r="158">
      <c r="A158" s="1444" t="inlineStr">
        <is>
          <t>Westminster</t>
        </is>
      </c>
      <c r="B158" s="1444" t="inlineStr">
        <is>
          <t>Property Tax / Treasurer</t>
        </is>
      </c>
      <c r="C158" s="1444" t="inlineStr">
        <is>
          <t>Jefferson County Treasurer (Jefferson Co. portion)</t>
        </is>
      </c>
      <c r="D158" s="1444" t="inlineStr">
        <is>
          <t>https://jeffco.us/1293/Treasurer</t>
        </is>
      </c>
      <c r="E158" s="1444" t="inlineStr">
        <is>
          <t>For Jefferson County parcels</t>
        </is>
      </c>
      <c r="F158" s="1444" t="n"/>
      <c r="G158" s="1444" t="n"/>
    </row>
    <row r="159">
      <c r="A159" s="1444" t="inlineStr">
        <is>
          <t>Westminster</t>
        </is>
      </c>
      <c r="B159" s="1444" t="inlineStr">
        <is>
          <t>Deed / Title Records</t>
        </is>
      </c>
      <c r="C159" s="1444" t="inlineStr">
        <is>
          <t>Adams Co. Landmark Web Document Search</t>
        </is>
      </c>
      <c r="D159" s="1444" t="inlineStr">
        <is>
          <t>https://recording.adcogov.org/landmarkweb</t>
        </is>
      </c>
      <c r="E159" s="1444" t="inlineStr">
        <is>
          <t>For Adams County parcels</t>
        </is>
      </c>
      <c r="F159" s="1444" t="n"/>
      <c r="G159" s="1444" t="n"/>
    </row>
    <row r="160">
      <c r="A160" s="1444" t="inlineStr">
        <is>
          <t>Westminster</t>
        </is>
      </c>
      <c r="B160" s="1444" t="inlineStr">
        <is>
          <t>Deed / Title Records</t>
        </is>
      </c>
      <c r="C160" s="1444" t="inlineStr">
        <is>
          <t>Jefferson County Clerk &amp; Recorder</t>
        </is>
      </c>
      <c r="D160" s="1444" t="inlineStr">
        <is>
          <t>https://www.jeffco.us/1288/Clerk-Recorder</t>
        </is>
      </c>
      <c r="E160" s="1444" t="inlineStr">
        <is>
          <t>For Jefferson County parcels</t>
        </is>
      </c>
      <c r="F160" s="1444" t="n"/>
      <c r="G160" s="1444" t="n"/>
    </row>
    <row r="161">
      <c r="A161" s="1444" t="inlineStr">
        <is>
          <t>Westminster</t>
        </is>
      </c>
      <c r="B161" s="1444" t="inlineStr">
        <is>
          <t>GIS / Mapping</t>
        </is>
      </c>
      <c r="C161" s="1444" t="inlineStr">
        <is>
          <t>Westminster Open Data Hub (ArcGIS)</t>
        </is>
      </c>
      <c r="D161" s="1444" t="inlineStr">
        <is>
          <t>https://opendata-westminster.hub.arcgis.com/</t>
        </is>
      </c>
      <c r="E161" s="1444" t="inlineStr">
        <is>
          <t>Downloadable GIS datasets</t>
        </is>
      </c>
      <c r="F161" s="1444" t="n"/>
      <c r="G161" s="1444" t="n"/>
    </row>
    <row r="162">
      <c r="A162" s="1444" t="inlineStr">
        <is>
          <t>Westminster</t>
        </is>
      </c>
      <c r="B162" s="1444" t="inlineStr">
        <is>
          <t>GIS / Mapping</t>
        </is>
      </c>
      <c r="C162" s="1444" t="inlineStr">
        <is>
          <t>Westminster Zoning Map (ArcGIS)</t>
        </is>
      </c>
      <c r="D162" s="1444" t="inlineStr">
        <is>
          <t>https://maps.cityofwestminster.us/portal/apps/webappviewer/index.html?id=840164f9c48d49109f884695afe3f714</t>
        </is>
      </c>
      <c r="E162" s="1444" t="inlineStr">
        <is>
          <t>Official interactive zoning map</t>
        </is>
      </c>
      <c r="F162" s="1444" t="n"/>
      <c r="G162" s="1444" t="n"/>
    </row>
    <row r="163">
      <c r="A163" s="1444" t="inlineStr">
        <is>
          <t>Westminster</t>
        </is>
      </c>
      <c r="B163" s="1444" t="inlineStr">
        <is>
          <t>GIS / Mapping</t>
        </is>
      </c>
      <c r="C163" s="1444" t="inlineStr">
        <is>
          <t>Maps Page</t>
        </is>
      </c>
      <c r="D163" s="1444" t="inlineStr">
        <is>
          <t>https://www.westminsterco.gov/471/Maps</t>
        </is>
      </c>
      <c r="E163" s="1444" t="inlineStr">
        <is>
          <t>City maps</t>
        </is>
      </c>
      <c r="F163" s="1444" t="n"/>
      <c r="G163" s="1444" t="n"/>
    </row>
    <row r="164">
      <c r="A164" s="1444" t="inlineStr">
        <is>
          <t>Westminster</t>
        </is>
      </c>
      <c r="B164" s="1444" t="inlineStr">
        <is>
          <t>Permits</t>
        </is>
      </c>
      <c r="C164" s="1444" t="inlineStr">
        <is>
          <t>eTRAKiT Portal</t>
        </is>
      </c>
      <c r="D164" s="1444" t="inlineStr">
        <is>
          <t>https://develop.cityofwestminster.us/etrakit/</t>
        </is>
      </c>
      <c r="E164" s="1444" t="inlineStr">
        <is>
          <t>Online permit search and applications</t>
        </is>
      </c>
      <c r="F164" s="1444" t="n"/>
      <c r="G164" s="1444" t="n"/>
    </row>
    <row r="165">
      <c r="A165" s="1444" t="inlineStr">
        <is>
          <t>Westminster</t>
        </is>
      </c>
      <c r="B165" s="1444" t="inlineStr">
        <is>
          <t>Permits</t>
        </is>
      </c>
      <c r="C165" s="1444" t="inlineStr">
        <is>
          <t>Permit Search</t>
        </is>
      </c>
      <c r="D165" s="1444" t="inlineStr">
        <is>
          <t>https://develop.cityofwestminster.us/etrakit/Search/permit.aspx</t>
        </is>
      </c>
      <c r="E165" s="1444" t="inlineStr">
        <is>
          <t>Direct permit lookup</t>
        </is>
      </c>
      <c r="F165" s="1444" t="n"/>
      <c r="G165" s="1444" t="n"/>
    </row>
    <row r="166">
      <c r="A166" s="1444" t="inlineStr">
        <is>
          <t>Westminster</t>
        </is>
      </c>
      <c r="B166" s="1444" t="inlineStr">
        <is>
          <t>Permits</t>
        </is>
      </c>
      <c r="C166" s="1444" t="inlineStr">
        <is>
          <t>Apply for a Permit</t>
        </is>
      </c>
      <c r="D166" s="1444" t="inlineStr">
        <is>
          <t>https://www.westminsterco.gov/617/Apply-for-a-Permit-Project</t>
        </is>
      </c>
      <c r="E166" s="1444" t="inlineStr">
        <is>
          <t>Permit application guide</t>
        </is>
      </c>
      <c r="F166" s="1444" t="n"/>
      <c r="G166" s="1444" t="n"/>
    </row>
    <row r="167">
      <c r="A167" s="1444" t="inlineStr">
        <is>
          <t>Westminster</t>
        </is>
      </c>
      <c r="B167" s="1444" t="inlineStr">
        <is>
          <t>Permits</t>
        </is>
      </c>
      <c r="C167" s="1444" t="inlineStr">
        <is>
          <t>Building Division</t>
        </is>
      </c>
      <c r="D167" s="1444" t="inlineStr">
        <is>
          <t>https://www.westminsterco.gov/621/Building-Division</t>
        </is>
      </c>
      <c r="E167" s="1444" t="inlineStr">
        <is>
          <t>Building department</t>
        </is>
      </c>
      <c r="F167" s="1444" t="n"/>
      <c r="G167" s="1444" t="n"/>
    </row>
    <row r="168">
      <c r="A168" s="1444" t="inlineStr">
        <is>
          <t>Westminster</t>
        </is>
      </c>
      <c r="B168" s="1444" t="inlineStr">
        <is>
          <t>Permits</t>
        </is>
      </c>
      <c r="C168" s="1444" t="inlineStr">
        <is>
          <t>Right-of-Way Permits</t>
        </is>
      </c>
      <c r="D168" s="1444" t="inlineStr">
        <is>
          <t>https://www.westminsterco.gov/746/Right-of-Way-Permits</t>
        </is>
      </c>
      <c r="E168" s="1444" t="inlineStr">
        <is>
          <t>ROW encroachment permits</t>
        </is>
      </c>
      <c r="F168" s="1444" t="n"/>
      <c r="G168" s="1444" t="n"/>
    </row>
    <row r="169">
      <c r="A169" s="1444" t="inlineStr">
        <is>
          <t>Westminster</t>
        </is>
      </c>
      <c r="B169" s="1444" t="inlineStr">
        <is>
          <t>Zoning / Planning</t>
        </is>
      </c>
      <c r="C169" s="1444" t="inlineStr">
        <is>
          <t>Planning Main Page</t>
        </is>
      </c>
      <c r="D169" s="1444" t="inlineStr">
        <is>
          <t>https://www.westminsterco.gov/707/Planning</t>
        </is>
      </c>
      <c r="E169" s="1444" t="inlineStr">
        <is>
          <t>Planning department</t>
        </is>
      </c>
      <c r="F169" s="1444" t="n"/>
      <c r="G169" s="1444" t="n"/>
    </row>
    <row r="170">
      <c r="A170" s="1444" t="inlineStr">
        <is>
          <t>Westminster</t>
        </is>
      </c>
      <c r="B170" s="1444" t="inlineStr">
        <is>
          <t>Zoning / Planning</t>
        </is>
      </c>
      <c r="C170" s="1444" t="inlineStr">
        <is>
          <t>Develop in Westminster</t>
        </is>
      </c>
      <c r="D170" s="1444" t="inlineStr">
        <is>
          <t>https://www.westminsterco.gov/703/Develop-in-Westminster</t>
        </is>
      </c>
      <c r="E170" s="1444" t="inlineStr">
        <is>
          <t>Development guide</t>
        </is>
      </c>
      <c r="F170" s="1444" t="n"/>
      <c r="G170" s="1444" t="n"/>
    </row>
    <row r="171">
      <c r="A171" s="1444" t="inlineStr">
        <is>
          <t>Westminster</t>
        </is>
      </c>
      <c r="B171" s="1444" t="inlineStr">
        <is>
          <t>Zoning / Planning</t>
        </is>
      </c>
      <c r="C171" s="1444" t="inlineStr">
        <is>
          <t>Comprehensive Plan Executive Summary</t>
        </is>
      </c>
      <c r="D171" s="1444" t="inlineStr">
        <is>
          <t>https://www.westminsterco.gov/DocumentCenter/View/1467/Executive-Summary-PDF</t>
        </is>
      </c>
      <c r="E171" s="1444" t="inlineStr">
        <is>
          <t>City comprehensive plan summary</t>
        </is>
      </c>
      <c r="F171" s="1444" t="n"/>
      <c r="G171" s="1444" t="n"/>
    </row>
    <row r="172">
      <c r="A172" s="1444" t="inlineStr">
        <is>
          <t>Westminster</t>
        </is>
      </c>
      <c r="B172" s="1444" t="inlineStr">
        <is>
          <t>Flood Zone</t>
        </is>
      </c>
      <c r="C172" s="1444" t="inlineStr">
        <is>
          <t>FEMA Map Service Center</t>
        </is>
      </c>
      <c r="D172" s="1444" t="inlineStr">
        <is>
          <t>https://msc.fema.gov/</t>
        </is>
      </c>
      <c r="E172" s="1444" t="inlineStr">
        <is>
          <t>Address-specific FEMA FIRM lookup</t>
        </is>
      </c>
      <c r="F172" s="1444" t="n"/>
      <c r="G172" s="1444" t="n"/>
    </row>
    <row r="173">
      <c r="A173" s="1444" t="inlineStr">
        <is>
          <t>Westminster</t>
        </is>
      </c>
      <c r="B173" s="1444" t="inlineStr">
        <is>
          <t>Flood Zone</t>
        </is>
      </c>
      <c r="C173" s="1444" t="inlineStr">
        <is>
          <t>Adams County Floodplain (eastern Westminster)</t>
        </is>
      </c>
      <c r="D173" s="1444" t="inlineStr">
        <is>
          <t>https://adamscountyco.gov/our-county/community-economic-development/floodplain-management/</t>
        </is>
      </c>
      <c r="E173" s="1444" t="inlineStr">
        <is>
          <t>For Adams County portion</t>
        </is>
      </c>
      <c r="F173" s="1444" t="n"/>
      <c r="G173" s="1444" t="n"/>
    </row>
    <row r="174">
      <c r="A174" s="1444" t="inlineStr">
        <is>
          <t>Westminster</t>
        </is>
      </c>
      <c r="B174" s="1444" t="inlineStr">
        <is>
          <t>Economic Development</t>
        </is>
      </c>
      <c r="C174" s="1444" t="inlineStr">
        <is>
          <t>Westminster Economic Development</t>
        </is>
      </c>
      <c r="D174" s="1444" t="inlineStr">
        <is>
          <t>https://www.westminstereconomicdevelopment.org/</t>
        </is>
      </c>
      <c r="E174" s="1444" t="inlineStr">
        <is>
          <t>Economic development office</t>
        </is>
      </c>
      <c r="F174" s="1444" t="n"/>
      <c r="G174" s="1444" t="n"/>
    </row>
    <row r="175">
      <c r="A175" s="1444" t="inlineStr">
        <is>
          <t>Westminster</t>
        </is>
      </c>
      <c r="B175" s="1444" t="inlineStr">
        <is>
          <t>Economic Development</t>
        </is>
      </c>
      <c r="C175" s="1444" t="inlineStr">
        <is>
          <t>Proposed Developments Map</t>
        </is>
      </c>
      <c r="D175" s="1444" t="inlineStr">
        <is>
          <t>https://www.westminstereconomicdevelopment.org/area-maps/</t>
        </is>
      </c>
      <c r="E175" s="1444" t="inlineStr">
        <is>
          <t>Development pipeline and comp plan maps</t>
        </is>
      </c>
      <c r="F175" s="1444" t="n"/>
      <c r="G175" s="1444" t="n"/>
    </row>
    <row r="176">
      <c r="A176" s="1444" t="inlineStr">
        <is>
          <t>Westminster</t>
        </is>
      </c>
      <c r="B176" s="1444" t="inlineStr">
        <is>
          <t>Economic Development</t>
        </is>
      </c>
      <c r="C176" s="1444" t="inlineStr">
        <is>
          <t>Utilities &amp; Tax Info</t>
        </is>
      </c>
      <c r="D176" s="1444" t="inlineStr">
        <is>
          <t>https://www.westminstereconomicdevelopment.org/about-westminster/water-utilities-taxes/</t>
        </is>
      </c>
      <c r="E176" s="1444" t="inlineStr">
        <is>
          <t>Utility providers and tax information</t>
        </is>
      </c>
      <c r="F176" s="1444" t="n"/>
      <c r="G176" s="1444" t="n"/>
    </row>
    <row r="177">
      <c r="A177" s="1444" t="inlineStr">
        <is>
          <t>Westminster</t>
        </is>
      </c>
      <c r="B177" s="1444" t="inlineStr">
        <is>
          <t>Short-Term Rental</t>
        </is>
      </c>
      <c r="C177" s="1444" t="inlineStr">
        <is>
          <t>Short-Term Rentals</t>
        </is>
      </c>
      <c r="D177" s="1444" t="inlineStr">
        <is>
          <t>https://www.westminsterco.gov/Short-TermRentals</t>
        </is>
      </c>
      <c r="E177" s="1444" t="inlineStr">
        <is>
          <t>STR regulations and licensing</t>
        </is>
      </c>
      <c r="F177" s="1444" t="n"/>
      <c r="G177" s="1444" t="n"/>
    </row>
    <row r="178">
      <c r="A178" s="1444" t="inlineStr">
        <is>
          <t>Westminster</t>
        </is>
      </c>
      <c r="B178" s="1444" t="inlineStr">
        <is>
          <t>Crime / Safety</t>
        </is>
      </c>
      <c r="C178" s="1444" t="inlineStr">
        <is>
          <t>CrimeMapping.com (Westminster PD)</t>
        </is>
      </c>
      <c r="D178" s="1444" t="inlineStr">
        <is>
          <t>https://www.crimemapping.com/map/co/westminster</t>
        </is>
      </c>
      <c r="E178" s="1444" t="inlineStr">
        <is>
          <t>Interactive crime map</t>
        </is>
      </c>
      <c r="F178" s="1444" t="n"/>
      <c r="G178" s="1444" t="n"/>
    </row>
    <row r="179">
      <c r="A179" s="1444" t="inlineStr">
        <is>
          <t>Westminster</t>
        </is>
      </c>
      <c r="B179" s="1444" t="inlineStr">
        <is>
          <t>Crime / Safety</t>
        </is>
      </c>
      <c r="C179" s="1444" t="inlineStr">
        <is>
          <t>Westminster PD News / Crime Mapping</t>
        </is>
      </c>
      <c r="D179" s="1444" t="inlineStr">
        <is>
          <t>https://www.westminsterpdnews.com/crime-mapping</t>
        </is>
      </c>
      <c r="E179" s="1444" t="inlineStr">
        <is>
          <t>PD crime map</t>
        </is>
      </c>
      <c r="F179" s="1444" t="n"/>
      <c r="G179" s="1444" t="n"/>
    </row>
    <row r="180">
      <c r="A180" s="1444" t="inlineStr">
        <is>
          <t>Westminster</t>
        </is>
      </c>
      <c r="B180" s="1444" t="inlineStr">
        <is>
          <t>Utilities</t>
        </is>
      </c>
      <c r="C180" s="1444" t="inlineStr">
        <is>
          <t>Public Works &amp; Utilities (Water)</t>
        </is>
      </c>
      <c r="D180" s="1444" t="inlineStr">
        <is>
          <t>https://www.westminsterco.gov/water</t>
        </is>
      </c>
      <c r="E180" s="1444" t="inlineStr">
        <is>
          <t>City water utility</t>
        </is>
      </c>
      <c r="F180" s="1444" t="n"/>
      <c r="G180" s="1444" t="n"/>
    </row>
    <row r="181">
      <c r="A181" s="1444" t="inlineStr">
        <is>
          <t>Westminster</t>
        </is>
      </c>
      <c r="B181" s="1444" t="inlineStr">
        <is>
          <t>School Districts</t>
        </is>
      </c>
      <c r="C181" s="1444" t="inlineStr">
        <is>
          <t>Adams 12 Five Star Schools (east Westminster)</t>
        </is>
      </c>
      <c r="D181" s="1444" t="inlineStr">
        <is>
          <t>https://www.adams12.org/</t>
        </is>
      </c>
      <c r="E181" s="1444" t="inlineStr">
        <is>
          <t>Serves eastern Adams County portion</t>
        </is>
      </c>
      <c r="F181" s="1444" t="n"/>
      <c r="G181" s="1444" t="n"/>
    </row>
    <row r="182">
      <c r="A182" s="1444" t="inlineStr">
        <is>
          <t>Westminster</t>
        </is>
      </c>
      <c r="B182" s="1444" t="inlineStr">
        <is>
          <t>School Districts</t>
        </is>
      </c>
      <c r="C182" s="1444" t="inlineStr">
        <is>
          <t>Jefferson County Public Schools (west Westminster)</t>
        </is>
      </c>
      <c r="D182" s="1444" t="inlineStr">
        <is>
          <t>https://www.jeffcopublicschools.org/</t>
        </is>
      </c>
      <c r="E182" s="1444" t="inlineStr">
        <is>
          <t>Serves western Jefferson County portion</t>
        </is>
      </c>
      <c r="F182" s="1444" t="n"/>
      <c r="G182" s="1444" t="n"/>
    </row>
    <row r="183">
      <c r="A183" s="1445" t="inlineStr">
        <is>
          <t>Aurora</t>
        </is>
      </c>
      <c r="B183" s="1445" t="inlineStr">
        <is>
          <t>Property Assessment</t>
        </is>
      </c>
      <c r="C183" s="1445" t="inlineStr">
        <is>
          <t>Aurora Property Info Portal</t>
        </is>
      </c>
      <c r="D183" s="1445" t="inlineStr">
        <is>
          <t>https://ags.auroragov.org/propinfo/propinfo.html</t>
        </is>
      </c>
      <c r="E183" s="1445" t="inlineStr">
        <is>
          <t>City-run parcel info portal (all Aurora regardless of county)</t>
        </is>
      </c>
      <c r="F183" s="1445" t="n"/>
      <c r="G183" s="1445" t="n"/>
    </row>
    <row r="184">
      <c r="A184" s="1445" t="inlineStr">
        <is>
          <t>Aurora</t>
        </is>
      </c>
      <c r="B184" s="1445" t="inlineStr">
        <is>
          <t>Property Assessment</t>
        </is>
      </c>
      <c r="C184" s="1445" t="inlineStr">
        <is>
          <t>Aurora Property Information Page</t>
        </is>
      </c>
      <c r="D184" s="1445" t="inlineStr">
        <is>
          <t>https://www.auroragov.org/city_hall/maps/property_information</t>
        </is>
      </c>
      <c r="E184" s="1445" t="inlineStr">
        <is>
          <t>Property info map links</t>
        </is>
      </c>
      <c r="F184" s="1445" t="n"/>
      <c r="G184" s="1445" t="n"/>
    </row>
    <row r="185">
      <c r="A185" s="1445" t="inlineStr">
        <is>
          <t>Aurora</t>
        </is>
      </c>
      <c r="B185" s="1445" t="inlineStr">
        <is>
          <t>Property Assessment</t>
        </is>
      </c>
      <c r="C185" s="1445" t="inlineStr">
        <is>
          <t>Adams County Assessor (Adams Co. portion)</t>
        </is>
      </c>
      <c r="D185" s="1445" t="inlineStr">
        <is>
          <t>https://adcogov.org/property-look</t>
        </is>
      </c>
      <c r="E185" s="1445" t="inlineStr">
        <is>
          <t>For parcels in northern Aurora (Adams County)</t>
        </is>
      </c>
      <c r="F185" s="1445" t="n"/>
      <c r="G185" s="1445" t="n"/>
    </row>
    <row r="186">
      <c r="A186" s="1445" t="inlineStr">
        <is>
          <t>Aurora</t>
        </is>
      </c>
      <c r="B186" s="1445" t="inlineStr">
        <is>
          <t>Property Assessment</t>
        </is>
      </c>
      <c r="C186" s="1445" t="inlineStr">
        <is>
          <t>Arapahoe County Assessor</t>
        </is>
      </c>
      <c r="D186" s="1445" t="inlineStr">
        <is>
          <t>https://www.arapahoegov.com/assessor</t>
        </is>
      </c>
      <c r="E186" s="1445" t="inlineStr">
        <is>
          <t>For parcels in central/southern Aurora (Arapahoe County)</t>
        </is>
      </c>
      <c r="F186" s="1445" t="n"/>
      <c r="G186" s="1445" t="n"/>
    </row>
    <row r="187">
      <c r="A187" s="1445" t="inlineStr">
        <is>
          <t>Aurora</t>
        </is>
      </c>
      <c r="B187" s="1445" t="inlineStr">
        <is>
          <t>Property Assessment</t>
        </is>
      </c>
      <c r="C187" s="1445" t="inlineStr">
        <is>
          <t>Douglas County Assessor</t>
        </is>
      </c>
      <c r="D187" s="1445" t="inlineStr">
        <is>
          <t>https://www.douglas.co.us/assessor/</t>
        </is>
      </c>
      <c r="E187" s="1445" t="inlineStr">
        <is>
          <t>For parcels in southern Aurora (Douglas County)</t>
        </is>
      </c>
      <c r="F187" s="1445" t="n"/>
      <c r="G187" s="1445" t="n"/>
    </row>
    <row r="188">
      <c r="A188" s="1445" t="inlineStr">
        <is>
          <t>Aurora</t>
        </is>
      </c>
      <c r="B188" s="1445" t="inlineStr">
        <is>
          <t>Property Tax / Treasurer</t>
        </is>
      </c>
      <c r="C188" s="1445" t="inlineStr">
        <is>
          <t>Adams County Tax Payment</t>
        </is>
      </c>
      <c r="D188" s="1445" t="inlineStr">
        <is>
          <t>https://adcotax.com/treasurer/web/login.jsp</t>
        </is>
      </c>
      <c r="E188" s="1445" t="inlineStr">
        <is>
          <t>For Adams County parcels</t>
        </is>
      </c>
      <c r="F188" s="1445" t="n"/>
      <c r="G188" s="1445" t="n"/>
    </row>
    <row r="189">
      <c r="A189" s="1445" t="inlineStr">
        <is>
          <t>Aurora</t>
        </is>
      </c>
      <c r="B189" s="1445" t="inlineStr">
        <is>
          <t>Property Tax / Treasurer</t>
        </is>
      </c>
      <c r="C189" s="1445" t="inlineStr">
        <is>
          <t>Arapahoe County Treasurer</t>
        </is>
      </c>
      <c r="D189" s="1445" t="inlineStr">
        <is>
          <t>https://www.arapahoegov.com/1053/Treasurer</t>
        </is>
      </c>
      <c r="E189" s="1445" t="inlineStr">
        <is>
          <t>For Arapahoe County parcels</t>
        </is>
      </c>
      <c r="F189" s="1445" t="n"/>
      <c r="G189" s="1445" t="n"/>
    </row>
    <row r="190">
      <c r="A190" s="1445" t="inlineStr">
        <is>
          <t>Aurora</t>
        </is>
      </c>
      <c r="B190" s="1445" t="inlineStr">
        <is>
          <t>Property Tax / Treasurer</t>
        </is>
      </c>
      <c r="C190" s="1445" t="inlineStr">
        <is>
          <t>Douglas County Treasurer</t>
        </is>
      </c>
      <c r="D190" s="1445" t="inlineStr">
        <is>
          <t>https://www.douglas.co.us/treasurer/</t>
        </is>
      </c>
      <c r="E190" s="1445" t="inlineStr">
        <is>
          <t>For Douglas County parcels</t>
        </is>
      </c>
      <c r="F190" s="1445" t="n"/>
      <c r="G190" s="1445" t="n"/>
    </row>
    <row r="191">
      <c r="A191" s="1445" t="inlineStr">
        <is>
          <t>Aurora</t>
        </is>
      </c>
      <c r="B191" s="1445" t="inlineStr">
        <is>
          <t>Deed / Title Records</t>
        </is>
      </c>
      <c r="C191" s="1445" t="inlineStr">
        <is>
          <t>Adams Co. Landmark Web Document Search</t>
        </is>
      </c>
      <c r="D191" s="1445" t="inlineStr">
        <is>
          <t>https://recording.adcogov.org/landmarkweb</t>
        </is>
      </c>
      <c r="E191" s="1445" t="inlineStr">
        <is>
          <t>For Adams County parcels</t>
        </is>
      </c>
      <c r="F191" s="1445" t="n"/>
      <c r="G191" s="1445" t="n"/>
    </row>
    <row r="192">
      <c r="A192" s="1445" t="inlineStr">
        <is>
          <t>Aurora</t>
        </is>
      </c>
      <c r="B192" s="1445" t="inlineStr">
        <is>
          <t>Deed / Title Records</t>
        </is>
      </c>
      <c r="C192" s="1445" t="inlineStr">
        <is>
          <t>Arapahoe County Clerk &amp; Recorder</t>
        </is>
      </c>
      <c r="D192" s="1445" t="inlineStr">
        <is>
          <t>https://www.arapahoegov.com/1043/Clerk-Recorder</t>
        </is>
      </c>
      <c r="E192" s="1445" t="inlineStr">
        <is>
          <t>For Arapahoe County parcels</t>
        </is>
      </c>
      <c r="F192" s="1445" t="n"/>
      <c r="G192" s="1445" t="n"/>
    </row>
    <row r="193">
      <c r="A193" s="1445" t="inlineStr">
        <is>
          <t>Aurora</t>
        </is>
      </c>
      <c r="B193" s="1445" t="inlineStr">
        <is>
          <t>GIS / Mapping</t>
        </is>
      </c>
      <c r="C193" s="1445" t="inlineStr">
        <is>
          <t>Aurora Open Data (ArcGIS Hub)</t>
        </is>
      </c>
      <c r="D193" s="1445" t="inlineStr">
        <is>
          <t>https://data-auroraco.opendata.arcgis.com/</t>
        </is>
      </c>
      <c r="E193" s="1445" t="inlineStr">
        <is>
          <t>Downloadable GIS datasets</t>
        </is>
      </c>
      <c r="F193" s="1445" t="n"/>
      <c r="G193" s="1445" t="n"/>
    </row>
    <row r="194">
      <c r="A194" s="1445" t="inlineStr">
        <is>
          <t>Aurora</t>
        </is>
      </c>
      <c r="B194" s="1445" t="inlineStr">
        <is>
          <t>GIS / Mapping</t>
        </is>
      </c>
      <c r="C194" s="1445" t="inlineStr">
        <is>
          <t>Aurora Open Data Portal</t>
        </is>
      </c>
      <c r="D194" s="1445" t="inlineStr">
        <is>
          <t>https://opendata-cityofaurora.hub.arcgis.com/</t>
        </is>
      </c>
      <c r="E194" s="1445" t="inlineStr">
        <is>
          <t>Additional open data hub</t>
        </is>
      </c>
      <c r="F194" s="1445" t="n"/>
      <c r="G194" s="1445" t="n"/>
    </row>
    <row r="195">
      <c r="A195" s="1445" t="inlineStr">
        <is>
          <t>Aurora</t>
        </is>
      </c>
      <c r="B195" s="1445" t="inlineStr">
        <is>
          <t>GIS / Mapping</t>
        </is>
      </c>
      <c r="C195" s="1445" t="inlineStr">
        <is>
          <t>Maps Page</t>
        </is>
      </c>
      <c r="D195" s="1445" t="inlineStr">
        <is>
          <t>https://www.auroragov.org/city_hall/maps</t>
        </is>
      </c>
      <c r="E195" s="1445" t="inlineStr">
        <is>
          <t>All Aurora map portals</t>
        </is>
      </c>
      <c r="F195" s="1445" t="n"/>
      <c r="G195" s="1445" t="n"/>
    </row>
    <row r="196">
      <c r="A196" s="1445" t="inlineStr">
        <is>
          <t>Aurora</t>
        </is>
      </c>
      <c r="B196" s="1445" t="inlineStr">
        <is>
          <t>GIS / Mapping</t>
        </is>
      </c>
      <c r="C196" s="1445" t="inlineStr">
        <is>
          <t>Planning &amp; Zoning Maps</t>
        </is>
      </c>
      <c r="D196" s="1445" t="inlineStr">
        <is>
          <t>https://www.auroragov.org/city_hall/maps/planning_and_zoning_maps</t>
        </is>
      </c>
      <c r="E196" s="1445" t="inlineStr">
        <is>
          <t>Planning and zoning map viewer</t>
        </is>
      </c>
      <c r="F196" s="1445" t="n"/>
      <c r="G196" s="1445" t="n"/>
    </row>
    <row r="197">
      <c r="A197" s="1445" t="inlineStr">
        <is>
          <t>Aurora</t>
        </is>
      </c>
      <c r="B197" s="1445" t="inlineStr">
        <is>
          <t>GIS / Mapping</t>
        </is>
      </c>
      <c r="C197" s="1445" t="inlineStr">
        <is>
          <t>Development Maps</t>
        </is>
      </c>
      <c r="D197" s="1445" t="inlineStr">
        <is>
          <t>https://www.auroragov.org/city_hall/maps/development_maps</t>
        </is>
      </c>
      <c r="E197" s="1445" t="inlineStr">
        <is>
          <t>Active development and pipeline maps</t>
        </is>
      </c>
      <c r="F197" s="1445" t="n"/>
      <c r="G197" s="1445" t="n"/>
    </row>
    <row r="198">
      <c r="A198" s="1445" t="inlineStr">
        <is>
          <t>Aurora</t>
        </is>
      </c>
      <c r="B198" s="1445" t="inlineStr">
        <is>
          <t>Permits</t>
        </is>
      </c>
      <c r="C198" s="1445" t="inlineStr">
        <is>
          <t>Permits Main Page</t>
        </is>
      </c>
      <c r="D198" s="1445" t="inlineStr">
        <is>
          <t>https://www.auroragov.org/business_services/building_division/permits</t>
        </is>
      </c>
      <c r="E198" s="1445" t="inlineStr">
        <is>
          <t>Building permit info</t>
        </is>
      </c>
      <c r="F198" s="1445" t="n"/>
      <c r="G198" s="1445" t="n"/>
    </row>
    <row r="199">
      <c r="A199" s="1445" t="inlineStr">
        <is>
          <t>Aurora</t>
        </is>
      </c>
      <c r="B199" s="1445" t="inlineStr">
        <is>
          <t>Permits</t>
        </is>
      </c>
      <c r="C199" s="1445" t="inlineStr">
        <is>
          <t>Licensing &amp; Permits Maps</t>
        </is>
      </c>
      <c r="D199" s="1445" t="inlineStr">
        <is>
          <t>https://www.auroragov.org/city_hall/maps/licensing_and_permits_maps</t>
        </is>
      </c>
      <c r="E199" s="1445" t="inlineStr">
        <is>
          <t>Permit map viewer</t>
        </is>
      </c>
      <c r="F199" s="1445" t="n"/>
      <c r="G199" s="1445" t="n"/>
    </row>
    <row r="200">
      <c r="A200" s="1445" t="inlineStr">
        <is>
          <t>Aurora</t>
        </is>
      </c>
      <c r="B200" s="1445" t="inlineStr">
        <is>
          <t>Permits</t>
        </is>
      </c>
      <c r="C200" s="1445" t="inlineStr">
        <is>
          <t>Building Permit Statistics</t>
        </is>
      </c>
      <c r="D200" s="1445" t="inlineStr">
        <is>
          <t>https://www.auroragov.org/business_services/building_division/building_permit_statistics</t>
        </is>
      </c>
      <c r="E200" s="1445" t="inlineStr">
        <is>
          <t>Permit issuance stats and trends</t>
        </is>
      </c>
      <c r="F200" s="1445" t="n"/>
      <c r="G200" s="1445" t="n"/>
    </row>
    <row r="201">
      <c r="A201" s="1445" t="inlineStr">
        <is>
          <t>Aurora</t>
        </is>
      </c>
      <c r="B201" s="1445" t="inlineStr">
        <is>
          <t>Permits</t>
        </is>
      </c>
      <c r="C201" s="1445" t="inlineStr">
        <is>
          <t>Aurora Experience Permit Map (ArcGIS)</t>
        </is>
      </c>
      <c r="D201" s="1445" t="inlineStr">
        <is>
          <t>https://experience.arcgis.com/experience/25e68ba47119437cb4bf6bdeea6fbea4</t>
        </is>
      </c>
      <c r="E201" s="1445" t="inlineStr">
        <is>
          <t>Interactive permit activity map</t>
        </is>
      </c>
      <c r="F201" s="1445" t="n"/>
      <c r="G201" s="1445" t="n"/>
    </row>
    <row r="202">
      <c r="A202" s="1445" t="inlineStr">
        <is>
          <t>Aurora</t>
        </is>
      </c>
      <c r="B202" s="1445" t="inlineStr">
        <is>
          <t>Zoning / Planning</t>
        </is>
      </c>
      <c r="C202" s="1445" t="inlineStr">
        <is>
          <t>Zoning Navigator</t>
        </is>
      </c>
      <c r="D202" s="1445" t="inlineStr">
        <is>
          <t>https://zoning.auroragov.org/</t>
        </is>
      </c>
      <c r="E202" s="1445" t="inlineStr">
        <is>
          <t>Primary zoning lookup tool — address-based</t>
        </is>
      </c>
      <c r="F202" s="1445" t="n"/>
      <c r="G202" s="1445" t="n"/>
    </row>
    <row r="203">
      <c r="A203" s="1445" t="inlineStr">
        <is>
          <t>Aurora</t>
        </is>
      </c>
      <c r="B203" s="1445" t="inlineStr">
        <is>
          <t>Zoning / Planning</t>
        </is>
      </c>
      <c r="C203" s="1445" t="inlineStr">
        <is>
          <t>Planning &amp; Zoning Maps</t>
        </is>
      </c>
      <c r="D203" s="1445" t="inlineStr">
        <is>
          <t>https://www.auroragov.org/city_hall/maps/planning_and_zoning_maps</t>
        </is>
      </c>
      <c r="E203" s="1445" t="inlineStr">
        <is>
          <t>Planning and zoning map viewer</t>
        </is>
      </c>
      <c r="F203" s="1445" t="n"/>
      <c r="G203" s="1445" t="n"/>
    </row>
    <row r="204">
      <c r="A204" s="1445" t="inlineStr">
        <is>
          <t>Aurora</t>
        </is>
      </c>
      <c r="B204" s="1445" t="inlineStr">
        <is>
          <t>Zoning / Planning</t>
        </is>
      </c>
      <c r="C204" s="1445" t="inlineStr">
        <is>
          <t>Comprehensive Plan PlaceTypes (ArcGIS)</t>
        </is>
      </c>
      <c r="D204" s="1445" t="inlineStr">
        <is>
          <t>https://data-auroraco.opendata.arcgis.com/datasets/9cfb0cffe16b41b68e38bcafbc4c037a_153/about</t>
        </is>
      </c>
      <c r="E204" s="1445" t="inlineStr">
        <is>
          <t>Future land use / place types dataset</t>
        </is>
      </c>
      <c r="F204" s="1445" t="n"/>
      <c r="G204" s="1445" t="n"/>
    </row>
    <row r="205">
      <c r="A205" s="1445" t="inlineStr">
        <is>
          <t>Aurora</t>
        </is>
      </c>
      <c r="B205" s="1445" t="inlineStr">
        <is>
          <t>Flood Zone</t>
        </is>
      </c>
      <c r="C205" s="1445" t="inlineStr">
        <is>
          <t>FEMA Map Service Center</t>
        </is>
      </c>
      <c r="D205" s="1445" t="inlineStr">
        <is>
          <t>https://msc.fema.gov/</t>
        </is>
      </c>
      <c r="E205" s="1445" t="inlineStr">
        <is>
          <t>Address-specific FEMA FIRM lookup</t>
        </is>
      </c>
      <c r="F205" s="1445" t="n"/>
      <c r="G205" s="1445" t="n"/>
    </row>
    <row r="206">
      <c r="A206" s="1445" t="inlineStr">
        <is>
          <t>Aurora</t>
        </is>
      </c>
      <c r="B206" s="1445" t="inlineStr">
        <is>
          <t>Flood Zone</t>
        </is>
      </c>
      <c r="C206" s="1445" t="inlineStr">
        <is>
          <t>Colorado Hazard Mapping / RiskMAP</t>
        </is>
      </c>
      <c r="D206" s="1445" t="inlineStr">
        <is>
          <t>https://coloradohazardmapping.com/hazardMapping/floodplainMapping</t>
        </is>
      </c>
      <c r="E206" s="1445" t="inlineStr">
        <is>
          <t>State-level flood mapping portal</t>
        </is>
      </c>
      <c r="F206" s="1445" t="n"/>
      <c r="G206" s="1445" t="n"/>
    </row>
    <row r="207">
      <c r="A207" s="1445" t="inlineStr">
        <is>
          <t>Aurora</t>
        </is>
      </c>
      <c r="B207" s="1445" t="inlineStr">
        <is>
          <t>Economic Development</t>
        </is>
      </c>
      <c r="C207" s="1445" t="inlineStr">
        <is>
          <t>Economic &amp; Business Development</t>
        </is>
      </c>
      <c r="D207" s="1445" t="inlineStr">
        <is>
          <t>https://www.auroragov.org/business_services/economic___business_development</t>
        </is>
      </c>
      <c r="E207" s="1445" t="inlineStr">
        <is>
          <t>City economic development office</t>
        </is>
      </c>
      <c r="F207" s="1445" t="n"/>
      <c r="G207" s="1445" t="n"/>
    </row>
    <row r="208">
      <c r="A208" s="1445" t="inlineStr">
        <is>
          <t>Aurora</t>
        </is>
      </c>
      <c r="B208" s="1445" t="inlineStr">
        <is>
          <t>Crime / Safety</t>
        </is>
      </c>
      <c r="C208" s="1445" t="inlineStr">
        <is>
          <t>Crime Data Portal</t>
        </is>
      </c>
      <c r="D208" s="1445" t="inlineStr">
        <is>
          <t>https://www.auroragov.org/residents/public_safety/police/crime_data</t>
        </is>
      </c>
      <c r="E208" s="1445" t="inlineStr">
        <is>
          <t>Transparency and accountability crime data</t>
        </is>
      </c>
      <c r="F208" s="1445" t="n"/>
      <c r="G208" s="1445" t="n"/>
    </row>
    <row r="209">
      <c r="A209" s="1445" t="inlineStr">
        <is>
          <t>Aurora</t>
        </is>
      </c>
      <c r="B209" s="1445" t="inlineStr">
        <is>
          <t>Crime / Safety</t>
        </is>
      </c>
      <c r="C209" s="1445" t="inlineStr">
        <is>
          <t>Police and Fire Maps</t>
        </is>
      </c>
      <c r="D209" s="1445" t="inlineStr">
        <is>
          <t>https://www.auroragov.org/city_hall/maps/police_and_fire_maps</t>
        </is>
      </c>
      <c r="E209" s="1445" t="inlineStr">
        <is>
          <t>PD/fire district maps</t>
        </is>
      </c>
      <c r="F209" s="1445" t="n"/>
      <c r="G209" s="1445" t="n"/>
    </row>
    <row r="210">
      <c r="A210" s="1445" t="inlineStr">
        <is>
          <t>Aurora</t>
        </is>
      </c>
      <c r="B210" s="1445" t="inlineStr">
        <is>
          <t>Demographics</t>
        </is>
      </c>
      <c r="C210" s="1445" t="inlineStr">
        <is>
          <t>Data &amp; Demographics</t>
        </is>
      </c>
      <c r="D210" s="1445" t="inlineStr">
        <is>
          <t>https://www.auroragov.org/city_hall/about_aurora/data___demographics</t>
        </is>
      </c>
      <c r="E210" s="1445" t="inlineStr">
        <is>
          <t>City demographic and statistical data</t>
        </is>
      </c>
      <c r="F210" s="1445" t="n"/>
      <c r="G210" s="1445" t="n"/>
    </row>
    <row r="211">
      <c r="A211" s="1445" t="inlineStr">
        <is>
          <t>Aurora</t>
        </is>
      </c>
      <c r="B211" s="1445" t="inlineStr">
        <is>
          <t>Short-Term Rental</t>
        </is>
      </c>
      <c r="C211" s="1445" t="inlineStr">
        <is>
          <t>STR Info / FAQ</t>
        </is>
      </c>
      <c r="D211" s="1445" t="inlineStr">
        <is>
          <t>https://www.auroragov.org/common/pages/GetFile.ashx?key=0Fc6ARWp</t>
        </is>
      </c>
      <c r="E211" s="1445" t="inlineStr">
        <is>
          <t>STR rules: primary residence only; $43 initial / $26 renewal; 8% lodger's tax</t>
        </is>
      </c>
      <c r="F211" s="1445" t="n"/>
      <c r="G211" s="1445" t="n"/>
    </row>
    <row r="212">
      <c r="A212" s="1445" t="inlineStr">
        <is>
          <t>Aurora</t>
        </is>
      </c>
      <c r="B212" s="1445" t="inlineStr">
        <is>
          <t>School Districts</t>
        </is>
      </c>
      <c r="C212" s="1445" t="inlineStr">
        <is>
          <t>Aurora Public Schools</t>
        </is>
      </c>
      <c r="D212" s="1445" t="inlineStr">
        <is>
          <t>https://www.aurorak12.org/</t>
        </is>
      </c>
      <c r="E212" s="1445" t="inlineStr">
        <is>
          <t>Primary district for most of Aurora</t>
        </is>
      </c>
      <c r="F212" s="1445" t="n"/>
      <c r="G212" s="1445" t="n"/>
    </row>
    <row r="213">
      <c r="A213" s="1445" t="inlineStr">
        <is>
          <t>Aurora</t>
        </is>
      </c>
      <c r="B213" s="1445" t="inlineStr">
        <is>
          <t>School Districts</t>
        </is>
      </c>
      <c r="C213" s="1445" t="inlineStr">
        <is>
          <t>Cherry Creek School District</t>
        </is>
      </c>
      <c r="D213" s="1445" t="inlineStr">
        <is>
          <t>https://www.cherrycreekschools.org/</t>
        </is>
      </c>
      <c r="E213" s="1445" t="inlineStr">
        <is>
          <t>Serves parts of Aurora (Arapahoe Co. portion)</t>
        </is>
      </c>
      <c r="F213" s="1445" t="n"/>
      <c r="G213" s="1445" t="n"/>
    </row>
    <row r="214">
      <c r="A214" s="1445" t="inlineStr">
        <is>
          <t>Aurora</t>
        </is>
      </c>
      <c r="B214" s="1445" t="inlineStr">
        <is>
          <t>School Districts</t>
        </is>
      </c>
      <c r="C214" s="1445" t="inlineStr">
        <is>
          <t>Adams 12 Five Star Schools</t>
        </is>
      </c>
      <c r="D214" s="1445" t="inlineStr">
        <is>
          <t>https://www.adams12.org/</t>
        </is>
      </c>
      <c r="E214" s="1445" t="inlineStr">
        <is>
          <t>Serves northern Aurora (Adams Co. portion)</t>
        </is>
      </c>
      <c r="F214" s="1445" t="n"/>
      <c r="G214" s="1445" t="n"/>
    </row>
    <row r="215">
      <c r="A215" s="1446" t="inlineStr">
        <is>
          <t>Bennett</t>
        </is>
      </c>
      <c r="B215" s="1446" t="inlineStr">
        <is>
          <t>Property Assessment</t>
        </is>
      </c>
      <c r="C215" s="1446" t="inlineStr">
        <is>
          <t>Adams County Assessor (Property Lookup)</t>
        </is>
      </c>
      <c r="D215" s="1446" t="inlineStr">
        <is>
          <t>https://adcogov.org/property-look</t>
        </is>
      </c>
      <c r="E215" s="1446" t="inlineStr">
        <is>
          <t>Bennett is fully within Adams County</t>
        </is>
      </c>
      <c r="F215" s="1446" t="n"/>
      <c r="G215" s="1446" t="n"/>
    </row>
    <row r="216">
      <c r="A216" s="1446" t="inlineStr">
        <is>
          <t>Bennett</t>
        </is>
      </c>
      <c r="B216" s="1446" t="inlineStr">
        <is>
          <t>Property Tax / Treasurer</t>
        </is>
      </c>
      <c r="C216" s="1446" t="inlineStr">
        <is>
          <t>Online Tax Payment</t>
        </is>
      </c>
      <c r="D216" s="1446" t="inlineStr">
        <is>
          <t>https://adcotax.com/treasurer/web/login.jsp</t>
        </is>
      </c>
      <c r="E216" s="1446" t="inlineStr">
        <is>
          <t>Adams County tax payment portal</t>
        </is>
      </c>
      <c r="F216" s="1446" t="n"/>
      <c r="G216" s="1446" t="n"/>
    </row>
    <row r="217">
      <c r="A217" s="1446" t="inlineStr">
        <is>
          <t>Bennett</t>
        </is>
      </c>
      <c r="B217" s="1446" t="inlineStr">
        <is>
          <t>Property Tax / Treasurer</t>
        </is>
      </c>
      <c r="C217" s="1446" t="inlineStr">
        <is>
          <t>Property Tax Inquiry</t>
        </is>
      </c>
      <c r="D217" s="1446" t="inlineStr">
        <is>
          <t>https://adamsil.devnetwedge.com/</t>
        </is>
      </c>
      <c r="E217" s="1446" t="inlineStr">
        <is>
          <t>Tax balance and history lookup</t>
        </is>
      </c>
      <c r="F217" s="1446" t="n"/>
      <c r="G217" s="1446" t="n"/>
    </row>
    <row r="218">
      <c r="A218" s="1446" t="inlineStr">
        <is>
          <t>Bennett</t>
        </is>
      </c>
      <c r="B218" s="1446" t="inlineStr">
        <is>
          <t>Deed / Title Records</t>
        </is>
      </c>
      <c r="C218" s="1446" t="inlineStr">
        <is>
          <t>Landmark Web Document Search</t>
        </is>
      </c>
      <c r="D218" s="1446" t="inlineStr">
        <is>
          <t>https://recording.adcogov.org/landmarkweb</t>
        </is>
      </c>
      <c r="E218" s="1446" t="inlineStr">
        <is>
          <t>Adams County deed/title records</t>
        </is>
      </c>
      <c r="F218" s="1446" t="n"/>
      <c r="G218" s="1446" t="n"/>
    </row>
    <row r="219">
      <c r="A219" s="1446" t="inlineStr">
        <is>
          <t>Bennett</t>
        </is>
      </c>
      <c r="B219" s="1446" t="inlineStr">
        <is>
          <t>GIS / Mapping</t>
        </is>
      </c>
      <c r="C219" s="1446" t="inlineStr">
        <is>
          <t>Bennett Zoning Map</t>
        </is>
      </c>
      <c r="D219" s="1446" t="inlineStr">
        <is>
          <t>https://www.bennettco.gov/business/page/bennett-zoning-map</t>
        </is>
      </c>
      <c r="E219" s="1446" t="inlineStr">
        <is>
          <t>Official zoning map</t>
        </is>
      </c>
      <c r="F219" s="1446" t="n"/>
      <c r="G219" s="1446" t="n"/>
    </row>
    <row r="220">
      <c r="A220" s="1446" t="inlineStr">
        <is>
          <t>Bennett</t>
        </is>
      </c>
      <c r="B220" s="1446" t="inlineStr">
        <is>
          <t>GIS / Mapping</t>
        </is>
      </c>
      <c r="C220" s="1446" t="inlineStr">
        <is>
          <t>Interactive ArcGIS Map</t>
        </is>
      </c>
      <c r="D220" s="1446" t="inlineStr">
        <is>
          <t>https://www.arcgis.com/apps/webappviewer/index.html?id=d36fe1b73c514d29ba9b6d2d818e183e</t>
        </is>
      </c>
      <c r="E220" s="1446" t="inlineStr">
        <is>
          <t>Interactive city map</t>
        </is>
      </c>
      <c r="F220" s="1446" t="n"/>
      <c r="G220" s="1446" t="n"/>
    </row>
    <row r="221">
      <c r="A221" s="1446" t="inlineStr">
        <is>
          <t>Bennett</t>
        </is>
      </c>
      <c r="B221" s="1446" t="inlineStr">
        <is>
          <t>GIS / Mapping</t>
        </is>
      </c>
      <c r="C221" s="1446" t="inlineStr">
        <is>
          <t>2021 Comp Plan (ArcGIS Experience)</t>
        </is>
      </c>
      <c r="D221" s="1446" t="inlineStr">
        <is>
          <t>https://experience.arcgis.com/experience/3d3babff4d9e4ac998d13ed805412374</t>
        </is>
      </c>
      <c r="E221" s="1446" t="inlineStr">
        <is>
          <t>Comprehensive plan interactive viewer</t>
        </is>
      </c>
      <c r="F221" s="1446" t="n"/>
      <c r="G221" s="1446" t="n"/>
    </row>
    <row r="222">
      <c r="A222" s="1446" t="inlineStr">
        <is>
          <t>Bennett</t>
        </is>
      </c>
      <c r="B222" s="1446" t="inlineStr">
        <is>
          <t>Permits</t>
        </is>
      </c>
      <c r="C222" s="1446" t="inlineStr">
        <is>
          <t>Building Department</t>
        </is>
      </c>
      <c r="D222" s="1446" t="inlineStr">
        <is>
          <t>https://www.bennettco.gov/community-development/page/building-department</t>
        </is>
      </c>
      <c r="E222" s="1446" t="inlineStr">
        <is>
          <t>Building permits info</t>
        </is>
      </c>
      <c r="F222" s="1446" t="n"/>
      <c r="G222" s="1446" t="n"/>
    </row>
    <row r="223">
      <c r="A223" s="1446" t="inlineStr">
        <is>
          <t>Bennett</t>
        </is>
      </c>
      <c r="B223" s="1446" t="inlineStr">
        <is>
          <t>Permits</t>
        </is>
      </c>
      <c r="C223" s="1446" t="inlineStr">
        <is>
          <t>SmartGov Public Portal</t>
        </is>
      </c>
      <c r="D223" s="1446" t="inlineStr">
        <is>
          <t>https://twn-bennett-co.smartgovcommunity.com/</t>
        </is>
      </c>
      <c r="E223" s="1446" t="inlineStr">
        <is>
          <t>Online permit applications and search</t>
        </is>
      </c>
      <c r="F223" s="1446" t="n"/>
      <c r="G223" s="1446" t="n"/>
    </row>
    <row r="224">
      <c r="A224" s="1446" t="inlineStr">
        <is>
          <t>Bennett</t>
        </is>
      </c>
      <c r="B224" s="1446" t="inlineStr">
        <is>
          <t>Permits</t>
        </is>
      </c>
      <c r="C224" s="1446" t="inlineStr">
        <is>
          <t>Development Page</t>
        </is>
      </c>
      <c r="D224" s="1446" t="inlineStr">
        <is>
          <t>https://www.bennettco.gov/development</t>
        </is>
      </c>
      <c r="E224" s="1446" t="inlineStr">
        <is>
          <t>Development resources</t>
        </is>
      </c>
      <c r="F224" s="1446" t="n"/>
      <c r="G224" s="1446" t="n"/>
    </row>
    <row r="225">
      <c r="A225" s="1446" t="inlineStr">
        <is>
          <t>Bennett</t>
        </is>
      </c>
      <c r="B225" s="1446" t="inlineStr">
        <is>
          <t>Zoning / Planning</t>
        </is>
      </c>
      <c r="C225" s="1446" t="inlineStr">
        <is>
          <t>Planning and Zoning</t>
        </is>
      </c>
      <c r="D225" s="1446" t="inlineStr">
        <is>
          <t>https://www.bennettco.gov/planning-economic-development/page/planning-and-zoning</t>
        </is>
      </c>
      <c r="E225" s="1446" t="inlineStr">
        <is>
          <t>Zoning department</t>
        </is>
      </c>
      <c r="F225" s="1446" t="n"/>
      <c r="G225" s="1446" t="n"/>
    </row>
    <row r="226">
      <c r="A226" s="1446" t="inlineStr">
        <is>
          <t>Bennett</t>
        </is>
      </c>
      <c r="B226" s="1446" t="inlineStr">
        <is>
          <t>Zoning / Planning</t>
        </is>
      </c>
      <c r="C226" s="1446" t="inlineStr">
        <is>
          <t>Planning &amp; Economic Development Dept</t>
        </is>
      </c>
      <c r="D226" s="1446" t="inlineStr">
        <is>
          <t>https://www.bennettco.gov/planning-economic-development</t>
        </is>
      </c>
      <c r="E226" s="1446" t="inlineStr">
        <is>
          <t>Planning and econ dev combined</t>
        </is>
      </c>
      <c r="F226" s="1446" t="n"/>
      <c r="G226" s="1446" t="n"/>
    </row>
    <row r="227">
      <c r="A227" s="1446" t="inlineStr">
        <is>
          <t>Bennett</t>
        </is>
      </c>
      <c r="B227" s="1446" t="inlineStr">
        <is>
          <t>Flood Zone</t>
        </is>
      </c>
      <c r="C227" s="1446" t="inlineStr">
        <is>
          <t>FEMA Map Service Center</t>
        </is>
      </c>
      <c r="D227" s="1446" t="inlineStr">
        <is>
          <t>https://msc.fema.gov/</t>
        </is>
      </c>
      <c r="E227" s="1446" t="inlineStr">
        <is>
          <t>Address-specific FEMA FIRM lookup</t>
        </is>
      </c>
      <c r="F227" s="1446" t="n"/>
      <c r="G227" s="1446" t="n"/>
    </row>
    <row r="228">
      <c r="A228" s="1446" t="inlineStr">
        <is>
          <t>Bennett</t>
        </is>
      </c>
      <c r="B228" s="1446" t="inlineStr">
        <is>
          <t>Flood Zone</t>
        </is>
      </c>
      <c r="C228" s="1446" t="inlineStr">
        <is>
          <t>Adams County Floodplain Management</t>
        </is>
      </c>
      <c r="D228" s="1446" t="inlineStr">
        <is>
          <t>https://adamscountyco.gov/our-county/community-economic-development/floodplain-management/</t>
        </is>
      </c>
      <c r="E228" s="1446" t="inlineStr">
        <is>
          <t>County floodplain resources</t>
        </is>
      </c>
      <c r="F228" s="1446" t="n"/>
      <c r="G228" s="1446" t="n"/>
    </row>
    <row r="229">
      <c r="A229" s="1446" t="inlineStr">
        <is>
          <t>Bennett</t>
        </is>
      </c>
      <c r="B229" s="1446" t="inlineStr">
        <is>
          <t>Economic Development</t>
        </is>
      </c>
      <c r="C229" s="1446" t="inlineStr">
        <is>
          <t>Why Bennett (Econ Dev Portal)</t>
        </is>
      </c>
      <c r="D229" s="1446" t="inlineStr">
        <is>
          <t>https://whybennett.colorado.gov/</t>
        </is>
      </c>
      <c r="E229" s="1446" t="inlineStr">
        <is>
          <t>Business attraction and site selection</t>
        </is>
      </c>
      <c r="F229" s="1446" t="n"/>
      <c r="G229" s="1446" t="n"/>
    </row>
    <row r="230">
      <c r="A230" s="1446" t="inlineStr">
        <is>
          <t>Bennett</t>
        </is>
      </c>
      <c r="B230" s="1446" t="inlineStr">
        <is>
          <t>Economic Development</t>
        </is>
      </c>
      <c r="C230" s="1446" t="inlineStr">
        <is>
          <t>Infrastructure &amp; Utilities (Why Bennett)</t>
        </is>
      </c>
      <c r="D230" s="1446" t="inlineStr">
        <is>
          <t>https://whybennett.colorado.gov/infrastructure-and-utilities</t>
        </is>
      </c>
      <c r="E230" s="1446" t="inlineStr">
        <is>
          <t>Utility and infrastructure info for investors</t>
        </is>
      </c>
      <c r="F230" s="1446" t="n"/>
      <c r="G230" s="1446" t="n"/>
    </row>
    <row r="231">
      <c r="A231" s="1446" t="inlineStr">
        <is>
          <t>Bennett</t>
        </is>
      </c>
      <c r="B231" s="1446" t="inlineStr">
        <is>
          <t>Utilities</t>
        </is>
      </c>
      <c r="C231" s="1446" t="inlineStr">
        <is>
          <t>Utilities</t>
        </is>
      </c>
      <c r="D231" s="1446" t="inlineStr">
        <is>
          <t>https://www.bennettco.gov/site-selection/page/utilities</t>
        </is>
      </c>
      <c r="E231" s="1446" t="inlineStr">
        <is>
          <t>Town water/wastewater utilities</t>
        </is>
      </c>
      <c r="F231" s="1446" t="n"/>
      <c r="G231" s="1446" t="n"/>
    </row>
    <row r="232">
      <c r="A232" s="1446" t="inlineStr">
        <is>
          <t>Bennett</t>
        </is>
      </c>
      <c r="B232" s="1446" t="inlineStr">
        <is>
          <t>School Districts</t>
        </is>
      </c>
      <c r="C232" s="1446" t="inlineStr">
        <is>
          <t>Bennett School District 29J</t>
        </is>
      </c>
      <c r="D232" s="1446" t="inlineStr">
        <is>
          <t>https://www.bsd29j.com/</t>
        </is>
      </c>
      <c r="E232" s="1446" t="inlineStr">
        <is>
          <t>Local school district for Bennett</t>
        </is>
      </c>
      <c r="F232" s="1446" t="n"/>
      <c r="G232" s="1446" t="n"/>
    </row>
    <row r="233">
      <c r="A233" s="1447" t="inlineStr">
        <is>
          <t>Lochbuie</t>
        </is>
      </c>
      <c r="B233" s="1447" t="inlineStr">
        <is>
          <t>Property Assessment</t>
        </is>
      </c>
      <c r="C233" s="1447" t="inlineStr">
        <is>
          <t>Adams County Assessor (Adams Co. portion)</t>
        </is>
      </c>
      <c r="D233" s="1447" t="inlineStr">
        <is>
          <t>https://adcogov.org/property-look</t>
        </is>
      </c>
      <c r="E233" s="1447" t="inlineStr">
        <is>
          <t>For Adams County parcels in Lochbuie</t>
        </is>
      </c>
      <c r="F233" s="1447" t="n"/>
      <c r="G233" s="1447" t="n"/>
    </row>
    <row r="234">
      <c r="A234" s="1447" t="inlineStr">
        <is>
          <t>Lochbuie</t>
        </is>
      </c>
      <c r="B234" s="1447" t="inlineStr">
        <is>
          <t>Property Assessment</t>
        </is>
      </c>
      <c r="C234" s="1447" t="inlineStr">
        <is>
          <t>Weld County Assessor (Weld Co. portion)</t>
        </is>
      </c>
      <c r="D234" s="1447" t="inlineStr">
        <is>
          <t>https://www.weld.gov/Government/Departments/Assessor/Property-Data-Search</t>
        </is>
      </c>
      <c r="E234" s="1447" t="inlineStr">
        <is>
          <t>For Weld County parcels in Lochbuie</t>
        </is>
      </c>
      <c r="F234" s="1447" t="n"/>
      <c r="G234" s="1447" t="n"/>
    </row>
    <row r="235">
      <c r="A235" s="1447" t="inlineStr">
        <is>
          <t>Lochbuie</t>
        </is>
      </c>
      <c r="B235" s="1447" t="inlineStr">
        <is>
          <t>Property Tax / Treasurer</t>
        </is>
      </c>
      <c r="C235" s="1447" t="inlineStr">
        <is>
          <t>Adams County Tax Payment (Adams Co. portion)</t>
        </is>
      </c>
      <c r="D235" s="1447" t="inlineStr">
        <is>
          <t>https://adcotax.com/treasurer/web/login.jsp</t>
        </is>
      </c>
      <c r="E235" s="1447" t="inlineStr">
        <is>
          <t>For Adams County parcels</t>
        </is>
      </c>
      <c r="F235" s="1447" t="n"/>
      <c r="G235" s="1447" t="n"/>
    </row>
    <row r="236">
      <c r="A236" s="1447" t="inlineStr">
        <is>
          <t>Lochbuie</t>
        </is>
      </c>
      <c r="B236" s="1447" t="inlineStr">
        <is>
          <t>Property Tax / Treasurer</t>
        </is>
      </c>
      <c r="C236" s="1447" t="inlineStr">
        <is>
          <t>Weld County Treasurer (Weld Co. portion)</t>
        </is>
      </c>
      <c r="D236" s="1447" t="inlineStr">
        <is>
          <t>https://www.weldgov.com/departments/treasurer</t>
        </is>
      </c>
      <c r="E236" s="1447" t="inlineStr">
        <is>
          <t>For Weld County parcels</t>
        </is>
      </c>
      <c r="F236" s="1447" t="n"/>
      <c r="G236" s="1447" t="n"/>
    </row>
    <row r="237">
      <c r="A237" s="1447" t="inlineStr">
        <is>
          <t>Lochbuie</t>
        </is>
      </c>
      <c r="B237" s="1447" t="inlineStr">
        <is>
          <t>Deed / Title Records</t>
        </is>
      </c>
      <c r="C237" s="1447" t="inlineStr">
        <is>
          <t>Adams Co. Landmark Web Document Search</t>
        </is>
      </c>
      <c r="D237" s="1447" t="inlineStr">
        <is>
          <t>https://recording.adcogov.org/landmarkweb</t>
        </is>
      </c>
      <c r="E237" s="1447" t="inlineStr">
        <is>
          <t>For Adams County parcels</t>
        </is>
      </c>
      <c r="F237" s="1447" t="n"/>
      <c r="G237" s="1447" t="n"/>
    </row>
    <row r="238">
      <c r="A238" s="1447" t="inlineStr">
        <is>
          <t>Lochbuie</t>
        </is>
      </c>
      <c r="B238" s="1447" t="inlineStr">
        <is>
          <t>Deed / Title Records</t>
        </is>
      </c>
      <c r="C238" s="1447" t="inlineStr">
        <is>
          <t>Weld County Clerk &amp; Recorder</t>
        </is>
      </c>
      <c r="D238" s="1447" t="inlineStr">
        <is>
          <t>https://www.weld.gov/Government/Departments/Clerk-Recorder</t>
        </is>
      </c>
      <c r="E238" s="1447" t="inlineStr">
        <is>
          <t>For Weld County parcels</t>
        </is>
      </c>
      <c r="F238" s="1447" t="n"/>
      <c r="G238" s="1447" t="n"/>
    </row>
    <row r="239">
      <c r="A239" s="1447" t="inlineStr">
        <is>
          <t>Lochbuie</t>
        </is>
      </c>
      <c r="B239" s="1447" t="inlineStr">
        <is>
          <t>GIS / Mapping</t>
        </is>
      </c>
      <c r="C239" s="1447" t="inlineStr">
        <is>
          <t>Zoning Map</t>
        </is>
      </c>
      <c r="D239" s="1447" t="inlineStr">
        <is>
          <t>https://www.lochbuie.org/administration/page/zoning-map</t>
        </is>
      </c>
      <c r="E239" s="1447" t="inlineStr">
        <is>
          <t>Official town zoning map</t>
        </is>
      </c>
      <c r="F239" s="1447" t="n"/>
      <c r="G239" s="1447" t="n"/>
    </row>
    <row r="240">
      <c r="A240" s="1447" t="inlineStr">
        <is>
          <t>Lochbuie</t>
        </is>
      </c>
      <c r="B240" s="1447" t="inlineStr">
        <is>
          <t>Permits</t>
        </is>
      </c>
      <c r="C240" s="1447" t="inlineStr">
        <is>
          <t>Building Permits &amp; Inspections</t>
        </is>
      </c>
      <c r="D240" s="1447" t="inlineStr">
        <is>
          <t>https://www.lochbuie.org/community-dev/page/building-permits-and-inspections</t>
        </is>
      </c>
      <c r="E240" s="1447" t="inlineStr">
        <is>
          <t>Building permits (contracted to SAFEbuilt)</t>
        </is>
      </c>
      <c r="F240" s="1447" t="n"/>
      <c r="G240" s="1447" t="n"/>
    </row>
    <row r="241">
      <c r="A241" s="1447" t="inlineStr">
        <is>
          <t>Lochbuie</t>
        </is>
      </c>
      <c r="B241" s="1447" t="inlineStr">
        <is>
          <t>Permits</t>
        </is>
      </c>
      <c r="C241" s="1447" t="inlineStr">
        <is>
          <t>Do I Need a Permit?</t>
        </is>
      </c>
      <c r="D241" s="1447" t="inlineStr">
        <is>
          <t>https://www.lochbuie.org/community-dev/page/do-i-need-permit</t>
        </is>
      </c>
      <c r="E241" s="1447" t="inlineStr">
        <is>
          <t>Permit requirement guide</t>
        </is>
      </c>
      <c r="F241" s="1447" t="n"/>
      <c r="G241" s="1447" t="n"/>
    </row>
    <row r="242">
      <c r="A242" s="1447" t="inlineStr">
        <is>
          <t>Lochbuie</t>
        </is>
      </c>
      <c r="B242" s="1447" t="inlineStr">
        <is>
          <t>Permits</t>
        </is>
      </c>
      <c r="C242" s="1447" t="inlineStr">
        <is>
          <t>Building Guides &amp; Checklists</t>
        </is>
      </c>
      <c r="D242" s="1447" t="inlineStr">
        <is>
          <t>https://www.lochbuie.org/building/page/guides-and-checklists</t>
        </is>
      </c>
      <c r="E242" s="1447" t="inlineStr">
        <is>
          <t>Application checklists</t>
        </is>
      </c>
      <c r="F242" s="1447" t="n"/>
      <c r="G242" s="1447" t="n"/>
    </row>
    <row r="243">
      <c r="A243" s="1447" t="inlineStr">
        <is>
          <t>Lochbuie</t>
        </is>
      </c>
      <c r="B243" s="1447" t="inlineStr">
        <is>
          <t>Zoning / Planning</t>
        </is>
      </c>
      <c r="C243" s="1447" t="inlineStr">
        <is>
          <t>Current Planning</t>
        </is>
      </c>
      <c r="D243" s="1447" t="inlineStr">
        <is>
          <t>https://www.lochbuie.org/community-dev/page/current-planning</t>
        </is>
      </c>
      <c r="E243" s="1447" t="inlineStr">
        <is>
          <t>Active planning applications</t>
        </is>
      </c>
      <c r="F243" s="1447" t="n"/>
      <c r="G243" s="1447" t="n"/>
    </row>
    <row r="244">
      <c r="A244" s="1447" t="inlineStr">
        <is>
          <t>Lochbuie</t>
        </is>
      </c>
      <c r="B244" s="1447" t="inlineStr">
        <is>
          <t>Zoning / Planning</t>
        </is>
      </c>
      <c r="C244" s="1447" t="inlineStr">
        <is>
          <t>Municipal Code (Municode)</t>
        </is>
      </c>
      <c r="D244" s="1447" t="inlineStr">
        <is>
          <t>https://library.municode.com/co/lochbuie/codes/municipal_code</t>
        </is>
      </c>
      <c r="E244" s="1447" t="inlineStr">
        <is>
          <t>Full zoning and municipal code</t>
        </is>
      </c>
      <c r="F244" s="1447" t="n"/>
      <c r="G244" s="1447" t="n"/>
    </row>
    <row r="245">
      <c r="A245" s="1447" t="inlineStr">
        <is>
          <t>Lochbuie</t>
        </is>
      </c>
      <c r="B245" s="1447" t="inlineStr">
        <is>
          <t>Flood Zone</t>
        </is>
      </c>
      <c r="C245" s="1447" t="inlineStr">
        <is>
          <t>FEMA Map Service Center</t>
        </is>
      </c>
      <c r="D245" s="1447" t="inlineStr">
        <is>
          <t>https://msc.fema.gov/</t>
        </is>
      </c>
      <c r="E245" s="1447" t="inlineStr">
        <is>
          <t>Address-specific FEMA FIRM lookup</t>
        </is>
      </c>
      <c r="F245" s="1447" t="n"/>
      <c r="G245" s="1447" t="n"/>
    </row>
    <row r="246">
      <c r="A246" s="1447" t="inlineStr">
        <is>
          <t>Lochbuie</t>
        </is>
      </c>
      <c r="B246" s="1447" t="inlineStr">
        <is>
          <t>Flood Zone</t>
        </is>
      </c>
      <c r="C246" s="1447" t="inlineStr">
        <is>
          <t>Adams County Floodplain (Adams portion)</t>
        </is>
      </c>
      <c r="D246" s="1447" t="inlineStr">
        <is>
          <t>https://adamscountyco.gov/our-county/community-economic-development/floodplain-management/</t>
        </is>
      </c>
      <c r="E246" s="1447" t="inlineStr">
        <is>
          <t>County floodplain resources for Adams Co. portion</t>
        </is>
      </c>
      <c r="F246" s="1447" t="n"/>
      <c r="G246" s="1447" t="n"/>
    </row>
    <row r="247">
      <c r="A247" s="1447" t="inlineStr">
        <is>
          <t>Lochbuie</t>
        </is>
      </c>
      <c r="B247" s="1447" t="inlineStr">
        <is>
          <t>School Districts</t>
        </is>
      </c>
      <c r="C247" s="1447" t="inlineStr">
        <is>
          <t>School District 27J</t>
        </is>
      </c>
      <c r="D247" s="1447" t="inlineStr">
        <is>
          <t>https://www.sd27j.org/</t>
        </is>
      </c>
      <c r="E247" s="1447" t="inlineStr">
        <is>
          <t>Primary school district for Lochbuie</t>
        </is>
      </c>
      <c r="F247" s="1447" t="n"/>
      <c r="G247" s="1447" t="n"/>
    </row>
    <row r="248">
      <c r="A248" s="1438" t="inlineStr">
        <is>
          <t>Arvada</t>
        </is>
      </c>
      <c r="B248" s="1438" t="inlineStr">
        <is>
          <t>Property Assessment</t>
        </is>
      </c>
      <c r="C248" s="1438" t="inlineStr">
        <is>
          <t>Adams County Assessor (small Adams Co. portion)</t>
        </is>
      </c>
      <c r="D248" s="1438" t="inlineStr">
        <is>
          <t>https://adcogov.org/property-look</t>
        </is>
      </c>
      <c r="E248" s="1438" t="inlineStr">
        <is>
          <t>For the small eastern Adams County portion of Arvada</t>
        </is>
      </c>
      <c r="F248" s="1438" t="n"/>
      <c r="G248" s="1438" t="n"/>
    </row>
    <row r="249">
      <c r="A249" s="1438" t="inlineStr">
        <is>
          <t>Arvada</t>
        </is>
      </c>
      <c r="B249" s="1438" t="inlineStr">
        <is>
          <t>Property Assessment</t>
        </is>
      </c>
      <c r="C249" s="1438" t="inlineStr">
        <is>
          <t>Jefferson County Assessor (primary)</t>
        </is>
      </c>
      <c r="D249" s="1438" t="inlineStr">
        <is>
          <t>https://propertysearch.jeffco.us/</t>
        </is>
      </c>
      <c r="E249" s="1438" t="inlineStr">
        <is>
          <t>For the primary Jefferson County portion of Arvada</t>
        </is>
      </c>
      <c r="F249" s="1438" t="n"/>
      <c r="G249" s="1438" t="n"/>
    </row>
    <row r="250">
      <c r="A250" s="1438" t="inlineStr">
        <is>
          <t>Arvada</t>
        </is>
      </c>
      <c r="B250" s="1438" t="inlineStr">
        <is>
          <t>Property Tax / Treasurer</t>
        </is>
      </c>
      <c r="C250" s="1438" t="inlineStr">
        <is>
          <t>Jefferson County Treasurer (primary)</t>
        </is>
      </c>
      <c r="D250" s="1438" t="inlineStr">
        <is>
          <t>https://jeffco.us/1293/Treasurer</t>
        </is>
      </c>
      <c r="E250" s="1438" t="inlineStr">
        <is>
          <t>For Jefferson County parcels</t>
        </is>
      </c>
      <c r="F250" s="1438" t="n"/>
      <c r="G250" s="1438" t="n"/>
    </row>
    <row r="251">
      <c r="A251" s="1438" t="inlineStr">
        <is>
          <t>Arvada</t>
        </is>
      </c>
      <c r="B251" s="1438" t="inlineStr">
        <is>
          <t>Property Tax / Treasurer</t>
        </is>
      </c>
      <c r="C251" s="1438" t="inlineStr">
        <is>
          <t>Adams County Tax Payment (Adams Co. portion)</t>
        </is>
      </c>
      <c r="D251" s="1438" t="inlineStr">
        <is>
          <t>https://adcotax.com/treasurer/web/login.jsp</t>
        </is>
      </c>
      <c r="E251" s="1438" t="inlineStr">
        <is>
          <t>For Adams County parcels</t>
        </is>
      </c>
      <c r="F251" s="1438" t="n"/>
      <c r="G251" s="1438" t="n"/>
    </row>
    <row r="252">
      <c r="A252" s="1438" t="inlineStr">
        <is>
          <t>Arvada</t>
        </is>
      </c>
      <c r="B252" s="1438" t="inlineStr">
        <is>
          <t>Deed / Title Records</t>
        </is>
      </c>
      <c r="C252" s="1438" t="inlineStr">
        <is>
          <t>Jefferson County Clerk &amp; Recorder</t>
        </is>
      </c>
      <c r="D252" s="1438" t="inlineStr">
        <is>
          <t>https://www.jeffco.us/1288/Clerk-Recorder</t>
        </is>
      </c>
      <c r="E252" s="1438" t="inlineStr">
        <is>
          <t>For Jefferson County parcels</t>
        </is>
      </c>
      <c r="F252" s="1438" t="n"/>
      <c r="G252" s="1438" t="n"/>
    </row>
    <row r="253">
      <c r="A253" s="1438" t="inlineStr">
        <is>
          <t>Arvada</t>
        </is>
      </c>
      <c r="B253" s="1438" t="inlineStr">
        <is>
          <t>Deed / Title Records</t>
        </is>
      </c>
      <c r="C253" s="1438" t="inlineStr">
        <is>
          <t>Adams Co. Landmark Web Document Search</t>
        </is>
      </c>
      <c r="D253" s="1438" t="inlineStr">
        <is>
          <t>https://recording.adcogov.org/landmarkweb</t>
        </is>
      </c>
      <c r="E253" s="1438" t="inlineStr">
        <is>
          <t>For Adams County parcels</t>
        </is>
      </c>
      <c r="F253" s="1438" t="n"/>
      <c r="G253" s="1438" t="n"/>
    </row>
    <row r="254">
      <c r="A254" s="1438" t="inlineStr">
        <is>
          <t>Arvada</t>
        </is>
      </c>
      <c r="B254" s="1438" t="inlineStr">
        <is>
          <t>GIS / Mapping</t>
        </is>
      </c>
      <c r="C254" s="1438" t="inlineStr">
        <is>
          <t>Arvada Open Data / GIS Hub (ArcGIS)</t>
        </is>
      </c>
      <c r="D254" s="1438" t="inlineStr">
        <is>
          <t>https://gis-arvada.opendata.arcgis.com/</t>
        </is>
      </c>
      <c r="E254" s="1438" t="inlineStr">
        <is>
          <t>Downloadable GIS datasets including parcels</t>
        </is>
      </c>
      <c r="F254" s="1438" t="n"/>
      <c r="G254" s="1438" t="n"/>
    </row>
    <row r="255">
      <c r="A255" s="1438" t="inlineStr">
        <is>
          <t>Arvada</t>
        </is>
      </c>
      <c r="B255" s="1438" t="inlineStr">
        <is>
          <t>GIS / Mapping</t>
        </is>
      </c>
      <c r="C255" s="1438" t="inlineStr">
        <is>
          <t>Maps and Property Search</t>
        </is>
      </c>
      <c r="D255" s="1438" t="inlineStr">
        <is>
          <t>https://www.arvadaco.gov/702/Maps-and-Property-Search</t>
        </is>
      </c>
      <c r="E255" s="1438" t="inlineStr">
        <is>
          <t>City map and property portal</t>
        </is>
      </c>
      <c r="F255" s="1438" t="n"/>
      <c r="G255" s="1438" t="n"/>
    </row>
    <row r="256">
      <c r="A256" s="1438" t="inlineStr">
        <is>
          <t>Arvada</t>
        </is>
      </c>
      <c r="B256" s="1438" t="inlineStr">
        <is>
          <t>GIS / Mapping</t>
        </is>
      </c>
      <c r="C256" s="1438" t="inlineStr">
        <is>
          <t>Economic Development Maps</t>
        </is>
      </c>
      <c r="D256" s="1438" t="inlineStr">
        <is>
          <t>https://arvadaeconomicdevelopment.org/intel/maps/</t>
        </is>
      </c>
      <c r="E256" s="1438" t="inlineStr">
        <is>
          <t>Development pipeline and market maps</t>
        </is>
      </c>
      <c r="F256" s="1438" t="n"/>
      <c r="G256" s="1438" t="n"/>
    </row>
    <row r="257">
      <c r="A257" s="1438" t="inlineStr">
        <is>
          <t>Arvada</t>
        </is>
      </c>
      <c r="B257" s="1438" t="inlineStr">
        <is>
          <t>Permits</t>
        </is>
      </c>
      <c r="C257" s="1438" t="inlineStr">
        <is>
          <t>eTRAKiT Portal</t>
        </is>
      </c>
      <c r="D257" s="1438" t="inlineStr">
        <is>
          <t>https://arvadapermits.org/</t>
        </is>
      </c>
      <c r="E257" s="1438" t="inlineStr">
        <is>
          <t>Online permit search and applications</t>
        </is>
      </c>
      <c r="F257" s="1438" t="n"/>
      <c r="G257" s="1438" t="n"/>
    </row>
    <row r="258">
      <c r="A258" s="1438" t="inlineStr">
        <is>
          <t>Arvada</t>
        </is>
      </c>
      <c r="B258" s="1438" t="inlineStr">
        <is>
          <t>Permits</t>
        </is>
      </c>
      <c r="C258" s="1438" t="inlineStr">
        <is>
          <t>Building Permits Page</t>
        </is>
      </c>
      <c r="D258" s="1438" t="inlineStr">
        <is>
          <t>https://www.arvadaco.gov/332/Building-Permits</t>
        </is>
      </c>
      <c r="E258" s="1438" t="inlineStr">
        <is>
          <t>Building permit info</t>
        </is>
      </c>
      <c r="F258" s="1438" t="n"/>
      <c r="G258" s="1438" t="n"/>
    </row>
    <row r="259">
      <c r="A259" s="1438" t="inlineStr">
        <is>
          <t>Arvada</t>
        </is>
      </c>
      <c r="B259" s="1438" t="inlineStr">
        <is>
          <t>Permits</t>
        </is>
      </c>
      <c r="C259" s="1438" t="inlineStr">
        <is>
          <t>Check Permit Status / Schedule Inspection</t>
        </is>
      </c>
      <c r="D259" s="1438" t="inlineStr">
        <is>
          <t>https://www.arvadaco.gov/729/Check-the-Status-of-a-Permit-Schedule-a-</t>
        </is>
      </c>
      <c r="E259" s="1438" t="inlineStr">
        <is>
          <t>Permit status and inspection scheduling</t>
        </is>
      </c>
      <c r="F259" s="1438" t="n"/>
      <c r="G259" s="1438" t="n"/>
    </row>
    <row r="260">
      <c r="A260" s="1438" t="inlineStr">
        <is>
          <t>Arvada</t>
        </is>
      </c>
      <c r="B260" s="1438" t="inlineStr">
        <is>
          <t>Permits</t>
        </is>
      </c>
      <c r="C260" s="1438" t="inlineStr">
        <is>
          <t>eTRAKiT Permit Search</t>
        </is>
      </c>
      <c r="D260" s="1438" t="inlineStr">
        <is>
          <t>https://permits.arvada.org/etrakit3/Search/permit.aspx</t>
        </is>
      </c>
      <c r="E260" s="1438" t="inlineStr">
        <is>
          <t>Direct permit lookup</t>
        </is>
      </c>
      <c r="F260" s="1438" t="n"/>
      <c r="G260" s="1438" t="n"/>
    </row>
    <row r="261">
      <c r="A261" s="1438" t="inlineStr">
        <is>
          <t>Arvada</t>
        </is>
      </c>
      <c r="B261" s="1438" t="inlineStr">
        <is>
          <t>Zoning / Planning</t>
        </is>
      </c>
      <c r="C261" s="1438" t="inlineStr">
        <is>
          <t>Zoning Main Page</t>
        </is>
      </c>
      <c r="D261" s="1438" t="inlineStr">
        <is>
          <t>https://www.arvadaco.gov/168/Zoning</t>
        </is>
      </c>
      <c r="E261" s="1438" t="inlineStr">
        <is>
          <t>Zoning department with interactive zoning district map</t>
        </is>
      </c>
      <c r="F261" s="1438" t="n"/>
      <c r="G261" s="1438" t="n"/>
    </row>
    <row r="262">
      <c r="A262" s="1438" t="inlineStr">
        <is>
          <t>Arvada</t>
        </is>
      </c>
      <c r="B262" s="1438" t="inlineStr">
        <is>
          <t>Zoning / Planning</t>
        </is>
      </c>
      <c r="C262" s="1438" t="inlineStr">
        <is>
          <t>Speak Up Arvada (Community / Planning)</t>
        </is>
      </c>
      <c r="D262" s="1438" t="inlineStr">
        <is>
          <t>https://speakup.arvadaco.gov/</t>
        </is>
      </c>
      <c r="E262" s="1438" t="inlineStr">
        <is>
          <t>Community engagement for planning and comprehensive plan</t>
        </is>
      </c>
      <c r="F262" s="1438" t="n"/>
      <c r="G262" s="1438" t="n"/>
    </row>
    <row r="263">
      <c r="A263" s="1438" t="inlineStr">
        <is>
          <t>Arvada</t>
        </is>
      </c>
      <c r="B263" s="1438" t="inlineStr">
        <is>
          <t>Flood Zone</t>
        </is>
      </c>
      <c r="C263" s="1438" t="inlineStr">
        <is>
          <t>Jefferson County Floodplain (primary)</t>
        </is>
      </c>
      <c r="D263" s="1438" t="inlineStr">
        <is>
          <t>https://www.jeffco.us/2019/Flood-Mapping-and-Information</t>
        </is>
      </c>
      <c r="E263" s="1438" t="inlineStr">
        <is>
          <t>For Jefferson County portion</t>
        </is>
      </c>
      <c r="F263" s="1438" t="n"/>
      <c r="G263" s="1438" t="n"/>
    </row>
    <row r="264">
      <c r="A264" s="1438" t="inlineStr">
        <is>
          <t>Arvada</t>
        </is>
      </c>
      <c r="B264" s="1438" t="inlineStr">
        <is>
          <t>Flood Zone</t>
        </is>
      </c>
      <c r="C264" s="1438" t="inlineStr">
        <is>
          <t>Adams County Floodplain (Adams portion)</t>
        </is>
      </c>
      <c r="D264" s="1438" t="inlineStr">
        <is>
          <t>https://adamscountyco.gov/our-county/community-economic-development/floodplain-management/</t>
        </is>
      </c>
      <c r="E264" s="1438" t="inlineStr">
        <is>
          <t>For Adams County portion</t>
        </is>
      </c>
      <c r="F264" s="1438" t="n"/>
      <c r="G264" s="1438" t="n"/>
    </row>
    <row r="265">
      <c r="A265" s="1438" t="inlineStr">
        <is>
          <t>Arvada</t>
        </is>
      </c>
      <c r="B265" s="1438" t="inlineStr">
        <is>
          <t>Flood Zone</t>
        </is>
      </c>
      <c r="C265" s="1438" t="inlineStr">
        <is>
          <t>FEMA Map Service Center</t>
        </is>
      </c>
      <c r="D265" s="1438" t="inlineStr">
        <is>
          <t>https://msc.fema.gov/</t>
        </is>
      </c>
      <c r="E265" s="1438" t="inlineStr">
        <is>
          <t>Address-specific FEMA FIRM lookup</t>
        </is>
      </c>
      <c r="F265" s="1438" t="n"/>
      <c r="G265" s="1438" t="n"/>
    </row>
    <row r="266">
      <c r="A266" s="1438" t="inlineStr">
        <is>
          <t>Arvada</t>
        </is>
      </c>
      <c r="B266" s="1438" t="inlineStr">
        <is>
          <t>Economic Development</t>
        </is>
      </c>
      <c r="C266" s="1438" t="inlineStr">
        <is>
          <t>Arvada Economic Development Association</t>
        </is>
      </c>
      <c r="D266" s="1438" t="inlineStr">
        <is>
          <t>https://arvadaeconomicdevelopment.org/</t>
        </is>
      </c>
      <c r="E266" s="1438" t="inlineStr">
        <is>
          <t>City economic development organization</t>
        </is>
      </c>
      <c r="F266" s="1438" t="n"/>
      <c r="G266" s="1438" t="n"/>
    </row>
    <row r="267">
      <c r="A267" s="1438" t="inlineStr">
        <is>
          <t>Arvada</t>
        </is>
      </c>
      <c r="B267" s="1438" t="inlineStr">
        <is>
          <t>Short-Term Rental</t>
        </is>
      </c>
      <c r="C267" s="1438" t="inlineStr">
        <is>
          <t>STR License</t>
        </is>
      </c>
      <c r="D267" s="1438" t="inlineStr">
        <is>
          <t>https://www.arvadaco.gov/</t>
        </is>
      </c>
      <c r="E267" s="1438" t="inlineStr">
        <is>
          <t>Annual license required; $350 fee</t>
        </is>
      </c>
      <c r="F267" s="1438" t="n"/>
      <c r="G267" s="1438" t="n"/>
    </row>
    <row r="268">
      <c r="A268" s="1438" t="inlineStr">
        <is>
          <t>Arvada</t>
        </is>
      </c>
      <c r="B268" s="1438" t="inlineStr">
        <is>
          <t>Crime / Safety</t>
        </is>
      </c>
      <c r="C268" s="1438" t="inlineStr">
        <is>
          <t>Crime Maps &amp; Statistics</t>
        </is>
      </c>
      <c r="D268" s="1438" t="inlineStr">
        <is>
          <t>https://www.arvadaco.gov/538/Crime-Maps-Statistics</t>
        </is>
      </c>
      <c r="E268" s="1438" t="inlineStr">
        <is>
          <t>LexisNexis Community Crime Map</t>
        </is>
      </c>
      <c r="F268" s="1438" t="n"/>
      <c r="G268" s="1438" t="n"/>
    </row>
    <row r="269">
      <c r="A269" s="1438" t="inlineStr">
        <is>
          <t>Arvada</t>
        </is>
      </c>
      <c r="B269" s="1438" t="inlineStr">
        <is>
          <t>School Districts</t>
        </is>
      </c>
      <c r="C269" s="1438" t="inlineStr">
        <is>
          <t>Jefferson County Public Schools (primary)</t>
        </is>
      </c>
      <c r="D269" s="1438" t="inlineStr">
        <is>
          <t>https://www.jeffcopublicschools.org/</t>
        </is>
      </c>
      <c r="E269" s="1438" t="inlineStr">
        <is>
          <t>Primary district for most of Arvada</t>
        </is>
      </c>
      <c r="F269" s="1438" t="n"/>
      <c r="G269" s="1438" t="n"/>
    </row>
    <row r="270">
      <c r="A270" s="1438" t="inlineStr">
        <is>
          <t>Arvada</t>
        </is>
      </c>
      <c r="B270" s="1438" t="inlineStr">
        <is>
          <t>School Districts</t>
        </is>
      </c>
      <c r="C270" s="1438" t="inlineStr">
        <is>
          <t>Adams 12 Five Star Schools (Adams Co. portion)</t>
        </is>
      </c>
      <c r="D270" s="1438" t="inlineStr">
        <is>
          <t>https://www.adams12.org/</t>
        </is>
      </c>
      <c r="E270" s="1438" t="inlineStr">
        <is>
          <t>For the small Adams County portion</t>
        </is>
      </c>
      <c r="F270" s="1438" t="n"/>
      <c r="G270" s="1438" t="n"/>
    </row>
    <row r="271">
      <c r="A271" s="1439" t="inlineStr">
        <is>
          <t>REGIONAL / ALL MUNICIPALITIES</t>
        </is>
      </c>
      <c r="B271" s="1439" t="inlineStr">
        <is>
          <t>Property Assessment</t>
        </is>
      </c>
      <c r="C271" s="1439" t="inlineStr">
        <is>
          <t>Adams County Assessor — Main</t>
        </is>
      </c>
      <c r="D271" s="1439" t="inlineStr">
        <is>
          <t>https://adcogov.org/assessor</t>
        </is>
      </c>
      <c r="E271" s="1439" t="inlineStr">
        <is>
          <t>Covers all Adams County parcels regardless of city</t>
        </is>
      </c>
      <c r="F271" s="1439" t="n"/>
      <c r="G271" s="1439" t="n"/>
    </row>
    <row r="272">
      <c r="A272" s="1439" t="inlineStr">
        <is>
          <t>REGIONAL / ALL MUNICIPALITIES</t>
        </is>
      </c>
      <c r="B272" s="1439" t="inlineStr">
        <is>
          <t>Deed / Title Records</t>
        </is>
      </c>
      <c r="C272" s="1439" t="inlineStr">
        <is>
          <t>Adams County Clerk &amp; Recorder</t>
        </is>
      </c>
      <c r="D272" s="1439" t="inlineStr">
        <is>
          <t>https://adcogov.org/recording</t>
        </is>
      </c>
      <c r="E272" s="1439" t="inlineStr">
        <is>
          <t>Official deeds and recording office</t>
        </is>
      </c>
      <c r="F272" s="1439" t="n"/>
      <c r="G272" s="1439" t="n"/>
    </row>
    <row r="273">
      <c r="A273" s="1439" t="inlineStr">
        <is>
          <t>REGIONAL / ALL MUNICIPALITIES</t>
        </is>
      </c>
      <c r="B273" s="1439" t="inlineStr">
        <is>
          <t>Deed / Title Records</t>
        </is>
      </c>
      <c r="C273" s="1439" t="inlineStr">
        <is>
          <t>Landmark Web Document Search</t>
        </is>
      </c>
      <c r="D273" s="1439" t="inlineStr">
        <is>
          <t>https://recording.adcogov.org/landmarkweb</t>
        </is>
      </c>
      <c r="E273" s="1439" t="inlineStr">
        <is>
          <t>Grantor/Grantee search for all Adams County</t>
        </is>
      </c>
      <c r="F273" s="1439" t="n"/>
      <c r="G273" s="1439" t="n"/>
    </row>
    <row r="274">
      <c r="A274" s="1439" t="inlineStr">
        <is>
          <t>REGIONAL / ALL MUNICIPALITIES</t>
        </is>
      </c>
      <c r="B274" s="1439" t="inlineStr">
        <is>
          <t>GIS / Mapping</t>
        </is>
      </c>
      <c r="C274" s="1439" t="inlineStr">
        <is>
          <t>Adams County Open Data Hub</t>
        </is>
      </c>
      <c r="D274" s="1439" t="inlineStr">
        <is>
          <t>https://data-adcogov.opendata.arcgis.com/</t>
        </is>
      </c>
      <c r="E274" s="1439" t="inlineStr">
        <is>
          <t>County-wide GIS datasets</t>
        </is>
      </c>
      <c r="F274" s="1439" t="n"/>
      <c r="G274" s="1439" t="n"/>
    </row>
    <row r="275">
      <c r="A275" s="1439" t="inlineStr">
        <is>
          <t>REGIONAL / ALL MUNICIPALITIES</t>
        </is>
      </c>
      <c r="B275" s="1439" t="inlineStr">
        <is>
          <t>GIS / Mapping</t>
        </is>
      </c>
      <c r="C275" s="1439" t="inlineStr">
        <is>
          <t>DRCOG Regional Data Catalog</t>
        </is>
      </c>
      <c r="D275" s="1439" t="inlineStr">
        <is>
          <t>https://data.drcog.org/</t>
        </is>
      </c>
      <c r="E275" s="1439" t="inlineStr">
        <is>
          <t>Metro Denver regional data</t>
        </is>
      </c>
      <c r="F275" s="1439" t="n"/>
      <c r="G275" s="1439" t="n"/>
    </row>
    <row r="276">
      <c r="A276" s="1439" t="inlineStr">
        <is>
          <t>REGIONAL / ALL MUNICIPALITIES</t>
        </is>
      </c>
      <c r="B276" s="1439" t="inlineStr">
        <is>
          <t>GIS / Mapping</t>
        </is>
      </c>
      <c r="C276" s="1439" t="inlineStr">
        <is>
          <t>DRCOG Data &amp; Maps</t>
        </is>
      </c>
      <c r="D276" s="1439" t="inlineStr">
        <is>
          <t>https://www.drcog.org/data-maps-modeling</t>
        </is>
      </c>
      <c r="E276" s="1439" t="inlineStr">
        <is>
          <t>Regional planning maps</t>
        </is>
      </c>
      <c r="F276" s="1439" t="n"/>
      <c r="G276" s="1439" t="n"/>
    </row>
    <row r="277">
      <c r="A277" s="1439" t="inlineStr">
        <is>
          <t>REGIONAL / ALL MUNICIPALITIES</t>
        </is>
      </c>
      <c r="B277" s="1439" t="inlineStr">
        <is>
          <t>GIS / Mapping</t>
        </is>
      </c>
      <c r="C277" s="1439" t="inlineStr">
        <is>
          <t>DRCOG Community Profiles</t>
        </is>
      </c>
      <c r="D277" s="1439" t="inlineStr">
        <is>
          <t>https://www.drcog.org/data-maps-modeling/community-profiles</t>
        </is>
      </c>
      <c r="E277" s="1439" t="inlineStr">
        <is>
          <t>Demographic and growth profiles by municipality</t>
        </is>
      </c>
      <c r="F277" s="1439" t="n"/>
      <c r="G277" s="1439" t="n"/>
    </row>
    <row r="278">
      <c r="A278" s="1439" t="inlineStr">
        <is>
          <t>REGIONAL / ALL MUNICIPALITIES</t>
        </is>
      </c>
      <c r="B278" s="1439" t="inlineStr">
        <is>
          <t>GIS / Mapping</t>
        </is>
      </c>
      <c r="C278" s="1439" t="inlineStr">
        <is>
          <t>Colorado Geospatial Portal</t>
        </is>
      </c>
      <c r="D278" s="1439" t="inlineStr">
        <is>
          <t>https://geodata.colorado.gov/</t>
        </is>
      </c>
      <c r="E278" s="1439" t="inlineStr">
        <is>
          <t>Statewide GIS data portal</t>
        </is>
      </c>
      <c r="F278" s="1439" t="n"/>
      <c r="G278" s="1439" t="n"/>
    </row>
    <row r="279">
      <c r="A279" s="1439" t="inlineStr">
        <is>
          <t>REGIONAL / ALL MUNICIPALITIES</t>
        </is>
      </c>
      <c r="B279" s="1439" t="inlineStr">
        <is>
          <t>GIS / Mapping</t>
        </is>
      </c>
      <c r="C279" s="1439" t="inlineStr">
        <is>
          <t>Colorado Division of Water Resources GIS</t>
        </is>
      </c>
      <c r="D279" s="1439" t="inlineStr">
        <is>
          <t>https://dwr.colorado.gov/services/data-information/gis</t>
        </is>
      </c>
      <c r="E279" s="1439" t="inlineStr">
        <is>
          <t>Water rights and irrigation GIS data</t>
        </is>
      </c>
      <c r="F279" s="1439" t="n"/>
      <c r="G279" s="1439" t="n"/>
    </row>
    <row r="280">
      <c r="A280" s="1439" t="inlineStr">
        <is>
          <t>REGIONAL / ALL MUNICIPALITIES</t>
        </is>
      </c>
      <c r="B280" s="1439" t="inlineStr">
        <is>
          <t>Traffic / Transportation</t>
        </is>
      </c>
      <c r="C280" s="1439" t="inlineStr">
        <is>
          <t>CDOT Traffic Counts (OTIS)</t>
        </is>
      </c>
      <c r="D280" s="1439" t="inlineStr">
        <is>
          <t>https://dtdapps.coloradodot.info/otis</t>
        </is>
      </c>
      <c r="E280" s="1439" t="inlineStr">
        <is>
          <t>Official Colorado traffic count data by highway/road</t>
        </is>
      </c>
      <c r="F280" s="1439" t="n"/>
      <c r="G280" s="1439" t="n"/>
    </row>
    <row r="281">
      <c r="A281" s="1439" t="inlineStr">
        <is>
          <t>REGIONAL / ALL MUNICIPALITIES</t>
        </is>
      </c>
      <c r="B281" s="1439" t="inlineStr">
        <is>
          <t>Traffic / Transportation</t>
        </is>
      </c>
      <c r="C281" s="1439" t="inlineStr">
        <is>
          <t>CDOT Open Data (ArcGIS)</t>
        </is>
      </c>
      <c r="D281" s="1439" t="inlineStr">
        <is>
          <t>https://data-cdot.opendata.arcgis.com/</t>
        </is>
      </c>
      <c r="E281" s="1439" t="inlineStr">
        <is>
          <t>Statewide transportation datasets</t>
        </is>
      </c>
      <c r="F281" s="1439" t="n"/>
      <c r="G281" s="1439" t="n"/>
    </row>
    <row r="282">
      <c r="A282" s="1439" t="inlineStr">
        <is>
          <t>REGIONAL / ALL MUNICIPALITIES</t>
        </is>
      </c>
      <c r="B282" s="1439" t="inlineStr">
        <is>
          <t>Traffic / Transportation</t>
        </is>
      </c>
      <c r="C282" s="1439" t="inlineStr">
        <is>
          <t>CDOT Highway Traffic Counts Dataset</t>
        </is>
      </c>
      <c r="D282" s="1439" t="inlineStr">
        <is>
          <t>https://data-cdot.opendata.arcgis.com/datasets/highways-traffic-counts/about</t>
        </is>
      </c>
      <c r="E282" s="1439" t="inlineStr">
        <is>
          <t>Downloadable traffic count dataset</t>
        </is>
      </c>
      <c r="F282" s="1439" t="n"/>
      <c r="G282" s="1439" t="n"/>
    </row>
    <row r="283">
      <c r="A283" s="1439" t="inlineStr">
        <is>
          <t>REGIONAL / ALL MUNICIPALITIES</t>
        </is>
      </c>
      <c r="B283" s="1439" t="inlineStr">
        <is>
          <t>Entity / Ownership Lookup</t>
        </is>
      </c>
      <c r="C283" s="1439" t="inlineStr">
        <is>
          <t>Colorado Secretary of State — Business Entity Search</t>
        </is>
      </c>
      <c r="D283" s="1439" t="inlineStr">
        <is>
          <t>https://www.sos.state.co.us/biz/BusinessEntityCriteriaExt.do</t>
        </is>
      </c>
      <c r="E283" s="1439" t="inlineStr">
        <is>
          <t>Look up LLCs and ownership entities</t>
        </is>
      </c>
      <c r="F283" s="1439" t="n"/>
      <c r="G283" s="1439" t="n"/>
    </row>
    <row r="284">
      <c r="A284" s="1439" t="inlineStr">
        <is>
          <t>REGIONAL / ALL MUNICIPALITIES</t>
        </is>
      </c>
      <c r="B284" s="1439" t="inlineStr">
        <is>
          <t>Entity / Ownership Lookup</t>
        </is>
      </c>
      <c r="C284" s="1439" t="inlineStr">
        <is>
          <t>Colorado Secretary of State — Advanced Search</t>
        </is>
      </c>
      <c r="D284" s="1439" t="inlineStr">
        <is>
          <t>https://www.sos.state.co.us/biz/AdvancedSearchCriteria.do</t>
        </is>
      </c>
      <c r="E284" s="1439" t="inlineStr">
        <is>
          <t>Advanced entity search</t>
        </is>
      </c>
      <c r="F284" s="1439" t="n"/>
      <c r="G284" s="1439" t="n"/>
    </row>
    <row r="285">
      <c r="A285" s="1439" t="inlineStr">
        <is>
          <t>REGIONAL / ALL MUNICIPALITIES</t>
        </is>
      </c>
      <c r="B285" s="1439" t="inlineStr">
        <is>
          <t>Licensing / Regulation</t>
        </is>
      </c>
      <c r="C285" s="1439" t="inlineStr">
        <is>
          <t>Colorado Division of Real Estate (DORA)</t>
        </is>
      </c>
      <c r="D285" s="1439" t="inlineStr">
        <is>
          <t>https://dre.colorado.gov/</t>
        </is>
      </c>
      <c r="E285" s="1439" t="inlineStr">
        <is>
          <t>State real estate license lookups and regulations</t>
        </is>
      </c>
      <c r="F285" s="1439" t="n"/>
      <c r="G285" s="1439" t="n"/>
    </row>
    <row r="286">
      <c r="A286" s="1439" t="inlineStr">
        <is>
          <t>REGIONAL / ALL MUNICIPALITIES</t>
        </is>
      </c>
      <c r="B286" s="1439" t="inlineStr">
        <is>
          <t>Licensing / Regulation</t>
        </is>
      </c>
      <c r="C286" s="1439" t="inlineStr">
        <is>
          <t>Colorado CORA (Open Records Act) — SOS</t>
        </is>
      </c>
      <c r="D286" s="1439" t="inlineStr">
        <is>
          <t>https://www.sos.state.co.us/pubs/info_center/cora.html</t>
        </is>
      </c>
      <c r="E286" s="1439" t="inlineStr">
        <is>
          <t>How to make public records requests</t>
        </is>
      </c>
      <c r="F286" s="1439" t="n"/>
      <c r="G286" s="1439" t="n"/>
    </row>
    <row r="287">
      <c r="A287" s="1439" t="inlineStr">
        <is>
          <t>REGIONAL / ALL MUNICIPALITIES</t>
        </is>
      </c>
      <c r="B287" s="1439" t="inlineStr">
        <is>
          <t>Flood Zone</t>
        </is>
      </c>
      <c r="C287" s="1439" t="inlineStr">
        <is>
          <t>FEMA Map Service Center</t>
        </is>
      </c>
      <c r="D287" s="1439" t="inlineStr">
        <is>
          <t>https://msc.fema.gov/</t>
        </is>
      </c>
      <c r="E287" s="1439" t="inlineStr">
        <is>
          <t>FEMA FIRM — address-specific flood zone lookup</t>
        </is>
      </c>
      <c r="F287" s="1439" t="n"/>
      <c r="G287" s="1439" t="n"/>
    </row>
    <row r="288">
      <c r="A288" s="1439" t="inlineStr">
        <is>
          <t>REGIONAL / ALL MUNICIPALITIES</t>
        </is>
      </c>
      <c r="B288" s="1439" t="inlineStr">
        <is>
          <t>Flood Zone</t>
        </is>
      </c>
      <c r="C288" s="1439" t="inlineStr">
        <is>
          <t>Colorado Hazard Mapping / RiskMAP</t>
        </is>
      </c>
      <c r="D288" s="1439" t="inlineStr">
        <is>
          <t>https://coloradohazardmapping.com/hazardMapping/floodplainMapping</t>
        </is>
      </c>
      <c r="E288" s="1439" t="inlineStr">
        <is>
          <t>State-level flood mapping portal</t>
        </is>
      </c>
      <c r="F288" s="1439" t="n"/>
      <c r="G288" s="1439" t="n"/>
    </row>
    <row r="289">
      <c r="A289" s="1439" t="inlineStr">
        <is>
          <t>REGIONAL / ALL MUNICIPALITIES</t>
        </is>
      </c>
      <c r="B289" s="1439" t="inlineStr">
        <is>
          <t>MLS / Listings</t>
        </is>
      </c>
      <c r="C289" s="1439" t="inlineStr">
        <is>
          <t>REcolorado MLS (licensed professionals)</t>
        </is>
      </c>
      <c r="D289" s="1439" t="inlineStr">
        <is>
          <t>https://recolorado.com/</t>
        </is>
      </c>
      <c r="E289" s="1439" t="inlineStr">
        <is>
          <t>Primary Denver metro MLS</t>
        </is>
      </c>
      <c r="F289" s="1439" t="n"/>
      <c r="G289" s="1439" t="n"/>
    </row>
    <row r="290">
      <c r="A290" s="1439" t="inlineStr">
        <is>
          <t>REGIONAL / ALL MUNICIPALITIES</t>
        </is>
      </c>
      <c r="B290" s="1439" t="inlineStr">
        <is>
          <t>MLS / Listings</t>
        </is>
      </c>
      <c r="C290" s="1439" t="inlineStr">
        <is>
          <t>ColoProperty.com (public listings portal)</t>
        </is>
      </c>
      <c r="D290" s="1439" t="inlineStr">
        <is>
          <t>https://coloproperty.com/</t>
        </is>
      </c>
      <c r="E290" s="1439" t="inlineStr">
        <is>
          <t>Public-facing MLS listings</t>
        </is>
      </c>
      <c r="F290" s="1439" t="n"/>
      <c r="G290" s="1439" t="n"/>
    </row>
    <row r="291">
      <c r="A291" s="1439" t="inlineStr">
        <is>
          <t>REGIONAL / ALL MUNICIPALITIES</t>
        </is>
      </c>
      <c r="B291" s="1439" t="inlineStr">
        <is>
          <t>MLS / Listings</t>
        </is>
      </c>
      <c r="C291" s="1439" t="inlineStr">
        <is>
          <t>IRES MLS</t>
        </is>
      </c>
      <c r="D291" s="1439" t="inlineStr">
        <is>
          <t>https://iresmls.com/</t>
        </is>
      </c>
      <c r="E291" s="1439" t="inlineStr">
        <is>
          <t>Northern Colorado MLS</t>
        </is>
      </c>
      <c r="F291" s="1439" t="n"/>
      <c r="G291" s="1439" t="n"/>
    </row>
    <row r="292">
      <c r="A292" s="1439" t="inlineStr">
        <is>
          <t>REGIONAL / ALL MUNICIPALITIES</t>
        </is>
      </c>
      <c r="B292" s="1439" t="inlineStr">
        <is>
          <t>School Districts</t>
        </is>
      </c>
      <c r="C292" s="1439" t="inlineStr">
        <is>
          <t>Adams 12 Five Star Schools</t>
        </is>
      </c>
      <c r="D292" s="1439" t="inlineStr">
        <is>
          <t>https://www.adams12.org/</t>
        </is>
      </c>
      <c r="E292" s="1439" t="inlineStr">
        <is>
          <t>Serves Brighton</t>
        </is>
      </c>
      <c r="F292" s="1439" t="inlineStr">
        <is>
          <t xml:space="preserve"> Commerce City</t>
        </is>
      </c>
      <c r="G292" s="1439" t="inlineStr">
        <is>
          <t xml:space="preserve"> Federal Heights</t>
        </is>
      </c>
    </row>
    <row r="293">
      <c r="A293" s="1439" t="inlineStr">
        <is>
          <t>REGIONAL / ALL MUNICIPALITIES</t>
        </is>
      </c>
      <c r="B293" s="1439" t="inlineStr">
        <is>
          <t>School Districts</t>
        </is>
      </c>
      <c r="C293" s="1439" t="inlineStr">
        <is>
          <t>School District 27J (Brighton)</t>
        </is>
      </c>
      <c r="D293" s="1439" t="inlineStr">
        <is>
          <t>https://www.sd27j.org/</t>
        </is>
      </c>
      <c r="E293" s="1439" t="inlineStr">
        <is>
          <t>Serves Brighton</t>
        </is>
      </c>
      <c r="F293" s="1439" t="inlineStr">
        <is>
          <t xml:space="preserve"> northeast Thornton</t>
        </is>
      </c>
      <c r="G293" s="1439" t="inlineStr">
        <is>
          <t xml:space="preserve"> Lochbuie</t>
        </is>
      </c>
    </row>
    <row r="294">
      <c r="A294" s="1439" t="inlineStr">
        <is>
          <t>REGIONAL / ALL MUNICIPALITIES</t>
        </is>
      </c>
      <c r="B294" s="1439" t="inlineStr">
        <is>
          <t>School Districts</t>
        </is>
      </c>
      <c r="C294" s="1439" t="inlineStr">
        <is>
          <t>Mapleton School District 1</t>
        </is>
      </c>
      <c r="D294" s="1439" t="inlineStr">
        <is>
          <t>https://www.mapleton.us/</t>
        </is>
      </c>
      <c r="E294" s="1439" t="inlineStr">
        <is>
          <t>Serves portions of Commerce City and unincorporated Adams County</t>
        </is>
      </c>
      <c r="F294" s="1439" t="n"/>
      <c r="G294" s="1439" t="n"/>
    </row>
    <row r="295">
      <c r="A295" s="1439" t="inlineStr">
        <is>
          <t>REGIONAL / ALL MUNICIPALITIES</t>
        </is>
      </c>
      <c r="B295" s="1439" t="inlineStr">
        <is>
          <t>School Districts</t>
        </is>
      </c>
      <c r="C295" s="1439" t="inlineStr">
        <is>
          <t>Aurora Public Schools</t>
        </is>
      </c>
      <c r="D295" s="1439" t="inlineStr">
        <is>
          <t>https://www.aurorak12.org/</t>
        </is>
      </c>
      <c r="E295" s="1439" t="inlineStr">
        <is>
          <t>Serves Aurora</t>
        </is>
      </c>
      <c r="F295" s="1439" t="n"/>
      <c r="G295" s="1439" t="n"/>
    </row>
    <row r="296">
      <c r="A296" s="1439" t="inlineStr">
        <is>
          <t>REGIONAL / ALL MUNICIPALITIES</t>
        </is>
      </c>
      <c r="B296" s="1439" t="inlineStr">
        <is>
          <t>School Districts</t>
        </is>
      </c>
      <c r="C296" s="1439" t="inlineStr">
        <is>
          <t>Cherry Creek School District</t>
        </is>
      </c>
      <c r="D296" s="1439" t="inlineStr">
        <is>
          <t>https://www.cherrycreekschools.org/</t>
        </is>
      </c>
      <c r="E296" s="1439" t="inlineStr">
        <is>
          <t>Serves parts of Aurora (Arapahoe Co. portion)</t>
        </is>
      </c>
      <c r="F296" s="1439" t="n"/>
      <c r="G296" s="1439" t="n"/>
    </row>
    <row r="297">
      <c r="A297" s="1439" t="inlineStr">
        <is>
          <t>REGIONAL / ALL MUNICIPALITIES</t>
        </is>
      </c>
      <c r="B297" s="1439" t="inlineStr">
        <is>
          <t>School Districts</t>
        </is>
      </c>
      <c r="C297" s="1439" t="inlineStr">
        <is>
          <t>Bennett School District 29J</t>
        </is>
      </c>
      <c r="D297" s="1439" t="inlineStr">
        <is>
          <t>https://www.bsd29j.com/</t>
        </is>
      </c>
      <c r="E297" s="1439" t="inlineStr">
        <is>
          <t>Serves Bennett</t>
        </is>
      </c>
      <c r="F297" s="1439" t="n"/>
      <c r="G297" s="1439" t="n"/>
    </row>
    <row r="298">
      <c r="A298" s="1439" t="inlineStr">
        <is>
          <t>REGIONAL / ALL MUNICIPALITIES</t>
        </is>
      </c>
      <c r="B298" s="1439" t="inlineStr">
        <is>
          <t>School Districts</t>
        </is>
      </c>
      <c r="C298" s="1439" t="inlineStr">
        <is>
          <t>Jefferson County Public Schools</t>
        </is>
      </c>
      <c r="D298" s="1439" t="inlineStr">
        <is>
          <t>https://www.jeffcopublicschools.org/</t>
        </is>
      </c>
      <c r="E298" s="1439" t="inlineStr">
        <is>
          <t>Serves Westminster and Arvada (Jefferson Co. portions)</t>
        </is>
      </c>
      <c r="F298" s="1439" t="n"/>
      <c r="G298" s="1439"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Stephen Craig</dc:creator>
  <dcterms:created xsi:type="dcterms:W3CDTF">2018-01-24T22:43:46Z</dcterms:created>
  <dcterms:modified xsi:type="dcterms:W3CDTF">2026-07-06T12:52:58Z</dcterms:modified>
  <cp:lastModifiedBy>Shaquille Carter</cp:lastModifiedBy>
  <cp:lastPrinted>2023-05-11T22:25:51Z</cp:lastPrinted>
</cp:coreProperties>
</file>

<file path=docProps/custom.xml><?xml version="1.0" encoding="utf-8"?>
<Properties xmlns:vt="http://schemas.openxmlformats.org/officeDocument/2006/docPropsVTypes" xmlns="http://schemas.openxmlformats.org/officeDocument/2006/custom-properties">
  <property name="Class_List_2" linkTarget="Prop_Class_List_2" fmtid="{D5CDD505-2E9C-101B-9397-08002B2CF9AE}" pid="2">
    <vt:lpwstr/>
  </property>
  <property name="Class_Value_2" linkTarget="Prop_Class_Value_2" fmtid="{D5CDD505-2E9C-101B-9397-08002B2CF9AE}" pid="3">
    <vt:lpwstr/>
  </property>
  <property name="Type_List" linkTarget="Prop_Type_List" fmtid="{D5CDD505-2E9C-101B-9397-08002B2CF9AE}" pid="4">
    <vt:lpwstr/>
  </property>
  <property name="Type_Value" linkTarget="Prop_Type_Value" fmtid="{D5CDD505-2E9C-101B-9397-08002B2CF9AE}" pid="5">
    <vt:lpwstr/>
  </property>
  <property name="Type_Value_List" linkTarget="Prop_Type_Value_List" fmtid="{D5CDD505-2E9C-101B-9397-08002B2CF9AE}" pid="6">
    <vt:lpwstr/>
  </property>
</Properties>
</file>